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recificação de produtos\data\"/>
    </mc:Choice>
  </mc:AlternateContent>
  <xr:revisionPtr revIDLastSave="0" documentId="13_ncr:1_{E1698728-7F0E-4989-B78F-855AB63DA62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rincipal" sheetId="1" r:id="rId1"/>
    <sheet name="Indicadores" sheetId="2" r:id="rId2"/>
    <sheet name="PrecosMercado" sheetId="3" r:id="rId3"/>
    <sheet name="dados" sheetId="4" r:id="rId4"/>
  </sheets>
  <definedNames>
    <definedName name="_xlnm._FilterDatabase" localSheetId="1" hidden="1">Indicadores!$A$2:$I$502</definedName>
    <definedName name="colDescrPadr">Indicadores!$B$2:$B$502</definedName>
    <definedName name="colPercManut">Indicadores!$G$2:$G$502</definedName>
    <definedName name="colPrecoMedio">Indicadores!$E$2:$E$502</definedName>
    <definedName name="colVidaUtil">Indicadores!$F$2:$F$502</definedName>
    <definedName name="lstDescrPadr">OFFSET(Indicadores!$B$2,1,0,COUNTA(Indicadores!$B$3:$B$502),1)</definedName>
    <definedName name="PercMinNB">0.065</definedName>
    <definedName name="Treinamento">tabDados[[Descrição Saneada]:[Descrição Padronizada]]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15" i="4" l="1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H502" i="2"/>
  <c r="G502" i="2"/>
  <c r="F502" i="2" a="1"/>
  <c r="F502" i="2" s="1"/>
  <c r="E502" i="2"/>
  <c r="D502" i="2" a="1"/>
  <c r="D502" i="2"/>
  <c r="C502" i="2" a="1"/>
  <c r="C502" i="2" s="1"/>
  <c r="H501" i="2"/>
  <c r="G501" i="2"/>
  <c r="F501" i="2" a="1"/>
  <c r="F501" i="2"/>
  <c r="E501" i="2"/>
  <c r="D501" i="2" a="1"/>
  <c r="D501" i="2" s="1"/>
  <c r="C501" i="2" a="1"/>
  <c r="C501" i="2"/>
  <c r="H500" i="2"/>
  <c r="G500" i="2"/>
  <c r="F500" i="2" a="1"/>
  <c r="F500" i="2"/>
  <c r="E500" i="2"/>
  <c r="D500" i="2" a="1"/>
  <c r="D500" i="2"/>
  <c r="C500" i="2" a="1"/>
  <c r="C500" i="2"/>
  <c r="H499" i="2"/>
  <c r="G499" i="2"/>
  <c r="F499" i="2" a="1"/>
  <c r="F499" i="2"/>
  <c r="E499" i="2"/>
  <c r="D499" i="2" a="1"/>
  <c r="D499" i="2"/>
  <c r="C499" i="2" a="1"/>
  <c r="C499" i="2" s="1"/>
  <c r="H498" i="2"/>
  <c r="G498" i="2"/>
  <c r="F498" i="2" a="1"/>
  <c r="F498" i="2"/>
  <c r="E498" i="2"/>
  <c r="D498" i="2" a="1"/>
  <c r="D498" i="2"/>
  <c r="C498" i="2" a="1"/>
  <c r="C498" i="2" s="1"/>
  <c r="H497" i="2"/>
  <c r="G497" i="2"/>
  <c r="F497" i="2" a="1"/>
  <c r="F497" i="2"/>
  <c r="E497" i="2"/>
  <c r="D497" i="2" a="1"/>
  <c r="D497" i="2"/>
  <c r="C497" i="2" a="1"/>
  <c r="C497" i="2"/>
  <c r="H496" i="2"/>
  <c r="G496" i="2"/>
  <c r="F496" i="2" a="1"/>
  <c r="F496" i="2"/>
  <c r="E496" i="2"/>
  <c r="D496" i="2" a="1"/>
  <c r="D496" i="2"/>
  <c r="C496" i="2" a="1"/>
  <c r="C496" i="2"/>
  <c r="H495" i="2"/>
  <c r="G495" i="2"/>
  <c r="F495" i="2" a="1"/>
  <c r="F495" i="2"/>
  <c r="E495" i="2"/>
  <c r="D495" i="2" a="1"/>
  <c r="D495" i="2"/>
  <c r="C495" i="2" a="1"/>
  <c r="C495" i="2" s="1"/>
  <c r="H494" i="2"/>
  <c r="G494" i="2"/>
  <c r="F494" i="2" a="1"/>
  <c r="F494" i="2"/>
  <c r="E494" i="2"/>
  <c r="D494" i="2" a="1"/>
  <c r="D494" i="2"/>
  <c r="C494" i="2" a="1"/>
  <c r="C494" i="2" s="1"/>
  <c r="H493" i="2"/>
  <c r="G493" i="2"/>
  <c r="F493" i="2" a="1"/>
  <c r="F493" i="2"/>
  <c r="E493" i="2"/>
  <c r="D493" i="2" a="1"/>
  <c r="D493" i="2"/>
  <c r="C493" i="2" a="1"/>
  <c r="C493" i="2"/>
  <c r="H492" i="2"/>
  <c r="G492" i="2"/>
  <c r="F492" i="2" a="1"/>
  <c r="F492" i="2"/>
  <c r="E492" i="2"/>
  <c r="D492" i="2" a="1"/>
  <c r="D492" i="2"/>
  <c r="C492" i="2" a="1"/>
  <c r="C492" i="2"/>
  <c r="H491" i="2"/>
  <c r="G491" i="2"/>
  <c r="F491" i="2" a="1"/>
  <c r="F491" i="2"/>
  <c r="E491" i="2"/>
  <c r="D491" i="2" a="1"/>
  <c r="D491" i="2"/>
  <c r="C491" i="2" a="1"/>
  <c r="C491" i="2" s="1"/>
  <c r="H490" i="2"/>
  <c r="G490" i="2"/>
  <c r="F490" i="2" a="1"/>
  <c r="F490" i="2"/>
  <c r="E490" i="2"/>
  <c r="D490" i="2" a="1"/>
  <c r="D490" i="2"/>
  <c r="C490" i="2" a="1"/>
  <c r="C490" i="2" s="1"/>
  <c r="H489" i="2"/>
  <c r="G489" i="2"/>
  <c r="F489" i="2" a="1"/>
  <c r="F489" i="2"/>
  <c r="E489" i="2"/>
  <c r="D489" i="2" a="1"/>
  <c r="D489" i="2"/>
  <c r="C489" i="2" a="1"/>
  <c r="C489" i="2"/>
  <c r="H488" i="2"/>
  <c r="G488" i="2"/>
  <c r="F488" i="2" a="1"/>
  <c r="F488" i="2"/>
  <c r="E488" i="2"/>
  <c r="D488" i="2" a="1"/>
  <c r="D488" i="2"/>
  <c r="C488" i="2" a="1"/>
  <c r="C488" i="2"/>
  <c r="H487" i="2"/>
  <c r="G487" i="2"/>
  <c r="F487" i="2" a="1"/>
  <c r="F487" i="2"/>
  <c r="E487" i="2"/>
  <c r="D487" i="2" a="1"/>
  <c r="D487" i="2"/>
  <c r="C487" i="2" a="1"/>
  <c r="C487" i="2" s="1"/>
  <c r="H486" i="2"/>
  <c r="G486" i="2"/>
  <c r="F486" i="2" a="1"/>
  <c r="F486" i="2"/>
  <c r="E486" i="2"/>
  <c r="D486" i="2" a="1"/>
  <c r="D486" i="2"/>
  <c r="C486" i="2" a="1"/>
  <c r="C486" i="2" s="1"/>
  <c r="H485" i="2"/>
  <c r="G485" i="2"/>
  <c r="F485" i="2" a="1"/>
  <c r="F485" i="2"/>
  <c r="E485" i="2"/>
  <c r="D485" i="2" a="1"/>
  <c r="D485" i="2"/>
  <c r="C485" i="2" a="1"/>
  <c r="C485" i="2"/>
  <c r="H484" i="2"/>
  <c r="G484" i="2"/>
  <c r="F484" i="2" a="1"/>
  <c r="F484" i="2"/>
  <c r="E484" i="2"/>
  <c r="D484" i="2" a="1"/>
  <c r="D484" i="2"/>
  <c r="C484" i="2" a="1"/>
  <c r="C484" i="2"/>
  <c r="H483" i="2"/>
  <c r="G483" i="2"/>
  <c r="F483" i="2" a="1"/>
  <c r="F483" i="2"/>
  <c r="E483" i="2"/>
  <c r="D483" i="2" a="1"/>
  <c r="D483" i="2"/>
  <c r="C483" i="2" a="1"/>
  <c r="C483" i="2" s="1"/>
  <c r="H482" i="2"/>
  <c r="G482" i="2"/>
  <c r="F482" i="2" a="1"/>
  <c r="F482" i="2"/>
  <c r="E482" i="2"/>
  <c r="D482" i="2" a="1"/>
  <c r="D482" i="2"/>
  <c r="C482" i="2" a="1"/>
  <c r="C482" i="2" s="1"/>
  <c r="H481" i="2"/>
  <c r="G481" i="2"/>
  <c r="F481" i="2" a="1"/>
  <c r="F481" i="2"/>
  <c r="E481" i="2"/>
  <c r="D481" i="2" a="1"/>
  <c r="D481" i="2" s="1"/>
  <c r="C481" i="2" a="1"/>
  <c r="C481" i="2"/>
  <c r="H480" i="2"/>
  <c r="G480" i="2"/>
  <c r="F480" i="2" a="1"/>
  <c r="F480" i="2"/>
  <c r="E480" i="2"/>
  <c r="D480" i="2" a="1"/>
  <c r="D480" i="2"/>
  <c r="C480" i="2" a="1"/>
  <c r="C480" i="2" s="1"/>
  <c r="H479" i="2"/>
  <c r="G479" i="2"/>
  <c r="F479" i="2" a="1"/>
  <c r="F479" i="2"/>
  <c r="E479" i="2"/>
  <c r="D479" i="2" a="1"/>
  <c r="D479" i="2"/>
  <c r="C479" i="2" a="1"/>
  <c r="C479" i="2" s="1"/>
  <c r="H478" i="2"/>
  <c r="G478" i="2"/>
  <c r="F478" i="2" a="1"/>
  <c r="F478" i="2" s="1"/>
  <c r="E478" i="2"/>
  <c r="D478" i="2" a="1"/>
  <c r="D478" i="2"/>
  <c r="C478" i="2" a="1"/>
  <c r="C478" i="2" s="1"/>
  <c r="H477" i="2"/>
  <c r="G477" i="2"/>
  <c r="F477" i="2" a="1"/>
  <c r="F477" i="2"/>
  <c r="E477" i="2"/>
  <c r="D477" i="2" a="1"/>
  <c r="D477" i="2" s="1"/>
  <c r="C477" i="2" a="1"/>
  <c r="C477" i="2"/>
  <c r="H476" i="2"/>
  <c r="G476" i="2"/>
  <c r="F476" i="2" a="1"/>
  <c r="F476" i="2"/>
  <c r="E476" i="2"/>
  <c r="D476" i="2" a="1"/>
  <c r="D476" i="2"/>
  <c r="C476" i="2" a="1"/>
  <c r="C476" i="2"/>
  <c r="H475" i="2"/>
  <c r="G475" i="2"/>
  <c r="F475" i="2" a="1"/>
  <c r="F475" i="2"/>
  <c r="E475" i="2"/>
  <c r="D475" i="2" a="1"/>
  <c r="D475" i="2"/>
  <c r="C475" i="2" a="1"/>
  <c r="C475" i="2" s="1"/>
  <c r="H474" i="2"/>
  <c r="G474" i="2"/>
  <c r="F474" i="2" a="1"/>
  <c r="F474" i="2"/>
  <c r="E474" i="2"/>
  <c r="D474" i="2" a="1"/>
  <c r="D474" i="2"/>
  <c r="C474" i="2" a="1"/>
  <c r="C474" i="2" s="1"/>
  <c r="H473" i="2"/>
  <c r="G473" i="2"/>
  <c r="F473" i="2" a="1"/>
  <c r="F473" i="2"/>
  <c r="E473" i="2"/>
  <c r="D473" i="2" a="1"/>
  <c r="D473" i="2"/>
  <c r="C473" i="2" a="1"/>
  <c r="C473" i="2"/>
  <c r="H472" i="2"/>
  <c r="G472" i="2"/>
  <c r="F472" i="2" a="1"/>
  <c r="F472" i="2"/>
  <c r="E472" i="2"/>
  <c r="D472" i="2" a="1"/>
  <c r="D472" i="2"/>
  <c r="C472" i="2" a="1"/>
  <c r="C472" i="2"/>
  <c r="H471" i="2"/>
  <c r="G471" i="2"/>
  <c r="F471" i="2" a="1"/>
  <c r="F471" i="2"/>
  <c r="E471" i="2"/>
  <c r="D471" i="2" a="1"/>
  <c r="D471" i="2"/>
  <c r="C471" i="2" a="1"/>
  <c r="C471" i="2" s="1"/>
  <c r="H470" i="2"/>
  <c r="G470" i="2"/>
  <c r="F470" i="2" a="1"/>
  <c r="F470" i="2"/>
  <c r="E470" i="2"/>
  <c r="D470" i="2" a="1"/>
  <c r="D470" i="2"/>
  <c r="C470" i="2" a="1"/>
  <c r="C470" i="2" s="1"/>
  <c r="H469" i="2"/>
  <c r="G469" i="2"/>
  <c r="F469" i="2" a="1"/>
  <c r="F469" i="2"/>
  <c r="E469" i="2"/>
  <c r="D469" i="2" a="1"/>
  <c r="D469" i="2" s="1"/>
  <c r="C469" i="2" a="1"/>
  <c r="C469" i="2"/>
  <c r="H468" i="2"/>
  <c r="G468" i="2"/>
  <c r="F468" i="2" a="1"/>
  <c r="F468" i="2"/>
  <c r="E468" i="2"/>
  <c r="D468" i="2" a="1"/>
  <c r="D468" i="2"/>
  <c r="C468" i="2" a="1"/>
  <c r="C468" i="2"/>
  <c r="H467" i="2"/>
  <c r="G467" i="2"/>
  <c r="F467" i="2" a="1"/>
  <c r="F467" i="2"/>
  <c r="E467" i="2"/>
  <c r="D467" i="2" a="1"/>
  <c r="D467" i="2"/>
  <c r="C467" i="2" a="1"/>
  <c r="C467" i="2" s="1"/>
  <c r="H466" i="2"/>
  <c r="G466" i="2"/>
  <c r="F466" i="2" a="1"/>
  <c r="F466" i="2"/>
  <c r="E466" i="2"/>
  <c r="D466" i="2" a="1"/>
  <c r="D466" i="2"/>
  <c r="C466" i="2" a="1"/>
  <c r="C466" i="2" s="1"/>
  <c r="H465" i="2"/>
  <c r="G465" i="2"/>
  <c r="F465" i="2" a="1"/>
  <c r="F465" i="2"/>
  <c r="E465" i="2"/>
  <c r="D465" i="2" a="1"/>
  <c r="D465" i="2"/>
  <c r="C465" i="2" a="1"/>
  <c r="C465" i="2"/>
  <c r="H464" i="2"/>
  <c r="G464" i="2"/>
  <c r="F464" i="2" a="1"/>
  <c r="F464" i="2"/>
  <c r="E464" i="2"/>
  <c r="D464" i="2" a="1"/>
  <c r="D464" i="2"/>
  <c r="C464" i="2" a="1"/>
  <c r="C464" i="2"/>
  <c r="H463" i="2"/>
  <c r="G463" i="2"/>
  <c r="F463" i="2" a="1"/>
  <c r="F463" i="2"/>
  <c r="E463" i="2"/>
  <c r="D463" i="2" a="1"/>
  <c r="D463" i="2"/>
  <c r="C463" i="2" a="1"/>
  <c r="C463" i="2" s="1"/>
  <c r="H462" i="2"/>
  <c r="G462" i="2"/>
  <c r="F462" i="2" a="1"/>
  <c r="F462" i="2"/>
  <c r="E462" i="2"/>
  <c r="D462" i="2" a="1"/>
  <c r="D462" i="2" s="1"/>
  <c r="C462" i="2" a="1"/>
  <c r="C462" i="2" s="1"/>
  <c r="H461" i="2"/>
  <c r="G461" i="2"/>
  <c r="F461" i="2" a="1"/>
  <c r="F461" i="2"/>
  <c r="E461" i="2"/>
  <c r="D461" i="2" a="1"/>
  <c r="D461" i="2"/>
  <c r="C461" i="2" a="1"/>
  <c r="C461" i="2"/>
  <c r="H460" i="2"/>
  <c r="G460" i="2"/>
  <c r="F460" i="2" a="1"/>
  <c r="F460" i="2"/>
  <c r="E460" i="2"/>
  <c r="D460" i="2" a="1"/>
  <c r="D460" i="2"/>
  <c r="C460" i="2" a="1"/>
  <c r="C460" i="2" s="1"/>
  <c r="H459" i="2"/>
  <c r="G459" i="2"/>
  <c r="F459" i="2" a="1"/>
  <c r="F459" i="2" s="1"/>
  <c r="E459" i="2"/>
  <c r="D459" i="2" a="1"/>
  <c r="D459" i="2"/>
  <c r="C459" i="2" a="1"/>
  <c r="C459" i="2" s="1"/>
  <c r="H458" i="2"/>
  <c r="G458" i="2"/>
  <c r="F458" i="2" a="1"/>
  <c r="F458" i="2" s="1"/>
  <c r="E458" i="2"/>
  <c r="D458" i="2" a="1"/>
  <c r="D458" i="2"/>
  <c r="C458" i="2" a="1"/>
  <c r="C458" i="2" s="1"/>
  <c r="H457" i="2"/>
  <c r="G457" i="2"/>
  <c r="F457" i="2" a="1"/>
  <c r="F457" i="2"/>
  <c r="E457" i="2"/>
  <c r="D457" i="2" a="1"/>
  <c r="D457" i="2" s="1"/>
  <c r="C457" i="2" a="1"/>
  <c r="C457" i="2"/>
  <c r="H456" i="2"/>
  <c r="G456" i="2"/>
  <c r="F456" i="2" a="1"/>
  <c r="F456" i="2"/>
  <c r="E456" i="2"/>
  <c r="D456" i="2" a="1"/>
  <c r="D456" i="2"/>
  <c r="C456" i="2" a="1"/>
  <c r="C456" i="2" s="1"/>
  <c r="H455" i="2"/>
  <c r="G455" i="2"/>
  <c r="F455" i="2" a="1"/>
  <c r="F455" i="2"/>
  <c r="E455" i="2"/>
  <c r="D455" i="2" a="1"/>
  <c r="D455" i="2"/>
  <c r="C455" i="2" a="1"/>
  <c r="C455" i="2" s="1"/>
  <c r="H454" i="2"/>
  <c r="G454" i="2"/>
  <c r="F454" i="2" a="1"/>
  <c r="F454" i="2" s="1"/>
  <c r="E454" i="2"/>
  <c r="D454" i="2" a="1"/>
  <c r="D454" i="2"/>
  <c r="C454" i="2" a="1"/>
  <c r="C454" i="2" s="1"/>
  <c r="H453" i="2"/>
  <c r="G453" i="2"/>
  <c r="F453" i="2" a="1"/>
  <c r="F453" i="2"/>
  <c r="E453" i="2"/>
  <c r="D453" i="2" a="1"/>
  <c r="D453" i="2" s="1"/>
  <c r="C453" i="2" a="1"/>
  <c r="C453" i="2"/>
  <c r="H452" i="2"/>
  <c r="G452" i="2"/>
  <c r="F452" i="2" a="1"/>
  <c r="F452" i="2"/>
  <c r="E452" i="2"/>
  <c r="D452" i="2" a="1"/>
  <c r="D452" i="2"/>
  <c r="C452" i="2" a="1"/>
  <c r="C452" i="2"/>
  <c r="H451" i="2"/>
  <c r="G451" i="2"/>
  <c r="F451" i="2" a="1"/>
  <c r="F451" i="2" s="1"/>
  <c r="E451" i="2"/>
  <c r="D451" i="2" a="1"/>
  <c r="D451" i="2"/>
  <c r="C451" i="2" a="1"/>
  <c r="C451" i="2" s="1"/>
  <c r="H450" i="2"/>
  <c r="G450" i="2"/>
  <c r="F450" i="2" a="1"/>
  <c r="F450" i="2"/>
  <c r="E450" i="2"/>
  <c r="D450" i="2" a="1"/>
  <c r="D450" i="2"/>
  <c r="C450" i="2" a="1"/>
  <c r="C450" i="2" s="1"/>
  <c r="H449" i="2"/>
  <c r="G449" i="2"/>
  <c r="F449" i="2" a="1"/>
  <c r="F449" i="2"/>
  <c r="E449" i="2"/>
  <c r="D449" i="2" a="1"/>
  <c r="D449" i="2"/>
  <c r="C449" i="2" a="1"/>
  <c r="C449" i="2"/>
  <c r="H448" i="2"/>
  <c r="G448" i="2"/>
  <c r="F448" i="2" a="1"/>
  <c r="F448" i="2"/>
  <c r="E448" i="2"/>
  <c r="D448" i="2" a="1"/>
  <c r="D448" i="2"/>
  <c r="C448" i="2" a="1"/>
  <c r="C448" i="2"/>
  <c r="H447" i="2"/>
  <c r="G447" i="2"/>
  <c r="F447" i="2" a="1"/>
  <c r="F447" i="2" s="1"/>
  <c r="E447" i="2"/>
  <c r="D447" i="2" a="1"/>
  <c r="D447" i="2"/>
  <c r="C447" i="2" a="1"/>
  <c r="C447" i="2" s="1"/>
  <c r="H446" i="2"/>
  <c r="G446" i="2"/>
  <c r="F446" i="2" a="1"/>
  <c r="F446" i="2"/>
  <c r="E446" i="2"/>
  <c r="D446" i="2" a="1"/>
  <c r="D446" i="2" s="1"/>
  <c r="C446" i="2" a="1"/>
  <c r="C446" i="2" s="1"/>
  <c r="H445" i="2"/>
  <c r="G445" i="2"/>
  <c r="F445" i="2" a="1"/>
  <c r="F445" i="2"/>
  <c r="E445" i="2"/>
  <c r="D445" i="2" a="1"/>
  <c r="D445" i="2"/>
  <c r="C445" i="2" a="1"/>
  <c r="C445" i="2"/>
  <c r="H444" i="2"/>
  <c r="G444" i="2"/>
  <c r="F444" i="2" a="1"/>
  <c r="F444" i="2"/>
  <c r="E444" i="2"/>
  <c r="D444" i="2" a="1"/>
  <c r="D444" i="2"/>
  <c r="C444" i="2" a="1"/>
  <c r="C444" i="2" s="1"/>
  <c r="H443" i="2"/>
  <c r="G443" i="2"/>
  <c r="F443" i="2" a="1"/>
  <c r="F443" i="2" s="1"/>
  <c r="E443" i="2"/>
  <c r="D443" i="2" a="1"/>
  <c r="D443" i="2"/>
  <c r="C443" i="2" a="1"/>
  <c r="C443" i="2" s="1"/>
  <c r="H442" i="2"/>
  <c r="G442" i="2"/>
  <c r="F442" i="2" a="1"/>
  <c r="F442" i="2" s="1"/>
  <c r="E442" i="2"/>
  <c r="D442" i="2" a="1"/>
  <c r="D442" i="2" s="1"/>
  <c r="C442" i="2" a="1"/>
  <c r="C442" i="2" s="1"/>
  <c r="H441" i="2"/>
  <c r="G441" i="2"/>
  <c r="F441" i="2" a="1"/>
  <c r="F441" i="2"/>
  <c r="E441" i="2"/>
  <c r="D441" i="2" a="1"/>
  <c r="D441" i="2"/>
  <c r="C441" i="2" a="1"/>
  <c r="C441" i="2"/>
  <c r="H440" i="2"/>
  <c r="G440" i="2"/>
  <c r="F440" i="2" a="1"/>
  <c r="F440" i="2"/>
  <c r="E440" i="2"/>
  <c r="D440" i="2" a="1"/>
  <c r="D440" i="2"/>
  <c r="C440" i="2" a="1"/>
  <c r="C440" i="2"/>
  <c r="H439" i="2"/>
  <c r="G439" i="2"/>
  <c r="F439" i="2" a="1"/>
  <c r="F439" i="2"/>
  <c r="E439" i="2"/>
  <c r="D439" i="2" a="1"/>
  <c r="D439" i="2"/>
  <c r="C439" i="2" a="1"/>
  <c r="C439" i="2" s="1"/>
  <c r="H438" i="2"/>
  <c r="G438" i="2"/>
  <c r="F438" i="2" a="1"/>
  <c r="F438" i="2"/>
  <c r="E438" i="2"/>
  <c r="D438" i="2" a="1"/>
  <c r="D438" i="2"/>
  <c r="C438" i="2" a="1"/>
  <c r="C438" i="2" s="1"/>
  <c r="H437" i="2"/>
  <c r="G437" i="2"/>
  <c r="F437" i="2" a="1"/>
  <c r="F437" i="2"/>
  <c r="E437" i="2"/>
  <c r="D437" i="2" a="1"/>
  <c r="D437" i="2"/>
  <c r="C437" i="2" a="1"/>
  <c r="C437" i="2"/>
  <c r="H436" i="2"/>
  <c r="G436" i="2"/>
  <c r="F436" i="2" a="1"/>
  <c r="F436" i="2"/>
  <c r="E436" i="2"/>
  <c r="D436" i="2" a="1"/>
  <c r="D436" i="2"/>
  <c r="C436" i="2" a="1"/>
  <c r="C436" i="2" s="1"/>
  <c r="H435" i="2"/>
  <c r="G435" i="2"/>
  <c r="F435" i="2" a="1"/>
  <c r="F435" i="2"/>
  <c r="E435" i="2"/>
  <c r="D435" i="2" a="1"/>
  <c r="D435" i="2"/>
  <c r="C435" i="2" a="1"/>
  <c r="C435" i="2" s="1"/>
  <c r="H434" i="2"/>
  <c r="G434" i="2"/>
  <c r="F434" i="2" a="1"/>
  <c r="F434" i="2" s="1"/>
  <c r="E434" i="2"/>
  <c r="D434" i="2" a="1"/>
  <c r="D434" i="2"/>
  <c r="C434" i="2" a="1"/>
  <c r="C434" i="2" s="1"/>
  <c r="H433" i="2"/>
  <c r="G433" i="2"/>
  <c r="F433" i="2" a="1"/>
  <c r="F433" i="2"/>
  <c r="E433" i="2"/>
  <c r="D433" i="2" a="1"/>
  <c r="D433" i="2"/>
  <c r="C433" i="2" a="1"/>
  <c r="C433" i="2"/>
  <c r="H432" i="2"/>
  <c r="G432" i="2"/>
  <c r="F432" i="2" a="1"/>
  <c r="F432" i="2"/>
  <c r="E432" i="2"/>
  <c r="D432" i="2" a="1"/>
  <c r="D432" i="2"/>
  <c r="C432" i="2" a="1"/>
  <c r="C432" i="2" s="1"/>
  <c r="H431" i="2"/>
  <c r="G431" i="2"/>
  <c r="F431" i="2" a="1"/>
  <c r="F431" i="2"/>
  <c r="E431" i="2"/>
  <c r="D431" i="2" a="1"/>
  <c r="D431" i="2"/>
  <c r="C431" i="2" a="1"/>
  <c r="C431" i="2" s="1"/>
  <c r="H430" i="2"/>
  <c r="G430" i="2"/>
  <c r="F430" i="2" a="1"/>
  <c r="F430" i="2" s="1"/>
  <c r="E430" i="2"/>
  <c r="D430" i="2" a="1"/>
  <c r="D430" i="2"/>
  <c r="C430" i="2" a="1"/>
  <c r="C430" i="2" s="1"/>
  <c r="H429" i="2"/>
  <c r="G429" i="2"/>
  <c r="F429" i="2" a="1"/>
  <c r="F429" i="2"/>
  <c r="E429" i="2"/>
  <c r="D429" i="2" a="1"/>
  <c r="D429" i="2" s="1"/>
  <c r="C429" i="2" a="1"/>
  <c r="C429" i="2"/>
  <c r="H428" i="2"/>
  <c r="G428" i="2"/>
  <c r="F428" i="2" a="1"/>
  <c r="F428" i="2"/>
  <c r="E428" i="2"/>
  <c r="D428" i="2" a="1"/>
  <c r="D428" i="2"/>
  <c r="C428" i="2" a="1"/>
  <c r="C428" i="2"/>
  <c r="H427" i="2"/>
  <c r="G427" i="2"/>
  <c r="F427" i="2" a="1"/>
  <c r="F427" i="2" s="1"/>
  <c r="E427" i="2"/>
  <c r="D427" i="2" a="1"/>
  <c r="D427" i="2"/>
  <c r="C427" i="2" a="1"/>
  <c r="C427" i="2" s="1"/>
  <c r="H426" i="2"/>
  <c r="G426" i="2"/>
  <c r="F426" i="2" a="1"/>
  <c r="F426" i="2" s="1"/>
  <c r="E426" i="2"/>
  <c r="D426" i="2" a="1"/>
  <c r="D426" i="2"/>
  <c r="C426" i="2" a="1"/>
  <c r="C426" i="2" s="1"/>
  <c r="H425" i="2"/>
  <c r="G425" i="2"/>
  <c r="F425" i="2" a="1"/>
  <c r="F425" i="2"/>
  <c r="E425" i="2"/>
  <c r="D425" i="2" a="1"/>
  <c r="D425" i="2" s="1"/>
  <c r="C425" i="2" a="1"/>
  <c r="C425" i="2"/>
  <c r="H424" i="2"/>
  <c r="G424" i="2"/>
  <c r="F424" i="2" a="1"/>
  <c r="F424" i="2"/>
  <c r="E424" i="2"/>
  <c r="D424" i="2" a="1"/>
  <c r="D424" i="2"/>
  <c r="C424" i="2" a="1"/>
  <c r="C424" i="2" s="1"/>
  <c r="H423" i="2"/>
  <c r="G423" i="2"/>
  <c r="F423" i="2" a="1"/>
  <c r="F423" i="2" s="1"/>
  <c r="E423" i="2"/>
  <c r="D423" i="2" a="1"/>
  <c r="D423" i="2"/>
  <c r="C423" i="2" a="1"/>
  <c r="C423" i="2" s="1"/>
  <c r="H422" i="2"/>
  <c r="G422" i="2"/>
  <c r="F422" i="2" a="1"/>
  <c r="F422" i="2"/>
  <c r="E422" i="2"/>
  <c r="D422" i="2" a="1"/>
  <c r="D422" i="2" s="1"/>
  <c r="C422" i="2" a="1"/>
  <c r="C422" i="2" s="1"/>
  <c r="H421" i="2"/>
  <c r="G421" i="2"/>
  <c r="F421" i="2" a="1"/>
  <c r="F421" i="2"/>
  <c r="E421" i="2"/>
  <c r="D421" i="2" a="1"/>
  <c r="D421" i="2"/>
  <c r="C421" i="2" a="1"/>
  <c r="C421" i="2"/>
  <c r="H420" i="2"/>
  <c r="G420" i="2"/>
  <c r="F420" i="2" a="1"/>
  <c r="F420" i="2"/>
  <c r="E420" i="2"/>
  <c r="D420" i="2" a="1"/>
  <c r="D420" i="2"/>
  <c r="C420" i="2" a="1"/>
  <c r="C420" i="2" s="1"/>
  <c r="H419" i="2"/>
  <c r="G419" i="2"/>
  <c r="F419" i="2" a="1"/>
  <c r="F419" i="2" s="1"/>
  <c r="E419" i="2"/>
  <c r="D419" i="2" a="1"/>
  <c r="D419" i="2"/>
  <c r="C419" i="2" a="1"/>
  <c r="C419" i="2" s="1"/>
  <c r="H418" i="2"/>
  <c r="G418" i="2"/>
  <c r="F418" i="2" a="1"/>
  <c r="F418" i="2"/>
  <c r="E418" i="2"/>
  <c r="D418" i="2" a="1"/>
  <c r="D418" i="2" s="1"/>
  <c r="C418" i="2" a="1"/>
  <c r="C418" i="2" s="1"/>
  <c r="H417" i="2"/>
  <c r="G417" i="2"/>
  <c r="F417" i="2" a="1"/>
  <c r="F417" i="2"/>
  <c r="E417" i="2"/>
  <c r="D417" i="2" a="1"/>
  <c r="D417" i="2"/>
  <c r="C417" i="2" a="1"/>
  <c r="C417" i="2"/>
  <c r="H416" i="2"/>
  <c r="G416" i="2"/>
  <c r="F416" i="2" a="1"/>
  <c r="F416" i="2"/>
  <c r="E416" i="2"/>
  <c r="D416" i="2" a="1"/>
  <c r="D416" i="2"/>
  <c r="C416" i="2" a="1"/>
  <c r="C416" i="2"/>
  <c r="H415" i="2"/>
  <c r="G415" i="2"/>
  <c r="F415" i="2" a="1"/>
  <c r="F415" i="2"/>
  <c r="E415" i="2"/>
  <c r="D415" i="2" a="1"/>
  <c r="D415" i="2"/>
  <c r="C415" i="2" a="1"/>
  <c r="C415" i="2" s="1"/>
  <c r="H414" i="2"/>
  <c r="G414" i="2"/>
  <c r="F414" i="2" a="1"/>
  <c r="F414" i="2"/>
  <c r="E414" i="2"/>
  <c r="D414" i="2" a="1"/>
  <c r="D414" i="2" s="1"/>
  <c r="C414" i="2" a="1"/>
  <c r="C414" i="2" s="1"/>
  <c r="H413" i="2"/>
  <c r="G413" i="2"/>
  <c r="F413" i="2" a="1"/>
  <c r="F413" i="2"/>
  <c r="E413" i="2"/>
  <c r="D413" i="2" a="1"/>
  <c r="D413" i="2"/>
  <c r="C413" i="2" a="1"/>
  <c r="C413" i="2"/>
  <c r="H412" i="2"/>
  <c r="G412" i="2"/>
  <c r="F412" i="2" a="1"/>
  <c r="F412" i="2"/>
  <c r="E412" i="2"/>
  <c r="D412" i="2" a="1"/>
  <c r="D412" i="2"/>
  <c r="C412" i="2" a="1"/>
  <c r="C412" i="2" s="1"/>
  <c r="H411" i="2"/>
  <c r="G411" i="2"/>
  <c r="F411" i="2" a="1"/>
  <c r="F411" i="2"/>
  <c r="E411" i="2"/>
  <c r="D411" i="2" a="1"/>
  <c r="D411" i="2"/>
  <c r="C411" i="2" a="1"/>
  <c r="C411" i="2" s="1"/>
  <c r="H410" i="2"/>
  <c r="G410" i="2"/>
  <c r="F410" i="2" a="1"/>
  <c r="F410" i="2" s="1"/>
  <c r="E410" i="2"/>
  <c r="D410" i="2" a="1"/>
  <c r="D410" i="2" s="1"/>
  <c r="C410" i="2" a="1"/>
  <c r="C410" i="2" s="1"/>
  <c r="H409" i="2"/>
  <c r="G409" i="2"/>
  <c r="F409" i="2" a="1"/>
  <c r="F409" i="2"/>
  <c r="E409" i="2"/>
  <c r="D409" i="2" a="1"/>
  <c r="D409" i="2"/>
  <c r="C409" i="2" a="1"/>
  <c r="C409" i="2"/>
  <c r="H408" i="2"/>
  <c r="G408" i="2"/>
  <c r="F408" i="2" a="1"/>
  <c r="F408" i="2"/>
  <c r="E408" i="2"/>
  <c r="D408" i="2" a="1"/>
  <c r="D408" i="2"/>
  <c r="C408" i="2" a="1"/>
  <c r="C408" i="2" s="1"/>
  <c r="H407" i="2"/>
  <c r="G407" i="2"/>
  <c r="F407" i="2" a="1"/>
  <c r="F407" i="2"/>
  <c r="E407" i="2"/>
  <c r="D407" i="2" a="1"/>
  <c r="D407" i="2"/>
  <c r="C407" i="2" a="1"/>
  <c r="C407" i="2" s="1"/>
  <c r="H406" i="2"/>
  <c r="G406" i="2"/>
  <c r="F406" i="2" a="1"/>
  <c r="F406" i="2" s="1"/>
  <c r="E406" i="2"/>
  <c r="D406" i="2" a="1"/>
  <c r="D406" i="2"/>
  <c r="C406" i="2" a="1"/>
  <c r="C406" i="2" s="1"/>
  <c r="H405" i="2"/>
  <c r="G405" i="2"/>
  <c r="F405" i="2" a="1"/>
  <c r="F405" i="2"/>
  <c r="E405" i="2"/>
  <c r="D405" i="2" a="1"/>
  <c r="D405" i="2" s="1"/>
  <c r="C405" i="2" a="1"/>
  <c r="C405" i="2"/>
  <c r="H404" i="2"/>
  <c r="G404" i="2"/>
  <c r="F404" i="2" a="1"/>
  <c r="F404" i="2"/>
  <c r="E404" i="2"/>
  <c r="D404" i="2" a="1"/>
  <c r="D404" i="2"/>
  <c r="C404" i="2" a="1"/>
  <c r="C404" i="2" s="1"/>
  <c r="H403" i="2"/>
  <c r="G403" i="2"/>
  <c r="F403" i="2" a="1"/>
  <c r="F403" i="2" s="1"/>
  <c r="E403" i="2"/>
  <c r="D403" i="2" a="1"/>
  <c r="D403" i="2"/>
  <c r="C403" i="2" a="1"/>
  <c r="C403" i="2" s="1"/>
  <c r="H402" i="2"/>
  <c r="G402" i="2"/>
  <c r="F402" i="2" a="1"/>
  <c r="F402" i="2"/>
  <c r="E402" i="2"/>
  <c r="D402" i="2" a="1"/>
  <c r="D402" i="2"/>
  <c r="C402" i="2" a="1"/>
  <c r="C402" i="2" s="1"/>
  <c r="H401" i="2"/>
  <c r="G401" i="2"/>
  <c r="F401" i="2" a="1"/>
  <c r="F401" i="2"/>
  <c r="E401" i="2"/>
  <c r="D401" i="2" a="1"/>
  <c r="D401" i="2" s="1"/>
  <c r="C401" i="2" a="1"/>
  <c r="C401" i="2"/>
  <c r="H400" i="2"/>
  <c r="G400" i="2"/>
  <c r="F400" i="2" a="1"/>
  <c r="F400" i="2"/>
  <c r="E400" i="2"/>
  <c r="D400" i="2" a="1"/>
  <c r="D400" i="2"/>
  <c r="C400" i="2" a="1"/>
  <c r="C400" i="2" s="1"/>
  <c r="H399" i="2"/>
  <c r="G399" i="2"/>
  <c r="F399" i="2" a="1"/>
  <c r="F399" i="2" s="1"/>
  <c r="E399" i="2"/>
  <c r="D399" i="2" a="1"/>
  <c r="D399" i="2"/>
  <c r="C399" i="2" a="1"/>
  <c r="C399" i="2" s="1"/>
  <c r="H398" i="2"/>
  <c r="G398" i="2"/>
  <c r="F398" i="2" a="1"/>
  <c r="F398" i="2"/>
  <c r="E398" i="2"/>
  <c r="D398" i="2" a="1"/>
  <c r="D398" i="2" s="1"/>
  <c r="C398" i="2" a="1"/>
  <c r="C398" i="2" s="1"/>
  <c r="H397" i="2"/>
  <c r="G397" i="2"/>
  <c r="F397" i="2" a="1"/>
  <c r="F397" i="2"/>
  <c r="E397" i="2"/>
  <c r="D397" i="2" a="1"/>
  <c r="D397" i="2" s="1"/>
  <c r="C397" i="2" a="1"/>
  <c r="C397" i="2"/>
  <c r="H396" i="2"/>
  <c r="G396" i="2"/>
  <c r="F396" i="2" a="1"/>
  <c r="F396" i="2"/>
  <c r="E396" i="2"/>
  <c r="D396" i="2" a="1"/>
  <c r="D396" i="2"/>
  <c r="C396" i="2" a="1"/>
  <c r="C396" i="2" s="1"/>
  <c r="H395" i="2"/>
  <c r="G395" i="2"/>
  <c r="F395" i="2" a="1"/>
  <c r="F395" i="2" s="1"/>
  <c r="E395" i="2"/>
  <c r="D395" i="2" a="1"/>
  <c r="D395" i="2"/>
  <c r="C395" i="2" a="1"/>
  <c r="C395" i="2" s="1"/>
  <c r="H394" i="2"/>
  <c r="G394" i="2"/>
  <c r="F394" i="2" a="1"/>
  <c r="F394" i="2" s="1"/>
  <c r="E394" i="2"/>
  <c r="D394" i="2" a="1"/>
  <c r="D394" i="2" s="1"/>
  <c r="C394" i="2" a="1"/>
  <c r="C394" i="2" s="1"/>
  <c r="H393" i="2"/>
  <c r="G393" i="2"/>
  <c r="F393" i="2" a="1"/>
  <c r="F393" i="2"/>
  <c r="E393" i="2"/>
  <c r="D393" i="2" a="1"/>
  <c r="D393" i="2"/>
  <c r="C393" i="2" a="1"/>
  <c r="C393" i="2"/>
  <c r="H392" i="2"/>
  <c r="G392" i="2"/>
  <c r="F392" i="2" a="1"/>
  <c r="F392" i="2"/>
  <c r="E392" i="2"/>
  <c r="D392" i="2" a="1"/>
  <c r="D392" i="2"/>
  <c r="C392" i="2" a="1"/>
  <c r="C392" i="2"/>
  <c r="H391" i="2"/>
  <c r="G391" i="2"/>
  <c r="F391" i="2" a="1"/>
  <c r="F391" i="2"/>
  <c r="E391" i="2"/>
  <c r="D391" i="2" a="1"/>
  <c r="D391" i="2"/>
  <c r="C391" i="2" a="1"/>
  <c r="C391" i="2" s="1"/>
  <c r="H390" i="2"/>
  <c r="G390" i="2"/>
  <c r="F390" i="2" a="1"/>
  <c r="F390" i="2"/>
  <c r="E390" i="2"/>
  <c r="D390" i="2" a="1"/>
  <c r="D390" i="2" s="1"/>
  <c r="C390" i="2" a="1"/>
  <c r="C390" i="2" s="1"/>
  <c r="H389" i="2"/>
  <c r="G389" i="2"/>
  <c r="F389" i="2" a="1"/>
  <c r="F389" i="2"/>
  <c r="E389" i="2"/>
  <c r="D389" i="2" a="1"/>
  <c r="D389" i="2"/>
  <c r="C389" i="2" a="1"/>
  <c r="C389" i="2"/>
  <c r="H388" i="2"/>
  <c r="G388" i="2"/>
  <c r="F388" i="2" a="1"/>
  <c r="F388" i="2"/>
  <c r="E388" i="2"/>
  <c r="D388" i="2" a="1"/>
  <c r="D388" i="2"/>
  <c r="C388" i="2" a="1"/>
  <c r="C388" i="2" s="1"/>
  <c r="H387" i="2"/>
  <c r="G387" i="2"/>
  <c r="F387" i="2" a="1"/>
  <c r="F387" i="2"/>
  <c r="E387" i="2"/>
  <c r="D387" i="2" a="1"/>
  <c r="D387" i="2"/>
  <c r="C387" i="2" a="1"/>
  <c r="C387" i="2" s="1"/>
  <c r="H386" i="2"/>
  <c r="G386" i="2"/>
  <c r="F386" i="2" a="1"/>
  <c r="F386" i="2" s="1"/>
  <c r="E386" i="2"/>
  <c r="D386" i="2" a="1"/>
  <c r="D386" i="2"/>
  <c r="C386" i="2" a="1"/>
  <c r="C386" i="2" s="1"/>
  <c r="H385" i="2"/>
  <c r="G385" i="2"/>
  <c r="F385" i="2" a="1"/>
  <c r="F385" i="2"/>
  <c r="E385" i="2"/>
  <c r="D385" i="2" a="1"/>
  <c r="D385" i="2"/>
  <c r="C385" i="2" a="1"/>
  <c r="C385" i="2"/>
  <c r="H384" i="2"/>
  <c r="G384" i="2"/>
  <c r="F384" i="2" a="1"/>
  <c r="F384" i="2"/>
  <c r="E384" i="2"/>
  <c r="D384" i="2" a="1"/>
  <c r="D384" i="2"/>
  <c r="C384" i="2" a="1"/>
  <c r="C384" i="2" s="1"/>
  <c r="H383" i="2"/>
  <c r="G383" i="2"/>
  <c r="F383" i="2" a="1"/>
  <c r="F383" i="2"/>
  <c r="E383" i="2"/>
  <c r="D383" i="2" a="1"/>
  <c r="D383" i="2"/>
  <c r="C383" i="2" a="1"/>
  <c r="C383" i="2" s="1"/>
  <c r="H382" i="2"/>
  <c r="G382" i="2"/>
  <c r="F382" i="2" a="1"/>
  <c r="F382" i="2" s="1"/>
  <c r="E382" i="2"/>
  <c r="D382" i="2" a="1"/>
  <c r="D382" i="2"/>
  <c r="C382" i="2" a="1"/>
  <c r="C382" i="2" s="1"/>
  <c r="H381" i="2"/>
  <c r="G381" i="2"/>
  <c r="F381" i="2" a="1"/>
  <c r="F381" i="2"/>
  <c r="E381" i="2"/>
  <c r="D381" i="2" a="1"/>
  <c r="D381" i="2" s="1"/>
  <c r="C381" i="2" a="1"/>
  <c r="C381" i="2"/>
  <c r="H380" i="2"/>
  <c r="G380" i="2"/>
  <c r="F380" i="2" a="1"/>
  <c r="F380" i="2"/>
  <c r="E380" i="2"/>
  <c r="D380" i="2" a="1"/>
  <c r="D380" i="2"/>
  <c r="C380" i="2" a="1"/>
  <c r="C380" i="2"/>
  <c r="H379" i="2"/>
  <c r="G379" i="2"/>
  <c r="F379" i="2" a="1"/>
  <c r="F379" i="2" s="1"/>
  <c r="E379" i="2"/>
  <c r="D379" i="2" a="1"/>
  <c r="D379" i="2"/>
  <c r="C379" i="2" a="1"/>
  <c r="C379" i="2" s="1"/>
  <c r="H378" i="2"/>
  <c r="G378" i="2"/>
  <c r="F378" i="2" a="1"/>
  <c r="F378" i="2" s="1"/>
  <c r="E378" i="2"/>
  <c r="D378" i="2" a="1"/>
  <c r="D378" i="2"/>
  <c r="C378" i="2" a="1"/>
  <c r="C378" i="2" s="1"/>
  <c r="H377" i="2"/>
  <c r="G377" i="2"/>
  <c r="F377" i="2" a="1"/>
  <c r="F377" i="2"/>
  <c r="E377" i="2"/>
  <c r="D377" i="2" a="1"/>
  <c r="D377" i="2"/>
  <c r="C377" i="2" a="1"/>
  <c r="C377" i="2"/>
  <c r="H376" i="2"/>
  <c r="G376" i="2"/>
  <c r="F376" i="2" a="1"/>
  <c r="F376" i="2"/>
  <c r="E376" i="2"/>
  <c r="D376" i="2" a="1"/>
  <c r="D376" i="2"/>
  <c r="C376" i="2" a="1"/>
  <c r="C376" i="2" s="1"/>
  <c r="H375" i="2"/>
  <c r="G375" i="2"/>
  <c r="F375" i="2" a="1"/>
  <c r="F375" i="2" s="1"/>
  <c r="E375" i="2"/>
  <c r="D375" i="2" a="1"/>
  <c r="D375" i="2"/>
  <c r="C375" i="2" a="1"/>
  <c r="C375" i="2" s="1"/>
  <c r="H374" i="2"/>
  <c r="G374" i="2"/>
  <c r="F374" i="2" a="1"/>
  <c r="F374" i="2"/>
  <c r="E374" i="2"/>
  <c r="D374" i="2" a="1"/>
  <c r="D374" i="2" s="1"/>
  <c r="C374" i="2" a="1"/>
  <c r="C374" i="2" s="1"/>
  <c r="H373" i="2"/>
  <c r="G373" i="2"/>
  <c r="F373" i="2" a="1"/>
  <c r="F373" i="2"/>
  <c r="E373" i="2"/>
  <c r="D373" i="2" a="1"/>
  <c r="D373" i="2" s="1"/>
  <c r="C373" i="2" a="1"/>
  <c r="C373" i="2"/>
  <c r="H372" i="2"/>
  <c r="G372" i="2"/>
  <c r="F372" i="2" a="1"/>
  <c r="F372" i="2"/>
  <c r="E372" i="2"/>
  <c r="D372" i="2" a="1"/>
  <c r="D372" i="2"/>
  <c r="C372" i="2" a="1"/>
  <c r="C372" i="2" s="1"/>
  <c r="H371" i="2"/>
  <c r="G371" i="2"/>
  <c r="F371" i="2" a="1"/>
  <c r="F371" i="2" s="1"/>
  <c r="E371" i="2"/>
  <c r="D371" i="2" a="1"/>
  <c r="D371" i="2"/>
  <c r="C371" i="2" a="1"/>
  <c r="C371" i="2" s="1"/>
  <c r="H370" i="2"/>
  <c r="G370" i="2"/>
  <c r="F370" i="2" a="1"/>
  <c r="F370" i="2" s="1"/>
  <c r="E370" i="2"/>
  <c r="D370" i="2" a="1"/>
  <c r="D370" i="2" s="1"/>
  <c r="C370" i="2" a="1"/>
  <c r="C370" i="2" s="1"/>
  <c r="H369" i="2"/>
  <c r="G369" i="2"/>
  <c r="F369" i="2" a="1"/>
  <c r="F369" i="2"/>
  <c r="E369" i="2"/>
  <c r="D369" i="2" a="1"/>
  <c r="D369" i="2" s="1"/>
  <c r="C369" i="2" a="1"/>
  <c r="C369" i="2"/>
  <c r="H368" i="2"/>
  <c r="G368" i="2"/>
  <c r="F368" i="2" a="1"/>
  <c r="F368" i="2"/>
  <c r="E368" i="2"/>
  <c r="D368" i="2" a="1"/>
  <c r="D368" i="2"/>
  <c r="C368" i="2" a="1"/>
  <c r="C368" i="2"/>
  <c r="H367" i="2"/>
  <c r="G367" i="2"/>
  <c r="F367" i="2" a="1"/>
  <c r="F367" i="2"/>
  <c r="E367" i="2"/>
  <c r="D367" i="2" a="1"/>
  <c r="D367" i="2"/>
  <c r="C367" i="2" a="1"/>
  <c r="C367" i="2" s="1"/>
  <c r="H366" i="2"/>
  <c r="G366" i="2"/>
  <c r="F366" i="2" a="1"/>
  <c r="F366" i="2"/>
  <c r="E366" i="2"/>
  <c r="D366" i="2" a="1"/>
  <c r="D366" i="2" s="1"/>
  <c r="C366" i="2" a="1"/>
  <c r="C366" i="2" s="1"/>
  <c r="H365" i="2"/>
  <c r="G365" i="2"/>
  <c r="F365" i="2" a="1"/>
  <c r="F365" i="2"/>
  <c r="E365" i="2"/>
  <c r="D365" i="2" a="1"/>
  <c r="D365" i="2"/>
  <c r="C365" i="2" a="1"/>
  <c r="C365" i="2"/>
  <c r="H364" i="2"/>
  <c r="G364" i="2"/>
  <c r="F364" i="2" a="1"/>
  <c r="F364" i="2"/>
  <c r="E364" i="2"/>
  <c r="D364" i="2" a="1"/>
  <c r="D364" i="2"/>
  <c r="C364" i="2" a="1"/>
  <c r="C364" i="2" s="1"/>
  <c r="H363" i="2"/>
  <c r="G363" i="2"/>
  <c r="F363" i="2" a="1"/>
  <c r="F363" i="2" s="1"/>
  <c r="E363" i="2"/>
  <c r="D363" i="2" a="1"/>
  <c r="D363" i="2"/>
  <c r="C363" i="2" a="1"/>
  <c r="C363" i="2" s="1"/>
  <c r="H362" i="2"/>
  <c r="G362" i="2"/>
  <c r="F362" i="2" a="1"/>
  <c r="F362" i="2" s="1"/>
  <c r="E362" i="2"/>
  <c r="D362" i="2" a="1"/>
  <c r="D362" i="2" s="1"/>
  <c r="C362" i="2" a="1"/>
  <c r="C362" i="2" s="1"/>
  <c r="H361" i="2"/>
  <c r="G361" i="2"/>
  <c r="F361" i="2" a="1"/>
  <c r="F361" i="2"/>
  <c r="E361" i="2"/>
  <c r="D361" i="2" a="1"/>
  <c r="D361" i="2"/>
  <c r="C361" i="2" a="1"/>
  <c r="C361" i="2"/>
  <c r="H360" i="2"/>
  <c r="G360" i="2"/>
  <c r="F360" i="2" a="1"/>
  <c r="F360" i="2"/>
  <c r="E360" i="2"/>
  <c r="D360" i="2" a="1"/>
  <c r="D360" i="2"/>
  <c r="C360" i="2" a="1"/>
  <c r="C360" i="2" s="1"/>
  <c r="H359" i="2"/>
  <c r="G359" i="2"/>
  <c r="F359" i="2" a="1"/>
  <c r="F359" i="2" s="1"/>
  <c r="E359" i="2"/>
  <c r="D359" i="2" a="1"/>
  <c r="D359" i="2"/>
  <c r="C359" i="2" a="1"/>
  <c r="C359" i="2" s="1"/>
  <c r="H358" i="2"/>
  <c r="G358" i="2"/>
  <c r="F358" i="2" a="1"/>
  <c r="F358" i="2" s="1"/>
  <c r="E358" i="2"/>
  <c r="D358" i="2" a="1"/>
  <c r="D358" i="2"/>
  <c r="C358" i="2" a="1"/>
  <c r="C358" i="2" s="1"/>
  <c r="H357" i="2"/>
  <c r="G357" i="2"/>
  <c r="F357" i="2" a="1"/>
  <c r="F357" i="2"/>
  <c r="E357" i="2"/>
  <c r="D357" i="2" a="1"/>
  <c r="D357" i="2" s="1"/>
  <c r="C357" i="2" a="1"/>
  <c r="C357" i="2"/>
  <c r="H356" i="2"/>
  <c r="G356" i="2"/>
  <c r="F356" i="2" a="1"/>
  <c r="F356" i="2"/>
  <c r="E356" i="2"/>
  <c r="D356" i="2" a="1"/>
  <c r="D356" i="2"/>
  <c r="C356" i="2" a="1"/>
  <c r="C356" i="2" s="1"/>
  <c r="H355" i="2"/>
  <c r="G355" i="2"/>
  <c r="F355" i="2" a="1"/>
  <c r="F355" i="2" s="1"/>
  <c r="E355" i="2"/>
  <c r="D355" i="2" a="1"/>
  <c r="D355" i="2"/>
  <c r="C355" i="2" a="1"/>
  <c r="C355" i="2" s="1"/>
  <c r="H354" i="2"/>
  <c r="G354" i="2"/>
  <c r="F354" i="2" a="1"/>
  <c r="F354" i="2"/>
  <c r="E354" i="2"/>
  <c r="D354" i="2" a="1"/>
  <c r="D354" i="2"/>
  <c r="C354" i="2" a="1"/>
  <c r="C354" i="2" s="1"/>
  <c r="H353" i="2"/>
  <c r="G353" i="2"/>
  <c r="F353" i="2" a="1"/>
  <c r="F353" i="2"/>
  <c r="E353" i="2"/>
  <c r="D353" i="2" a="1"/>
  <c r="D353" i="2" s="1"/>
  <c r="C353" i="2" a="1"/>
  <c r="C353" i="2"/>
  <c r="H352" i="2"/>
  <c r="G352" i="2"/>
  <c r="F352" i="2" a="1"/>
  <c r="F352" i="2"/>
  <c r="E352" i="2"/>
  <c r="D352" i="2" a="1"/>
  <c r="D352" i="2"/>
  <c r="C352" i="2" a="1"/>
  <c r="C352" i="2" s="1"/>
  <c r="H351" i="2"/>
  <c r="G351" i="2"/>
  <c r="F351" i="2" a="1"/>
  <c r="F351" i="2" s="1"/>
  <c r="E351" i="2"/>
  <c r="D351" i="2" a="1"/>
  <c r="D351" i="2"/>
  <c r="C351" i="2" a="1"/>
  <c r="C351" i="2" s="1"/>
  <c r="H350" i="2"/>
  <c r="G350" i="2"/>
  <c r="F350" i="2" a="1"/>
  <c r="F350" i="2"/>
  <c r="E350" i="2"/>
  <c r="D350" i="2" a="1"/>
  <c r="D350" i="2" s="1"/>
  <c r="C350" i="2" a="1"/>
  <c r="C350" i="2" s="1"/>
  <c r="H349" i="2"/>
  <c r="G349" i="2"/>
  <c r="F349" i="2" a="1"/>
  <c r="F349" i="2"/>
  <c r="E349" i="2"/>
  <c r="D349" i="2" a="1"/>
  <c r="D349" i="2"/>
  <c r="C349" i="2" a="1"/>
  <c r="C349" i="2"/>
  <c r="H348" i="2"/>
  <c r="G348" i="2"/>
  <c r="F348" i="2" a="1"/>
  <c r="F348" i="2"/>
  <c r="E348" i="2"/>
  <c r="D348" i="2" a="1"/>
  <c r="D348" i="2"/>
  <c r="C348" i="2" a="1"/>
  <c r="C348" i="2" s="1"/>
  <c r="H347" i="2"/>
  <c r="G347" i="2"/>
  <c r="F347" i="2" a="1"/>
  <c r="F347" i="2" s="1"/>
  <c r="E347" i="2"/>
  <c r="D347" i="2" a="1"/>
  <c r="D347" i="2"/>
  <c r="C347" i="2" a="1"/>
  <c r="C347" i="2" s="1"/>
  <c r="H346" i="2"/>
  <c r="G346" i="2"/>
  <c r="F346" i="2" a="1"/>
  <c r="F346" i="2"/>
  <c r="E346" i="2"/>
  <c r="D346" i="2" a="1"/>
  <c r="D346" i="2"/>
  <c r="C346" i="2" a="1"/>
  <c r="C346" i="2" s="1"/>
  <c r="H345" i="2"/>
  <c r="G345" i="2"/>
  <c r="F345" i="2" a="1"/>
  <c r="F345" i="2"/>
  <c r="E345" i="2"/>
  <c r="D345" i="2" a="1"/>
  <c r="D345" i="2" s="1"/>
  <c r="C345" i="2" a="1"/>
  <c r="C345" i="2"/>
  <c r="H344" i="2"/>
  <c r="G344" i="2"/>
  <c r="F344" i="2" a="1"/>
  <c r="F344" i="2"/>
  <c r="E344" i="2"/>
  <c r="D344" i="2" a="1"/>
  <c r="D344" i="2"/>
  <c r="C344" i="2" a="1"/>
  <c r="C344" i="2"/>
  <c r="H343" i="2"/>
  <c r="G343" i="2"/>
  <c r="F343" i="2" a="1"/>
  <c r="F343" i="2"/>
  <c r="E343" i="2"/>
  <c r="D343" i="2" a="1"/>
  <c r="D343" i="2"/>
  <c r="C343" i="2" a="1"/>
  <c r="C343" i="2" s="1"/>
  <c r="H342" i="2"/>
  <c r="G342" i="2"/>
  <c r="F342" i="2" a="1"/>
  <c r="F342" i="2"/>
  <c r="E342" i="2"/>
  <c r="D342" i="2" a="1"/>
  <c r="D342" i="2" s="1"/>
  <c r="C342" i="2" a="1"/>
  <c r="C342" i="2" s="1"/>
  <c r="H341" i="2"/>
  <c r="G341" i="2"/>
  <c r="F341" i="2" a="1"/>
  <c r="F341" i="2"/>
  <c r="E341" i="2"/>
  <c r="D341" i="2" a="1"/>
  <c r="D341" i="2"/>
  <c r="C341" i="2" a="1"/>
  <c r="C341" i="2"/>
  <c r="H340" i="2"/>
  <c r="G340" i="2"/>
  <c r="F340" i="2" a="1"/>
  <c r="F340" i="2"/>
  <c r="E340" i="2"/>
  <c r="D340" i="2" a="1"/>
  <c r="D340" i="2"/>
  <c r="C340" i="2" a="1"/>
  <c r="C340" i="2" s="1"/>
  <c r="H339" i="2"/>
  <c r="G339" i="2"/>
  <c r="F339" i="2" a="1"/>
  <c r="F339" i="2" s="1"/>
  <c r="E339" i="2"/>
  <c r="D339" i="2" a="1"/>
  <c r="D339" i="2"/>
  <c r="C339" i="2" a="1"/>
  <c r="C339" i="2" s="1"/>
  <c r="H338" i="2"/>
  <c r="G338" i="2"/>
  <c r="F338" i="2" a="1"/>
  <c r="F338" i="2" s="1"/>
  <c r="E338" i="2"/>
  <c r="D338" i="2" a="1"/>
  <c r="D338" i="2" s="1"/>
  <c r="C338" i="2" a="1"/>
  <c r="C338" i="2" s="1"/>
  <c r="H337" i="2"/>
  <c r="G337" i="2"/>
  <c r="F337" i="2" a="1"/>
  <c r="F337" i="2"/>
  <c r="E337" i="2"/>
  <c r="D337" i="2" a="1"/>
  <c r="D337" i="2"/>
  <c r="C337" i="2" a="1"/>
  <c r="C337" i="2"/>
  <c r="H336" i="2"/>
  <c r="G336" i="2"/>
  <c r="F336" i="2" a="1"/>
  <c r="F336" i="2"/>
  <c r="E336" i="2"/>
  <c r="D336" i="2" a="1"/>
  <c r="D336" i="2"/>
  <c r="C336" i="2" a="1"/>
  <c r="C336" i="2" s="1"/>
  <c r="H335" i="2"/>
  <c r="G335" i="2"/>
  <c r="F335" i="2" a="1"/>
  <c r="F335" i="2" s="1"/>
  <c r="E335" i="2"/>
  <c r="D335" i="2" a="1"/>
  <c r="D335" i="2"/>
  <c r="C335" i="2" a="1"/>
  <c r="C335" i="2" s="1"/>
  <c r="H334" i="2"/>
  <c r="G334" i="2"/>
  <c r="F334" i="2" a="1"/>
  <c r="F334" i="2" s="1"/>
  <c r="E334" i="2"/>
  <c r="D334" i="2" a="1"/>
  <c r="D334" i="2"/>
  <c r="C334" i="2" a="1"/>
  <c r="C334" i="2" s="1"/>
  <c r="H333" i="2"/>
  <c r="G333" i="2"/>
  <c r="F333" i="2" a="1"/>
  <c r="F333" i="2"/>
  <c r="E333" i="2"/>
  <c r="D333" i="2" a="1"/>
  <c r="D333" i="2" s="1"/>
  <c r="C333" i="2" a="1"/>
  <c r="C333" i="2"/>
  <c r="H332" i="2"/>
  <c r="G332" i="2"/>
  <c r="F332" i="2" a="1"/>
  <c r="F332" i="2"/>
  <c r="E332" i="2"/>
  <c r="D332" i="2" a="1"/>
  <c r="D332" i="2"/>
  <c r="C332" i="2" a="1"/>
  <c r="C332" i="2" s="1"/>
  <c r="H331" i="2"/>
  <c r="G331" i="2"/>
  <c r="F331" i="2" a="1"/>
  <c r="F331" i="2" s="1"/>
  <c r="E331" i="2"/>
  <c r="D331" i="2" a="1"/>
  <c r="D331" i="2"/>
  <c r="C331" i="2" a="1"/>
  <c r="C331" i="2" s="1"/>
  <c r="H330" i="2"/>
  <c r="G330" i="2"/>
  <c r="F330" i="2" a="1"/>
  <c r="F330" i="2"/>
  <c r="E330" i="2"/>
  <c r="D330" i="2" a="1"/>
  <c r="D330" i="2"/>
  <c r="C330" i="2" a="1"/>
  <c r="C330" i="2" s="1"/>
  <c r="H329" i="2"/>
  <c r="G329" i="2"/>
  <c r="F329" i="2" a="1"/>
  <c r="F329" i="2"/>
  <c r="E329" i="2"/>
  <c r="D329" i="2" a="1"/>
  <c r="D329" i="2" s="1"/>
  <c r="C329" i="2" a="1"/>
  <c r="C329" i="2"/>
  <c r="H328" i="2"/>
  <c r="G328" i="2"/>
  <c r="F328" i="2" a="1"/>
  <c r="F328" i="2"/>
  <c r="E328" i="2"/>
  <c r="D328" i="2" a="1"/>
  <c r="D328" i="2"/>
  <c r="C328" i="2" a="1"/>
  <c r="C328" i="2" s="1"/>
  <c r="H327" i="2"/>
  <c r="G327" i="2"/>
  <c r="F327" i="2" a="1"/>
  <c r="F327" i="2" s="1"/>
  <c r="E327" i="2"/>
  <c r="D327" i="2" a="1"/>
  <c r="D327" i="2"/>
  <c r="C327" i="2" a="1"/>
  <c r="C327" i="2" s="1"/>
  <c r="H326" i="2"/>
  <c r="G326" i="2"/>
  <c r="F326" i="2" a="1"/>
  <c r="F326" i="2" s="1"/>
  <c r="E326" i="2"/>
  <c r="D326" i="2" a="1"/>
  <c r="D326" i="2" s="1"/>
  <c r="C326" i="2" a="1"/>
  <c r="C326" i="2" s="1"/>
  <c r="H325" i="2"/>
  <c r="G325" i="2"/>
  <c r="F325" i="2" a="1"/>
  <c r="F325" i="2"/>
  <c r="E325" i="2"/>
  <c r="D325" i="2" a="1"/>
  <c r="D325" i="2" s="1"/>
  <c r="C325" i="2" a="1"/>
  <c r="C325" i="2"/>
  <c r="H324" i="2"/>
  <c r="G324" i="2"/>
  <c r="F324" i="2" a="1"/>
  <c r="F324" i="2"/>
  <c r="E324" i="2"/>
  <c r="D324" i="2" a="1"/>
  <c r="D324" i="2"/>
  <c r="C324" i="2" a="1"/>
  <c r="C324" i="2" s="1"/>
  <c r="H323" i="2"/>
  <c r="G323" i="2"/>
  <c r="F323" i="2" a="1"/>
  <c r="F323" i="2" s="1"/>
  <c r="E323" i="2"/>
  <c r="D323" i="2" a="1"/>
  <c r="D323" i="2"/>
  <c r="C323" i="2" a="1"/>
  <c r="C323" i="2" s="1"/>
  <c r="H322" i="2"/>
  <c r="G322" i="2"/>
  <c r="F322" i="2" a="1"/>
  <c r="F322" i="2" s="1"/>
  <c r="E322" i="2"/>
  <c r="D322" i="2" a="1"/>
  <c r="D322" i="2" s="1"/>
  <c r="C322" i="2" a="1"/>
  <c r="C322" i="2" s="1"/>
  <c r="H321" i="2"/>
  <c r="G321" i="2"/>
  <c r="F321" i="2" a="1"/>
  <c r="F321" i="2"/>
  <c r="E321" i="2"/>
  <c r="D321" i="2" a="1"/>
  <c r="D321" i="2"/>
  <c r="C321" i="2" a="1"/>
  <c r="C321" i="2"/>
  <c r="H320" i="2"/>
  <c r="G320" i="2"/>
  <c r="F320" i="2" a="1"/>
  <c r="F320" i="2"/>
  <c r="E320" i="2"/>
  <c r="D320" i="2" a="1"/>
  <c r="D320" i="2"/>
  <c r="C320" i="2" a="1"/>
  <c r="C320" i="2" s="1"/>
  <c r="H319" i="2"/>
  <c r="G319" i="2"/>
  <c r="F319" i="2" a="1"/>
  <c r="F319" i="2"/>
  <c r="E319" i="2"/>
  <c r="D319" i="2" a="1"/>
  <c r="D319" i="2"/>
  <c r="C319" i="2" a="1"/>
  <c r="C319" i="2" s="1"/>
  <c r="H318" i="2"/>
  <c r="G318" i="2"/>
  <c r="F318" i="2" a="1"/>
  <c r="F318" i="2" s="1"/>
  <c r="E318" i="2"/>
  <c r="D318" i="2" a="1"/>
  <c r="D318" i="2" s="1"/>
  <c r="C318" i="2" a="1"/>
  <c r="C318" i="2" s="1"/>
  <c r="H317" i="2"/>
  <c r="G317" i="2"/>
  <c r="F317" i="2" a="1"/>
  <c r="F317" i="2"/>
  <c r="E317" i="2"/>
  <c r="D317" i="2" a="1"/>
  <c r="D317" i="2"/>
  <c r="C317" i="2" a="1"/>
  <c r="C317" i="2"/>
  <c r="H316" i="2"/>
  <c r="G316" i="2"/>
  <c r="F316" i="2" a="1"/>
  <c r="F316" i="2"/>
  <c r="E316" i="2"/>
  <c r="D316" i="2" a="1"/>
  <c r="D316" i="2"/>
  <c r="C316" i="2" a="1"/>
  <c r="C316" i="2" s="1"/>
  <c r="H315" i="2"/>
  <c r="G315" i="2"/>
  <c r="F315" i="2" a="1"/>
  <c r="F315" i="2" s="1"/>
  <c r="E315" i="2"/>
  <c r="D315" i="2" a="1"/>
  <c r="D315" i="2"/>
  <c r="C315" i="2" a="1"/>
  <c r="C315" i="2" s="1"/>
  <c r="H314" i="2"/>
  <c r="G314" i="2"/>
  <c r="F314" i="2" a="1"/>
  <c r="F314" i="2" s="1"/>
  <c r="E314" i="2"/>
  <c r="D314" i="2" a="1"/>
  <c r="D314" i="2"/>
  <c r="C314" i="2" a="1"/>
  <c r="C314" i="2" s="1"/>
  <c r="H313" i="2"/>
  <c r="G313" i="2"/>
  <c r="F313" i="2" a="1"/>
  <c r="F313" i="2"/>
  <c r="E313" i="2"/>
  <c r="D313" i="2" a="1"/>
  <c r="D313" i="2"/>
  <c r="C313" i="2" a="1"/>
  <c r="C313" i="2"/>
  <c r="H312" i="2"/>
  <c r="G312" i="2"/>
  <c r="F312" i="2" a="1"/>
  <c r="F312" i="2"/>
  <c r="E312" i="2"/>
  <c r="D312" i="2" a="1"/>
  <c r="D312" i="2"/>
  <c r="C312" i="2" a="1"/>
  <c r="C312" i="2" s="1"/>
  <c r="H311" i="2"/>
  <c r="G311" i="2"/>
  <c r="F311" i="2" a="1"/>
  <c r="F311" i="2"/>
  <c r="E311" i="2"/>
  <c r="D311" i="2" a="1"/>
  <c r="D311" i="2"/>
  <c r="C311" i="2" a="1"/>
  <c r="C311" i="2" s="1"/>
  <c r="H310" i="2"/>
  <c r="G310" i="2"/>
  <c r="F310" i="2" a="1"/>
  <c r="F310" i="2" s="1"/>
  <c r="E310" i="2"/>
  <c r="D310" i="2" a="1"/>
  <c r="D310" i="2"/>
  <c r="C310" i="2" a="1"/>
  <c r="C310" i="2" s="1"/>
  <c r="H309" i="2"/>
  <c r="G309" i="2"/>
  <c r="F309" i="2" a="1"/>
  <c r="F309" i="2"/>
  <c r="E309" i="2"/>
  <c r="D309" i="2" a="1"/>
  <c r="D309" i="2" s="1"/>
  <c r="C309" i="2" a="1"/>
  <c r="C309" i="2"/>
  <c r="H308" i="2"/>
  <c r="G308" i="2"/>
  <c r="F308" i="2" a="1"/>
  <c r="F308" i="2"/>
  <c r="E308" i="2"/>
  <c r="D308" i="2" a="1"/>
  <c r="D308" i="2"/>
  <c r="C308" i="2" a="1"/>
  <c r="C308" i="2" s="1"/>
  <c r="H307" i="2"/>
  <c r="G307" i="2"/>
  <c r="F307" i="2" a="1"/>
  <c r="F307" i="2" s="1"/>
  <c r="E307" i="2"/>
  <c r="D307" i="2" a="1"/>
  <c r="D307" i="2"/>
  <c r="C307" i="2" a="1"/>
  <c r="C307" i="2" s="1"/>
  <c r="H306" i="2"/>
  <c r="G306" i="2"/>
  <c r="F306" i="2" a="1"/>
  <c r="F306" i="2"/>
  <c r="E306" i="2"/>
  <c r="D306" i="2" a="1"/>
  <c r="D306" i="2"/>
  <c r="C306" i="2" a="1"/>
  <c r="C306" i="2" s="1"/>
  <c r="H305" i="2"/>
  <c r="G305" i="2"/>
  <c r="F305" i="2" a="1"/>
  <c r="F305" i="2"/>
  <c r="E305" i="2"/>
  <c r="D305" i="2" a="1"/>
  <c r="D305" i="2"/>
  <c r="C305" i="2" a="1"/>
  <c r="C305" i="2"/>
  <c r="H304" i="2"/>
  <c r="G304" i="2"/>
  <c r="F304" i="2" a="1"/>
  <c r="F304" i="2"/>
  <c r="E304" i="2"/>
  <c r="D304" i="2" a="1"/>
  <c r="D304" i="2"/>
  <c r="C304" i="2" a="1"/>
  <c r="C304" i="2" s="1"/>
  <c r="H303" i="2"/>
  <c r="G303" i="2"/>
  <c r="F303" i="2" a="1"/>
  <c r="F303" i="2" s="1"/>
  <c r="E303" i="2"/>
  <c r="D303" i="2" a="1"/>
  <c r="D303" i="2"/>
  <c r="C303" i="2" a="1"/>
  <c r="C303" i="2" s="1"/>
  <c r="H302" i="2"/>
  <c r="G302" i="2"/>
  <c r="F302" i="2" a="1"/>
  <c r="F302" i="2"/>
  <c r="E302" i="2"/>
  <c r="D302" i="2" a="1"/>
  <c r="D302" i="2" s="1"/>
  <c r="C302" i="2" a="1"/>
  <c r="C302" i="2" s="1"/>
  <c r="H301" i="2"/>
  <c r="G301" i="2"/>
  <c r="F301" i="2" a="1"/>
  <c r="F301" i="2"/>
  <c r="E301" i="2"/>
  <c r="D301" i="2" a="1"/>
  <c r="D301" i="2" s="1"/>
  <c r="C301" i="2" a="1"/>
  <c r="C301" i="2"/>
  <c r="H300" i="2"/>
  <c r="G300" i="2"/>
  <c r="F300" i="2" a="1"/>
  <c r="F300" i="2"/>
  <c r="E300" i="2"/>
  <c r="D300" i="2" a="1"/>
  <c r="D300" i="2"/>
  <c r="C300" i="2" a="1"/>
  <c r="C300" i="2" s="1"/>
  <c r="H299" i="2"/>
  <c r="G299" i="2"/>
  <c r="F299" i="2" a="1"/>
  <c r="F299" i="2" s="1"/>
  <c r="E299" i="2"/>
  <c r="D299" i="2" a="1"/>
  <c r="D299" i="2"/>
  <c r="C299" i="2" a="1"/>
  <c r="C299" i="2" s="1"/>
  <c r="H298" i="2"/>
  <c r="G298" i="2"/>
  <c r="F298" i="2" a="1"/>
  <c r="F298" i="2" s="1"/>
  <c r="E298" i="2"/>
  <c r="D298" i="2" a="1"/>
  <c r="D298" i="2" s="1"/>
  <c r="C298" i="2" a="1"/>
  <c r="C298" i="2" s="1"/>
  <c r="H297" i="2"/>
  <c r="G297" i="2"/>
  <c r="F297" i="2" a="1"/>
  <c r="F297" i="2"/>
  <c r="E297" i="2"/>
  <c r="D297" i="2" a="1"/>
  <c r="D297" i="2" s="1"/>
  <c r="C297" i="2" a="1"/>
  <c r="C297" i="2"/>
  <c r="H296" i="2"/>
  <c r="G296" i="2"/>
  <c r="F296" i="2" a="1"/>
  <c r="F296" i="2"/>
  <c r="E296" i="2"/>
  <c r="D296" i="2" a="1"/>
  <c r="D296" i="2"/>
  <c r="C296" i="2" a="1"/>
  <c r="C296" i="2"/>
  <c r="H295" i="2"/>
  <c r="G295" i="2"/>
  <c r="F295" i="2" a="1"/>
  <c r="F295" i="2"/>
  <c r="E295" i="2"/>
  <c r="D295" i="2" a="1"/>
  <c r="D295" i="2"/>
  <c r="C295" i="2" a="1"/>
  <c r="C295" i="2" s="1"/>
  <c r="H294" i="2"/>
  <c r="G294" i="2"/>
  <c r="F294" i="2" a="1"/>
  <c r="F294" i="2"/>
  <c r="E294" i="2"/>
  <c r="D294" i="2" a="1"/>
  <c r="D294" i="2" s="1"/>
  <c r="C294" i="2" a="1"/>
  <c r="C294" i="2" s="1"/>
  <c r="H293" i="2"/>
  <c r="G293" i="2"/>
  <c r="F293" i="2" a="1"/>
  <c r="F293" i="2"/>
  <c r="E293" i="2"/>
  <c r="D293" i="2" a="1"/>
  <c r="D293" i="2"/>
  <c r="C293" i="2" a="1"/>
  <c r="C293" i="2"/>
  <c r="H292" i="2"/>
  <c r="G292" i="2"/>
  <c r="F292" i="2" a="1"/>
  <c r="F292" i="2"/>
  <c r="E292" i="2"/>
  <c r="D292" i="2" a="1"/>
  <c r="D292" i="2"/>
  <c r="C292" i="2" a="1"/>
  <c r="C292" i="2" s="1"/>
  <c r="H291" i="2"/>
  <c r="G291" i="2"/>
  <c r="F291" i="2" a="1"/>
  <c r="F291" i="2" s="1"/>
  <c r="E291" i="2"/>
  <c r="D291" i="2" a="1"/>
  <c r="D291" i="2"/>
  <c r="C291" i="2" a="1"/>
  <c r="C291" i="2" s="1"/>
  <c r="H290" i="2"/>
  <c r="G290" i="2"/>
  <c r="F290" i="2" a="1"/>
  <c r="F290" i="2" s="1"/>
  <c r="E290" i="2"/>
  <c r="D290" i="2" a="1"/>
  <c r="D290" i="2" s="1"/>
  <c r="C290" i="2" a="1"/>
  <c r="C290" i="2" s="1"/>
  <c r="H289" i="2"/>
  <c r="G289" i="2"/>
  <c r="F289" i="2" a="1"/>
  <c r="F289" i="2"/>
  <c r="E289" i="2"/>
  <c r="D289" i="2" a="1"/>
  <c r="D289" i="2"/>
  <c r="C289" i="2" a="1"/>
  <c r="C289" i="2"/>
  <c r="H288" i="2"/>
  <c r="G288" i="2"/>
  <c r="F288" i="2" a="1"/>
  <c r="F288" i="2"/>
  <c r="E288" i="2"/>
  <c r="D288" i="2" a="1"/>
  <c r="D288" i="2"/>
  <c r="C288" i="2" a="1"/>
  <c r="C288" i="2" s="1"/>
  <c r="H287" i="2"/>
  <c r="G287" i="2"/>
  <c r="F287" i="2" a="1"/>
  <c r="F287" i="2" s="1"/>
  <c r="E287" i="2"/>
  <c r="D287" i="2" a="1"/>
  <c r="D287" i="2"/>
  <c r="C287" i="2" a="1"/>
  <c r="C287" i="2" s="1"/>
  <c r="H286" i="2"/>
  <c r="G286" i="2"/>
  <c r="F286" i="2" a="1"/>
  <c r="F286" i="2" s="1"/>
  <c r="E286" i="2"/>
  <c r="D286" i="2" a="1"/>
  <c r="D286" i="2"/>
  <c r="C286" i="2" a="1"/>
  <c r="C286" i="2" s="1"/>
  <c r="H285" i="2"/>
  <c r="G285" i="2"/>
  <c r="F285" i="2" a="1"/>
  <c r="F285" i="2"/>
  <c r="E285" i="2"/>
  <c r="D285" i="2" a="1"/>
  <c r="D285" i="2" s="1"/>
  <c r="C285" i="2" a="1"/>
  <c r="C285" i="2"/>
  <c r="H284" i="2"/>
  <c r="G284" i="2"/>
  <c r="F284" i="2" a="1"/>
  <c r="F284" i="2"/>
  <c r="E284" i="2"/>
  <c r="D284" i="2" a="1"/>
  <c r="D284" i="2"/>
  <c r="C284" i="2" a="1"/>
  <c r="C284" i="2" s="1"/>
  <c r="H283" i="2"/>
  <c r="G283" i="2"/>
  <c r="F283" i="2" a="1"/>
  <c r="F283" i="2" s="1"/>
  <c r="E283" i="2"/>
  <c r="D283" i="2" a="1"/>
  <c r="D283" i="2"/>
  <c r="C283" i="2" a="1"/>
  <c r="C283" i="2" s="1"/>
  <c r="H282" i="2"/>
  <c r="G282" i="2"/>
  <c r="F282" i="2" a="1"/>
  <c r="F282" i="2"/>
  <c r="E282" i="2"/>
  <c r="D282" i="2" a="1"/>
  <c r="D282" i="2"/>
  <c r="C282" i="2" a="1"/>
  <c r="C282" i="2" s="1"/>
  <c r="H281" i="2"/>
  <c r="G281" i="2"/>
  <c r="F281" i="2" a="1"/>
  <c r="F281" i="2"/>
  <c r="E281" i="2"/>
  <c r="D281" i="2" a="1"/>
  <c r="D281" i="2" s="1"/>
  <c r="C281" i="2" a="1"/>
  <c r="C281" i="2"/>
  <c r="H280" i="2"/>
  <c r="G280" i="2"/>
  <c r="F280" i="2" a="1"/>
  <c r="F280" i="2"/>
  <c r="E280" i="2"/>
  <c r="D280" i="2" a="1"/>
  <c r="D280" i="2"/>
  <c r="C280" i="2" a="1"/>
  <c r="C280" i="2" s="1"/>
  <c r="H279" i="2"/>
  <c r="G279" i="2"/>
  <c r="F279" i="2" a="1"/>
  <c r="F279" i="2" s="1"/>
  <c r="E279" i="2"/>
  <c r="D279" i="2" a="1"/>
  <c r="D279" i="2"/>
  <c r="C279" i="2" a="1"/>
  <c r="C279" i="2" s="1"/>
  <c r="H278" i="2"/>
  <c r="G278" i="2"/>
  <c r="F278" i="2" a="1"/>
  <c r="F278" i="2" s="1"/>
  <c r="E278" i="2"/>
  <c r="D278" i="2" a="1"/>
  <c r="D278" i="2" s="1"/>
  <c r="C278" i="2" a="1"/>
  <c r="C278" i="2" s="1"/>
  <c r="H277" i="2"/>
  <c r="G277" i="2"/>
  <c r="F277" i="2" a="1"/>
  <c r="F277" i="2"/>
  <c r="E277" i="2"/>
  <c r="D277" i="2" a="1"/>
  <c r="D277" i="2" s="1"/>
  <c r="C277" i="2" a="1"/>
  <c r="C277" i="2"/>
  <c r="H276" i="2"/>
  <c r="G276" i="2"/>
  <c r="F276" i="2" a="1"/>
  <c r="F276" i="2"/>
  <c r="E276" i="2"/>
  <c r="D276" i="2" a="1"/>
  <c r="D276" i="2"/>
  <c r="C276" i="2" a="1"/>
  <c r="C276" i="2"/>
  <c r="H275" i="2"/>
  <c r="G275" i="2"/>
  <c r="F275" i="2" a="1"/>
  <c r="F275" i="2" s="1"/>
  <c r="E275" i="2"/>
  <c r="D275" i="2" a="1"/>
  <c r="D275" i="2"/>
  <c r="C275" i="2" a="1"/>
  <c r="C275" i="2" s="1"/>
  <c r="H274" i="2"/>
  <c r="G274" i="2"/>
  <c r="F274" i="2" a="1"/>
  <c r="F274" i="2"/>
  <c r="E274" i="2"/>
  <c r="D274" i="2" a="1"/>
  <c r="D274" i="2"/>
  <c r="C274" i="2" a="1"/>
  <c r="C274" i="2" s="1"/>
  <c r="H273" i="2"/>
  <c r="G273" i="2"/>
  <c r="F273" i="2" a="1"/>
  <c r="F273" i="2"/>
  <c r="E273" i="2"/>
  <c r="D273" i="2" a="1"/>
  <c r="D273" i="2" s="1"/>
  <c r="C273" i="2" a="1"/>
  <c r="C273" i="2"/>
  <c r="H272" i="2"/>
  <c r="G272" i="2"/>
  <c r="F272" i="2" a="1"/>
  <c r="F272" i="2"/>
  <c r="E272" i="2"/>
  <c r="D272" i="2" a="1"/>
  <c r="D272" i="2"/>
  <c r="C272" i="2" a="1"/>
  <c r="C272" i="2"/>
  <c r="H271" i="2"/>
  <c r="G271" i="2"/>
  <c r="F271" i="2" a="1"/>
  <c r="F271" i="2"/>
  <c r="E271" i="2"/>
  <c r="D271" i="2" a="1"/>
  <c r="D271" i="2"/>
  <c r="C271" i="2" a="1"/>
  <c r="C271" i="2" s="1"/>
  <c r="H270" i="2"/>
  <c r="G270" i="2"/>
  <c r="F270" i="2" a="1"/>
  <c r="F270" i="2"/>
  <c r="E270" i="2"/>
  <c r="D270" i="2" a="1"/>
  <c r="D270" i="2" s="1"/>
  <c r="C270" i="2" a="1"/>
  <c r="C270" i="2" s="1"/>
  <c r="H269" i="2"/>
  <c r="G269" i="2"/>
  <c r="F269" i="2" a="1"/>
  <c r="F269" i="2"/>
  <c r="E269" i="2"/>
  <c r="D269" i="2" a="1"/>
  <c r="D269" i="2"/>
  <c r="C269" i="2" a="1"/>
  <c r="C269" i="2"/>
  <c r="H268" i="2"/>
  <c r="G268" i="2"/>
  <c r="F268" i="2" a="1"/>
  <c r="F268" i="2"/>
  <c r="E268" i="2"/>
  <c r="D268" i="2" a="1"/>
  <c r="D268" i="2"/>
  <c r="C268" i="2" a="1"/>
  <c r="C268" i="2" s="1"/>
  <c r="H267" i="2"/>
  <c r="G267" i="2"/>
  <c r="F267" i="2" a="1"/>
  <c r="F267" i="2" s="1"/>
  <c r="E267" i="2"/>
  <c r="D267" i="2" a="1"/>
  <c r="D267" i="2"/>
  <c r="C267" i="2" a="1"/>
  <c r="C267" i="2" s="1"/>
  <c r="H266" i="2"/>
  <c r="G266" i="2"/>
  <c r="F266" i="2" a="1"/>
  <c r="F266" i="2" s="1"/>
  <c r="E266" i="2"/>
  <c r="D266" i="2" a="1"/>
  <c r="D266" i="2" s="1"/>
  <c r="C266" i="2" a="1"/>
  <c r="C266" i="2" s="1"/>
  <c r="H265" i="2"/>
  <c r="G265" i="2"/>
  <c r="F265" i="2" a="1"/>
  <c r="F265" i="2"/>
  <c r="E265" i="2"/>
  <c r="D265" i="2" a="1"/>
  <c r="D265" i="2"/>
  <c r="C265" i="2" a="1"/>
  <c r="C265" i="2"/>
  <c r="H264" i="2"/>
  <c r="G264" i="2"/>
  <c r="F264" i="2" a="1"/>
  <c r="F264" i="2"/>
  <c r="E264" i="2"/>
  <c r="D264" i="2" a="1"/>
  <c r="D264" i="2"/>
  <c r="C264" i="2" a="1"/>
  <c r="C264" i="2" s="1"/>
  <c r="H263" i="2"/>
  <c r="G263" i="2"/>
  <c r="F263" i="2" a="1"/>
  <c r="F263" i="2" s="1"/>
  <c r="E263" i="2"/>
  <c r="D263" i="2" a="1"/>
  <c r="D263" i="2"/>
  <c r="C263" i="2" a="1"/>
  <c r="C263" i="2" s="1"/>
  <c r="H262" i="2"/>
  <c r="G262" i="2"/>
  <c r="F262" i="2" a="1"/>
  <c r="F262" i="2" s="1"/>
  <c r="E262" i="2"/>
  <c r="D262" i="2" a="1"/>
  <c r="D262" i="2"/>
  <c r="C262" i="2" a="1"/>
  <c r="C262" i="2" s="1"/>
  <c r="H261" i="2"/>
  <c r="G261" i="2"/>
  <c r="F261" i="2" a="1"/>
  <c r="F261" i="2"/>
  <c r="E261" i="2"/>
  <c r="D261" i="2" a="1"/>
  <c r="D261" i="2" s="1"/>
  <c r="C261" i="2" a="1"/>
  <c r="C261" i="2"/>
  <c r="H260" i="2"/>
  <c r="G260" i="2"/>
  <c r="F260" i="2" a="1"/>
  <c r="F260" i="2"/>
  <c r="E260" i="2"/>
  <c r="D260" i="2" a="1"/>
  <c r="D260" i="2"/>
  <c r="C260" i="2" a="1"/>
  <c r="C260" i="2" s="1"/>
  <c r="H259" i="2"/>
  <c r="G259" i="2"/>
  <c r="F259" i="2" a="1"/>
  <c r="F259" i="2" s="1"/>
  <c r="E259" i="2"/>
  <c r="D259" i="2" a="1"/>
  <c r="D259" i="2"/>
  <c r="C259" i="2" a="1"/>
  <c r="C259" i="2" s="1"/>
  <c r="H258" i="2"/>
  <c r="G258" i="2"/>
  <c r="F258" i="2" a="1"/>
  <c r="F258" i="2"/>
  <c r="E258" i="2"/>
  <c r="D258" i="2" a="1"/>
  <c r="D258" i="2"/>
  <c r="C258" i="2" a="1"/>
  <c r="C258" i="2" s="1"/>
  <c r="H257" i="2"/>
  <c r="G257" i="2"/>
  <c r="F257" i="2" a="1"/>
  <c r="F257" i="2"/>
  <c r="E257" i="2"/>
  <c r="D257" i="2" a="1"/>
  <c r="D257" i="2" s="1"/>
  <c r="C257" i="2" a="1"/>
  <c r="C257" i="2"/>
  <c r="H256" i="2"/>
  <c r="G256" i="2"/>
  <c r="F256" i="2" a="1"/>
  <c r="F256" i="2"/>
  <c r="E256" i="2"/>
  <c r="D256" i="2" a="1"/>
  <c r="D256" i="2"/>
  <c r="C256" i="2" a="1"/>
  <c r="C256" i="2" s="1"/>
  <c r="H255" i="2"/>
  <c r="G255" i="2"/>
  <c r="F255" i="2" a="1"/>
  <c r="F255" i="2" s="1"/>
  <c r="E255" i="2"/>
  <c r="D255" i="2" a="1"/>
  <c r="D255" i="2"/>
  <c r="C255" i="2" a="1"/>
  <c r="C255" i="2" s="1"/>
  <c r="H254" i="2"/>
  <c r="G254" i="2"/>
  <c r="F254" i="2" a="1"/>
  <c r="F254" i="2" s="1"/>
  <c r="E254" i="2"/>
  <c r="D254" i="2" a="1"/>
  <c r="D254" i="2" s="1"/>
  <c r="C254" i="2" a="1"/>
  <c r="C254" i="2" s="1"/>
  <c r="H253" i="2"/>
  <c r="G253" i="2"/>
  <c r="F253" i="2" a="1"/>
  <c r="F253" i="2"/>
  <c r="E253" i="2"/>
  <c r="D253" i="2" a="1"/>
  <c r="D253" i="2" s="1"/>
  <c r="C253" i="2" a="1"/>
  <c r="C253" i="2"/>
  <c r="H252" i="2"/>
  <c r="G252" i="2"/>
  <c r="F252" i="2" a="1"/>
  <c r="F252" i="2"/>
  <c r="E252" i="2"/>
  <c r="D252" i="2" a="1"/>
  <c r="D252" i="2"/>
  <c r="C252" i="2" a="1"/>
  <c r="C252" i="2" s="1"/>
  <c r="H251" i="2"/>
  <c r="G251" i="2"/>
  <c r="F251" i="2" a="1"/>
  <c r="F251" i="2" s="1"/>
  <c r="E251" i="2"/>
  <c r="D251" i="2" a="1"/>
  <c r="D251" i="2"/>
  <c r="C251" i="2" a="1"/>
  <c r="C251" i="2" s="1"/>
  <c r="H250" i="2"/>
  <c r="G250" i="2"/>
  <c r="F250" i="2" a="1"/>
  <c r="F250" i="2" s="1"/>
  <c r="E250" i="2"/>
  <c r="D250" i="2" a="1"/>
  <c r="D250" i="2" s="1"/>
  <c r="C250" i="2" a="1"/>
  <c r="C250" i="2" s="1"/>
  <c r="H249" i="2"/>
  <c r="G249" i="2"/>
  <c r="F249" i="2" a="1"/>
  <c r="F249" i="2"/>
  <c r="E249" i="2"/>
  <c r="D249" i="2" a="1"/>
  <c r="D249" i="2" s="1"/>
  <c r="C249" i="2" a="1"/>
  <c r="C249" i="2"/>
  <c r="H248" i="2"/>
  <c r="G248" i="2"/>
  <c r="F248" i="2" a="1"/>
  <c r="F248" i="2"/>
  <c r="E248" i="2"/>
  <c r="D248" i="2" a="1"/>
  <c r="D248" i="2"/>
  <c r="C248" i="2" a="1"/>
  <c r="C248" i="2"/>
  <c r="H247" i="2"/>
  <c r="G247" i="2"/>
  <c r="F247" i="2" a="1"/>
  <c r="F247" i="2"/>
  <c r="E247" i="2"/>
  <c r="D247" i="2" a="1"/>
  <c r="D247" i="2"/>
  <c r="C247" i="2" a="1"/>
  <c r="C247" i="2" s="1"/>
  <c r="H246" i="2"/>
  <c r="G246" i="2"/>
  <c r="F246" i="2" a="1"/>
  <c r="F246" i="2"/>
  <c r="E246" i="2"/>
  <c r="D246" i="2" a="1"/>
  <c r="D246" i="2" s="1"/>
  <c r="C246" i="2" a="1"/>
  <c r="C246" i="2" s="1"/>
  <c r="H245" i="2"/>
  <c r="G245" i="2"/>
  <c r="F245" i="2" a="1"/>
  <c r="F245" i="2"/>
  <c r="E245" i="2"/>
  <c r="D245" i="2" a="1"/>
  <c r="D245" i="2"/>
  <c r="C245" i="2" a="1"/>
  <c r="C245" i="2"/>
  <c r="H244" i="2"/>
  <c r="G244" i="2"/>
  <c r="F244" i="2" a="1"/>
  <c r="F244" i="2"/>
  <c r="E244" i="2"/>
  <c r="D244" i="2" a="1"/>
  <c r="D244" i="2"/>
  <c r="C244" i="2" a="1"/>
  <c r="C244" i="2" s="1"/>
  <c r="H243" i="2"/>
  <c r="G243" i="2"/>
  <c r="F243" i="2" a="1"/>
  <c r="F243" i="2"/>
  <c r="E243" i="2"/>
  <c r="D243" i="2" a="1"/>
  <c r="D243" i="2"/>
  <c r="C243" i="2" a="1"/>
  <c r="C243" i="2" s="1"/>
  <c r="H242" i="2"/>
  <c r="G242" i="2"/>
  <c r="F242" i="2" a="1"/>
  <c r="F242" i="2" s="1"/>
  <c r="E242" i="2"/>
  <c r="D242" i="2" a="1"/>
  <c r="D242" i="2" s="1"/>
  <c r="C242" i="2" a="1"/>
  <c r="C242" i="2" s="1"/>
  <c r="H241" i="2"/>
  <c r="G241" i="2"/>
  <c r="F241" i="2" a="1"/>
  <c r="F241" i="2"/>
  <c r="E241" i="2"/>
  <c r="D241" i="2" a="1"/>
  <c r="D241" i="2"/>
  <c r="C241" i="2" a="1"/>
  <c r="C241" i="2"/>
  <c r="H240" i="2"/>
  <c r="G240" i="2"/>
  <c r="F240" i="2" a="1"/>
  <c r="F240" i="2"/>
  <c r="E240" i="2"/>
  <c r="D240" i="2" a="1"/>
  <c r="D240" i="2"/>
  <c r="C240" i="2" a="1"/>
  <c r="C240" i="2" s="1"/>
  <c r="H239" i="2"/>
  <c r="G239" i="2"/>
  <c r="F239" i="2" a="1"/>
  <c r="F239" i="2"/>
  <c r="E239" i="2"/>
  <c r="D239" i="2" a="1"/>
  <c r="D239" i="2"/>
  <c r="C239" i="2" a="1"/>
  <c r="C239" i="2" s="1"/>
  <c r="H238" i="2"/>
  <c r="G238" i="2"/>
  <c r="F238" i="2" a="1"/>
  <c r="F238" i="2" s="1"/>
  <c r="E238" i="2"/>
  <c r="D238" i="2" a="1"/>
  <c r="D238" i="2"/>
  <c r="C238" i="2" a="1"/>
  <c r="C238" i="2" s="1"/>
  <c r="H237" i="2"/>
  <c r="G237" i="2"/>
  <c r="F237" i="2" a="1"/>
  <c r="F237" i="2"/>
  <c r="E237" i="2"/>
  <c r="D237" i="2" a="1"/>
  <c r="D237" i="2" s="1"/>
  <c r="C237" i="2" a="1"/>
  <c r="C237" i="2"/>
  <c r="H236" i="2"/>
  <c r="G236" i="2"/>
  <c r="F236" i="2" a="1"/>
  <c r="F236" i="2"/>
  <c r="E236" i="2"/>
  <c r="D236" i="2" a="1"/>
  <c r="D236" i="2"/>
  <c r="C236" i="2" a="1"/>
  <c r="C236" i="2"/>
  <c r="H235" i="2"/>
  <c r="G235" i="2"/>
  <c r="F235" i="2" a="1"/>
  <c r="F235" i="2" s="1"/>
  <c r="E235" i="2"/>
  <c r="D235" i="2" a="1"/>
  <c r="D235" i="2"/>
  <c r="C235" i="2" a="1"/>
  <c r="C235" i="2" s="1"/>
  <c r="H234" i="2"/>
  <c r="G234" i="2"/>
  <c r="F234" i="2" a="1"/>
  <c r="F234" i="2" s="1"/>
  <c r="E234" i="2"/>
  <c r="D234" i="2" a="1"/>
  <c r="D234" i="2"/>
  <c r="C234" i="2" a="1"/>
  <c r="C234" i="2" s="1"/>
  <c r="H233" i="2"/>
  <c r="G233" i="2"/>
  <c r="F233" i="2" a="1"/>
  <c r="F233" i="2"/>
  <c r="E233" i="2"/>
  <c r="D233" i="2" a="1"/>
  <c r="D233" i="2" s="1"/>
  <c r="C233" i="2" a="1"/>
  <c r="C233" i="2"/>
  <c r="H232" i="2"/>
  <c r="G232" i="2"/>
  <c r="F232" i="2" a="1"/>
  <c r="F232" i="2"/>
  <c r="E232" i="2"/>
  <c r="D232" i="2" a="1"/>
  <c r="D232" i="2"/>
  <c r="C232" i="2" a="1"/>
  <c r="C232" i="2" s="1"/>
  <c r="H231" i="2"/>
  <c r="G231" i="2"/>
  <c r="F231" i="2" a="1"/>
  <c r="F231" i="2" s="1"/>
  <c r="E231" i="2"/>
  <c r="D231" i="2" a="1"/>
  <c r="D231" i="2"/>
  <c r="C231" i="2" a="1"/>
  <c r="C231" i="2" s="1"/>
  <c r="H230" i="2"/>
  <c r="G230" i="2"/>
  <c r="F230" i="2" a="1"/>
  <c r="F230" i="2"/>
  <c r="E230" i="2"/>
  <c r="D230" i="2" a="1"/>
  <c r="D230" i="2" s="1"/>
  <c r="C230" i="2" a="1"/>
  <c r="C230" i="2" s="1"/>
  <c r="H229" i="2"/>
  <c r="G229" i="2"/>
  <c r="F229" i="2" a="1"/>
  <c r="F229" i="2"/>
  <c r="E229" i="2"/>
  <c r="D229" i="2" a="1"/>
  <c r="D229" i="2"/>
  <c r="C229" i="2" a="1"/>
  <c r="C229" i="2"/>
  <c r="H228" i="2"/>
  <c r="G228" i="2"/>
  <c r="F228" i="2" a="1"/>
  <c r="F228" i="2"/>
  <c r="E228" i="2"/>
  <c r="D228" i="2" a="1"/>
  <c r="D228" i="2"/>
  <c r="C228" i="2" a="1"/>
  <c r="C228" i="2" s="1"/>
  <c r="H227" i="2"/>
  <c r="G227" i="2"/>
  <c r="F227" i="2" a="1"/>
  <c r="F227" i="2"/>
  <c r="E227" i="2"/>
  <c r="D227" i="2" a="1"/>
  <c r="D227" i="2"/>
  <c r="C227" i="2" a="1"/>
  <c r="C227" i="2" s="1"/>
  <c r="H226" i="2"/>
  <c r="G226" i="2"/>
  <c r="F226" i="2" a="1"/>
  <c r="F226" i="2" s="1"/>
  <c r="E226" i="2"/>
  <c r="D226" i="2" a="1"/>
  <c r="D226" i="2" s="1"/>
  <c r="C226" i="2" a="1"/>
  <c r="C226" i="2" s="1"/>
  <c r="H225" i="2"/>
  <c r="G225" i="2"/>
  <c r="F225" i="2" a="1"/>
  <c r="F225" i="2"/>
  <c r="E225" i="2"/>
  <c r="D225" i="2" a="1"/>
  <c r="D225" i="2" s="1"/>
  <c r="C225" i="2" a="1"/>
  <c r="C225" i="2"/>
  <c r="H224" i="2"/>
  <c r="G224" i="2"/>
  <c r="F224" i="2" a="1"/>
  <c r="F224" i="2"/>
  <c r="E224" i="2"/>
  <c r="D224" i="2" a="1"/>
  <c r="D224" i="2"/>
  <c r="C224" i="2" a="1"/>
  <c r="C224" i="2" s="1"/>
  <c r="H223" i="2"/>
  <c r="G223" i="2"/>
  <c r="F223" i="2" a="1"/>
  <c r="F223" i="2"/>
  <c r="E223" i="2"/>
  <c r="D223" i="2" a="1"/>
  <c r="D223" i="2"/>
  <c r="C223" i="2" a="1"/>
  <c r="C223" i="2" s="1"/>
  <c r="H222" i="2"/>
  <c r="G222" i="2"/>
  <c r="F222" i="2" a="1"/>
  <c r="F222" i="2" s="1"/>
  <c r="E222" i="2"/>
  <c r="D222" i="2" a="1"/>
  <c r="D222" i="2"/>
  <c r="C222" i="2" a="1"/>
  <c r="C222" i="2" s="1"/>
  <c r="H221" i="2"/>
  <c r="G221" i="2"/>
  <c r="F221" i="2" a="1"/>
  <c r="F221" i="2"/>
  <c r="E221" i="2"/>
  <c r="D221" i="2" a="1"/>
  <c r="D221" i="2"/>
  <c r="C221" i="2" a="1"/>
  <c r="C221" i="2"/>
  <c r="H220" i="2"/>
  <c r="G220" i="2"/>
  <c r="F220" i="2" a="1"/>
  <c r="F220" i="2"/>
  <c r="E220" i="2"/>
  <c r="D220" i="2" a="1"/>
  <c r="D220" i="2"/>
  <c r="C220" i="2" a="1"/>
  <c r="C220" i="2" s="1"/>
  <c r="H219" i="2"/>
  <c r="G219" i="2"/>
  <c r="F219" i="2" a="1"/>
  <c r="F219" i="2" s="1"/>
  <c r="E219" i="2"/>
  <c r="D219" i="2" a="1"/>
  <c r="D219" i="2"/>
  <c r="C219" i="2" a="1"/>
  <c r="C219" i="2" s="1"/>
  <c r="H218" i="2"/>
  <c r="G218" i="2"/>
  <c r="F218" i="2" a="1"/>
  <c r="F218" i="2" s="1"/>
  <c r="E218" i="2"/>
  <c r="D218" i="2" a="1"/>
  <c r="D218" i="2"/>
  <c r="C218" i="2" a="1"/>
  <c r="C218" i="2" s="1"/>
  <c r="H217" i="2"/>
  <c r="G217" i="2"/>
  <c r="F217" i="2" a="1"/>
  <c r="F217" i="2"/>
  <c r="E217" i="2"/>
  <c r="D217" i="2" a="1"/>
  <c r="D217" i="2"/>
  <c r="C217" i="2" a="1"/>
  <c r="C217" i="2"/>
  <c r="H216" i="2"/>
  <c r="G216" i="2"/>
  <c r="F216" i="2" a="1"/>
  <c r="F216" i="2"/>
  <c r="E216" i="2"/>
  <c r="D216" i="2" a="1"/>
  <c r="D216" i="2"/>
  <c r="C216" i="2" a="1"/>
  <c r="C216" i="2" s="1"/>
  <c r="H215" i="2"/>
  <c r="G215" i="2"/>
  <c r="F215" i="2" a="1"/>
  <c r="F215" i="2" s="1"/>
  <c r="E215" i="2"/>
  <c r="D215" i="2" a="1"/>
  <c r="D215" i="2"/>
  <c r="C215" i="2" a="1"/>
  <c r="C215" i="2" s="1"/>
  <c r="H214" i="2"/>
  <c r="G214" i="2"/>
  <c r="F214" i="2" a="1"/>
  <c r="F214" i="2" s="1"/>
  <c r="E214" i="2"/>
  <c r="D214" i="2" a="1"/>
  <c r="D214" i="2"/>
  <c r="C214" i="2" a="1"/>
  <c r="C214" i="2" s="1"/>
  <c r="H213" i="2"/>
  <c r="G213" i="2"/>
  <c r="F213" i="2" a="1"/>
  <c r="F213" i="2"/>
  <c r="E213" i="2"/>
  <c r="D213" i="2" a="1"/>
  <c r="D213" i="2"/>
  <c r="C213" i="2" a="1"/>
  <c r="C213" i="2"/>
  <c r="H212" i="2"/>
  <c r="G212" i="2"/>
  <c r="F212" i="2" a="1"/>
  <c r="F212" i="2"/>
  <c r="E212" i="2"/>
  <c r="D212" i="2" a="1"/>
  <c r="D212" i="2"/>
  <c r="C212" i="2" a="1"/>
  <c r="C212" i="2" s="1"/>
  <c r="H211" i="2"/>
  <c r="G211" i="2"/>
  <c r="F211" i="2" a="1"/>
  <c r="F211" i="2" s="1"/>
  <c r="E211" i="2"/>
  <c r="D211" i="2" a="1"/>
  <c r="D211" i="2"/>
  <c r="C211" i="2" a="1"/>
  <c r="C211" i="2" s="1"/>
  <c r="H210" i="2"/>
  <c r="G210" i="2"/>
  <c r="F210" i="2" a="1"/>
  <c r="F210" i="2" s="1"/>
  <c r="E210" i="2"/>
  <c r="D210" i="2" a="1"/>
  <c r="D210" i="2"/>
  <c r="C210" i="2" a="1"/>
  <c r="C210" i="2" s="1"/>
  <c r="H209" i="2"/>
  <c r="G209" i="2"/>
  <c r="F209" i="2" a="1"/>
  <c r="F209" i="2"/>
  <c r="E209" i="2"/>
  <c r="D209" i="2" a="1"/>
  <c r="D209" i="2" s="1"/>
  <c r="C209" i="2" a="1"/>
  <c r="C209" i="2"/>
  <c r="H208" i="2"/>
  <c r="G208" i="2"/>
  <c r="F208" i="2" a="1"/>
  <c r="F208" i="2"/>
  <c r="E208" i="2"/>
  <c r="D208" i="2" a="1"/>
  <c r="D208" i="2"/>
  <c r="C208" i="2" a="1"/>
  <c r="C208" i="2"/>
  <c r="H207" i="2"/>
  <c r="G207" i="2"/>
  <c r="F207" i="2" a="1"/>
  <c r="F207" i="2" s="1"/>
  <c r="E207" i="2"/>
  <c r="D207" i="2" a="1"/>
  <c r="D207" i="2"/>
  <c r="C207" i="2" a="1"/>
  <c r="C207" i="2" s="1"/>
  <c r="H206" i="2"/>
  <c r="G206" i="2"/>
  <c r="F206" i="2" a="1"/>
  <c r="F206" i="2" s="1"/>
  <c r="E206" i="2"/>
  <c r="D206" i="2" a="1"/>
  <c r="D206" i="2" s="1"/>
  <c r="C206" i="2" a="1"/>
  <c r="C206" i="2" s="1"/>
  <c r="H205" i="2"/>
  <c r="G205" i="2"/>
  <c r="F205" i="2" a="1"/>
  <c r="F205" i="2"/>
  <c r="E205" i="2"/>
  <c r="D205" i="2" a="1"/>
  <c r="D205" i="2" s="1"/>
  <c r="C205" i="2" a="1"/>
  <c r="C205" i="2"/>
  <c r="H204" i="2"/>
  <c r="G204" i="2"/>
  <c r="F204" i="2" a="1"/>
  <c r="F204" i="2"/>
  <c r="E204" i="2"/>
  <c r="D204" i="2" a="1"/>
  <c r="D204" i="2"/>
  <c r="C204" i="2" a="1"/>
  <c r="C204" i="2" s="1"/>
  <c r="H203" i="2"/>
  <c r="G203" i="2"/>
  <c r="F203" i="2" a="1"/>
  <c r="F203" i="2" s="1"/>
  <c r="E203" i="2"/>
  <c r="D203" i="2" a="1"/>
  <c r="D203" i="2"/>
  <c r="C203" i="2" a="1"/>
  <c r="C203" i="2" s="1"/>
  <c r="H202" i="2"/>
  <c r="G202" i="2"/>
  <c r="F202" i="2" a="1"/>
  <c r="F202" i="2"/>
  <c r="E202" i="2"/>
  <c r="D202" i="2" a="1"/>
  <c r="D202" i="2"/>
  <c r="C202" i="2" a="1"/>
  <c r="C202" i="2" s="1"/>
  <c r="H201" i="2"/>
  <c r="G201" i="2"/>
  <c r="F201" i="2" a="1"/>
  <c r="F201" i="2"/>
  <c r="E201" i="2"/>
  <c r="D201" i="2" a="1"/>
  <c r="D201" i="2" s="1"/>
  <c r="C201" i="2" a="1"/>
  <c r="C201" i="2"/>
  <c r="H200" i="2"/>
  <c r="G200" i="2"/>
  <c r="F200" i="2" a="1"/>
  <c r="F200" i="2"/>
  <c r="E200" i="2"/>
  <c r="D200" i="2" a="1"/>
  <c r="D200" i="2" s="1"/>
  <c r="C200" i="2" a="1"/>
  <c r="C200" i="2" s="1"/>
  <c r="H199" i="2"/>
  <c r="G199" i="2"/>
  <c r="F199" i="2" a="1"/>
  <c r="F199" i="2" s="1"/>
  <c r="E199" i="2"/>
  <c r="D199" i="2" a="1"/>
  <c r="D199" i="2"/>
  <c r="C199" i="2" a="1"/>
  <c r="C199" i="2"/>
  <c r="H198" i="2"/>
  <c r="G198" i="2"/>
  <c r="F198" i="2" a="1"/>
  <c r="F198" i="2" s="1"/>
  <c r="E198" i="2"/>
  <c r="D198" i="2" a="1"/>
  <c r="D198" i="2" s="1"/>
  <c r="C198" i="2" a="1"/>
  <c r="C198" i="2" s="1"/>
  <c r="H197" i="2"/>
  <c r="G197" i="2"/>
  <c r="F197" i="2" a="1"/>
  <c r="F197" i="2"/>
  <c r="E197" i="2"/>
  <c r="D197" i="2" a="1"/>
  <c r="D197" i="2" s="1"/>
  <c r="C197" i="2" a="1"/>
  <c r="C197" i="2"/>
  <c r="H196" i="2"/>
  <c r="G196" i="2"/>
  <c r="F196" i="2" a="1"/>
  <c r="F196" i="2"/>
  <c r="E196" i="2"/>
  <c r="D196" i="2" a="1"/>
  <c r="D196" i="2" s="1"/>
  <c r="C196" i="2" a="1"/>
  <c r="C196" i="2"/>
  <c r="H195" i="2"/>
  <c r="G195" i="2"/>
  <c r="F195" i="2" a="1"/>
  <c r="F195" i="2" s="1"/>
  <c r="E195" i="2"/>
  <c r="D195" i="2" a="1"/>
  <c r="D195" i="2"/>
  <c r="C195" i="2" a="1"/>
  <c r="C195" i="2" s="1"/>
  <c r="H194" i="2"/>
  <c r="G194" i="2"/>
  <c r="F194" i="2" a="1"/>
  <c r="F194" i="2" s="1"/>
  <c r="E194" i="2"/>
  <c r="D194" i="2" a="1"/>
  <c r="D194" i="2"/>
  <c r="C194" i="2" a="1"/>
  <c r="C194" i="2" s="1"/>
  <c r="H193" i="2"/>
  <c r="G193" i="2"/>
  <c r="F193" i="2" a="1"/>
  <c r="F193" i="2" s="1"/>
  <c r="E193" i="2"/>
  <c r="D193" i="2" a="1"/>
  <c r="D193" i="2"/>
  <c r="C193" i="2" a="1"/>
  <c r="C193" i="2"/>
  <c r="H192" i="2"/>
  <c r="G192" i="2"/>
  <c r="F192" i="2" a="1"/>
  <c r="F192" i="2"/>
  <c r="E192" i="2"/>
  <c r="D192" i="2" a="1"/>
  <c r="D192" i="2" s="1"/>
  <c r="C192" i="2" a="1"/>
  <c r="C192" i="2" s="1"/>
  <c r="H191" i="2"/>
  <c r="G191" i="2"/>
  <c r="F191" i="2" a="1"/>
  <c r="F191" i="2" s="1"/>
  <c r="E191" i="2"/>
  <c r="D191" i="2" a="1"/>
  <c r="D191" i="2"/>
  <c r="C191" i="2" a="1"/>
  <c r="C191" i="2"/>
  <c r="H190" i="2"/>
  <c r="G190" i="2"/>
  <c r="F190" i="2" a="1"/>
  <c r="F190" i="2"/>
  <c r="E190" i="2"/>
  <c r="D190" i="2" a="1"/>
  <c r="D190" i="2" s="1"/>
  <c r="C190" i="2" a="1"/>
  <c r="C190" i="2" s="1"/>
  <c r="H189" i="2"/>
  <c r="G189" i="2"/>
  <c r="F189" i="2" a="1"/>
  <c r="F189" i="2"/>
  <c r="E189" i="2"/>
  <c r="D189" i="2" a="1"/>
  <c r="D189" i="2" s="1"/>
  <c r="C189" i="2" a="1"/>
  <c r="C189" i="2"/>
  <c r="H188" i="2"/>
  <c r="G188" i="2"/>
  <c r="F188" i="2" a="1"/>
  <c r="F188" i="2"/>
  <c r="E188" i="2"/>
  <c r="D188" i="2" a="1"/>
  <c r="D188" i="2" s="1"/>
  <c r="C188" i="2" a="1"/>
  <c r="C188" i="2" s="1"/>
  <c r="H187" i="2"/>
  <c r="G187" i="2"/>
  <c r="F187" i="2" a="1"/>
  <c r="F187" i="2"/>
  <c r="E187" i="2"/>
  <c r="D187" i="2" a="1"/>
  <c r="D187" i="2"/>
  <c r="C187" i="2" a="1"/>
  <c r="C187" i="2"/>
  <c r="H186" i="2"/>
  <c r="G186" i="2"/>
  <c r="F186" i="2" a="1"/>
  <c r="F186" i="2" s="1"/>
  <c r="E186" i="2"/>
  <c r="D186" i="2" a="1"/>
  <c r="D186" i="2"/>
  <c r="C186" i="2" a="1"/>
  <c r="C186" i="2" s="1"/>
  <c r="H185" i="2"/>
  <c r="G185" i="2"/>
  <c r="F185" i="2" a="1"/>
  <c r="F185" i="2" s="1"/>
  <c r="E185" i="2"/>
  <c r="D185" i="2" a="1"/>
  <c r="D185" i="2"/>
  <c r="C185" i="2" a="1"/>
  <c r="C185" i="2"/>
  <c r="H184" i="2"/>
  <c r="G184" i="2"/>
  <c r="F184" i="2" a="1"/>
  <c r="F184" i="2"/>
  <c r="E184" i="2"/>
  <c r="D184" i="2" a="1"/>
  <c r="D184" i="2" s="1"/>
  <c r="C184" i="2" a="1"/>
  <c r="C184" i="2" s="1"/>
  <c r="H183" i="2"/>
  <c r="G183" i="2"/>
  <c r="F183" i="2" a="1"/>
  <c r="F183" i="2" s="1"/>
  <c r="E183" i="2"/>
  <c r="D183" i="2" a="1"/>
  <c r="D183" i="2"/>
  <c r="C183" i="2" a="1"/>
  <c r="C183" i="2"/>
  <c r="H182" i="2"/>
  <c r="G182" i="2"/>
  <c r="F182" i="2" a="1"/>
  <c r="F182" i="2"/>
  <c r="E182" i="2"/>
  <c r="D182" i="2" a="1"/>
  <c r="D182" i="2" s="1"/>
  <c r="C182" i="2" a="1"/>
  <c r="C182" i="2" s="1"/>
  <c r="H181" i="2"/>
  <c r="G181" i="2"/>
  <c r="F181" i="2" a="1"/>
  <c r="F181" i="2"/>
  <c r="E181" i="2"/>
  <c r="D181" i="2" a="1"/>
  <c r="D181" i="2" s="1"/>
  <c r="C181" i="2" a="1"/>
  <c r="C181" i="2"/>
  <c r="H180" i="2"/>
  <c r="G180" i="2"/>
  <c r="F180" i="2" a="1"/>
  <c r="F180" i="2"/>
  <c r="E180" i="2"/>
  <c r="D180" i="2" a="1"/>
  <c r="D180" i="2" s="1"/>
  <c r="C180" i="2" a="1"/>
  <c r="C180" i="2"/>
  <c r="H179" i="2"/>
  <c r="G179" i="2"/>
  <c r="F179" i="2" a="1"/>
  <c r="F179" i="2"/>
  <c r="E179" i="2"/>
  <c r="D179" i="2" a="1"/>
  <c r="D179" i="2"/>
  <c r="C179" i="2" a="1"/>
  <c r="C179" i="2"/>
  <c r="H178" i="2"/>
  <c r="G178" i="2"/>
  <c r="F178" i="2" a="1"/>
  <c r="F178" i="2" s="1"/>
  <c r="E178" i="2"/>
  <c r="D178" i="2" a="1"/>
  <c r="D178" i="2"/>
  <c r="C178" i="2" a="1"/>
  <c r="C178" i="2" s="1"/>
  <c r="H177" i="2"/>
  <c r="G177" i="2"/>
  <c r="F177" i="2" a="1"/>
  <c r="F177" i="2"/>
  <c r="E177" i="2"/>
  <c r="D177" i="2" a="1"/>
  <c r="D177" i="2"/>
  <c r="C177" i="2" a="1"/>
  <c r="C177" i="2"/>
  <c r="H176" i="2"/>
  <c r="G176" i="2"/>
  <c r="F176" i="2" a="1"/>
  <c r="F176" i="2"/>
  <c r="E176" i="2"/>
  <c r="D176" i="2" a="1"/>
  <c r="D176" i="2"/>
  <c r="C176" i="2" a="1"/>
  <c r="C176" i="2" s="1"/>
  <c r="H175" i="2"/>
  <c r="G175" i="2"/>
  <c r="F175" i="2" a="1"/>
  <c r="F175" i="2" s="1"/>
  <c r="E175" i="2"/>
  <c r="D175" i="2" a="1"/>
  <c r="D175" i="2"/>
  <c r="C175" i="2" a="1"/>
  <c r="C175" i="2"/>
  <c r="H174" i="2"/>
  <c r="G174" i="2"/>
  <c r="F174" i="2" a="1"/>
  <c r="F174" i="2" s="1"/>
  <c r="E174" i="2"/>
  <c r="D174" i="2" a="1"/>
  <c r="D174" i="2" s="1"/>
  <c r="C174" i="2" a="1"/>
  <c r="C174" i="2" s="1"/>
  <c r="H173" i="2"/>
  <c r="G173" i="2"/>
  <c r="F173" i="2" a="1"/>
  <c r="F173" i="2"/>
  <c r="E173" i="2"/>
  <c r="D173" i="2" a="1"/>
  <c r="D173" i="2"/>
  <c r="C173" i="2" a="1"/>
  <c r="C173" i="2"/>
  <c r="H172" i="2"/>
  <c r="G172" i="2"/>
  <c r="F172" i="2" a="1"/>
  <c r="F172" i="2"/>
  <c r="E172" i="2"/>
  <c r="D172" i="2" a="1"/>
  <c r="D172" i="2"/>
  <c r="C172" i="2" a="1"/>
  <c r="C172" i="2" s="1"/>
  <c r="H171" i="2"/>
  <c r="G171" i="2"/>
  <c r="F171" i="2" a="1"/>
  <c r="F171" i="2" s="1"/>
  <c r="E171" i="2"/>
  <c r="D171" i="2" a="1"/>
  <c r="D171" i="2"/>
  <c r="C171" i="2" a="1"/>
  <c r="C171" i="2" s="1"/>
  <c r="H170" i="2"/>
  <c r="G170" i="2"/>
  <c r="F170" i="2" a="1"/>
  <c r="F170" i="2" s="1"/>
  <c r="E170" i="2"/>
  <c r="D170" i="2" a="1"/>
  <c r="D170" i="2" s="1"/>
  <c r="C170" i="2" a="1"/>
  <c r="C170" i="2" s="1"/>
  <c r="F104" i="2" a="1"/>
  <c r="F104" i="2" s="1"/>
  <c r="C38" i="2" a="1"/>
  <c r="C38" i="2" s="1"/>
  <c r="H19" i="2"/>
  <c r="G19" i="2"/>
  <c r="F19" i="2" a="1"/>
  <c r="F19" i="2" s="1"/>
  <c r="B168" i="2"/>
  <c r="B166" i="2"/>
  <c r="B165" i="2"/>
  <c r="H165" i="2" s="1"/>
  <c r="B149" i="2"/>
  <c r="B148" i="2"/>
  <c r="B147" i="2"/>
  <c r="B125" i="2"/>
  <c r="B124" i="2"/>
  <c r="B123" i="2"/>
  <c r="D123" i="2" s="1" a="1"/>
  <c r="D123" i="2" s="1"/>
  <c r="B105" i="2"/>
  <c r="B104" i="2"/>
  <c r="B103" i="2"/>
  <c r="B81" i="2"/>
  <c r="B80" i="2"/>
  <c r="D80" i="2" s="1" a="1"/>
  <c r="D80" i="2" s="1"/>
  <c r="B79" i="2"/>
  <c r="B63" i="2"/>
  <c r="B62" i="2"/>
  <c r="B60" i="2"/>
  <c r="C60" i="2" s="1" a="1"/>
  <c r="C60" i="2" s="1"/>
  <c r="B39" i="2"/>
  <c r="B38" i="2"/>
  <c r="B36" i="2"/>
  <c r="B19" i="2"/>
  <c r="B18" i="2"/>
  <c r="B17" i="2"/>
  <c r="B3" i="2" a="1"/>
  <c r="B164" i="2" s="1"/>
  <c r="B3" i="2"/>
  <c r="C26" i="1" a="1"/>
  <c r="C26" i="1" s="1"/>
  <c r="E25" i="1"/>
  <c r="D25" i="1"/>
  <c r="C25" i="1" a="1"/>
  <c r="C25" i="1"/>
  <c r="F25" i="1" s="1"/>
  <c r="C24" i="1" a="1"/>
  <c r="C24" i="1" s="1"/>
  <c r="D24" i="1" s="1"/>
  <c r="C23" i="1" a="1"/>
  <c r="C23" i="1" s="1"/>
  <c r="F22" i="1"/>
  <c r="E22" i="1"/>
  <c r="C22" i="1" a="1"/>
  <c r="C22" i="1" s="1"/>
  <c r="D22" i="1" s="1"/>
  <c r="C21" i="1" a="1"/>
  <c r="C21" i="1"/>
  <c r="E21" i="1" s="1"/>
  <c r="C20" i="1" a="1"/>
  <c r="C20" i="1"/>
  <c r="F19" i="1"/>
  <c r="D19" i="1"/>
  <c r="C19" i="1" a="1"/>
  <c r="C19" i="1"/>
  <c r="E19" i="1" s="1"/>
  <c r="F18" i="1"/>
  <c r="D18" i="1"/>
  <c r="C18" i="1" a="1"/>
  <c r="C18" i="1" s="1"/>
  <c r="E18" i="1" s="1"/>
  <c r="C17" i="1" a="1"/>
  <c r="C17" i="1"/>
  <c r="C16" i="1" a="1"/>
  <c r="C16" i="1"/>
  <c r="F15" i="1"/>
  <c r="E15" i="1"/>
  <c r="C15" i="1" a="1"/>
  <c r="C15" i="1" s="1"/>
  <c r="D15" i="1" s="1"/>
  <c r="C14" i="1" a="1"/>
  <c r="C14" i="1"/>
  <c r="E14" i="1" s="1"/>
  <c r="C13" i="1" a="1"/>
  <c r="C13" i="1"/>
  <c r="F12" i="1"/>
  <c r="E12" i="1"/>
  <c r="C12" i="1" a="1"/>
  <c r="C12" i="1" s="1"/>
  <c r="D12" i="1" s="1"/>
  <c r="C11" i="1" a="1"/>
  <c r="C11" i="1"/>
  <c r="F11" i="1" s="1"/>
  <c r="C10" i="1" a="1"/>
  <c r="C10" i="1" s="1"/>
  <c r="F9" i="1"/>
  <c r="C9" i="1" a="1"/>
  <c r="C9" i="1" s="1"/>
  <c r="C8" i="1" a="1"/>
  <c r="C8" i="1" s="1"/>
  <c r="C7" i="1" a="1"/>
  <c r="C7" i="1"/>
  <c r="D10" i="1" l="1"/>
  <c r="F10" i="1"/>
  <c r="E10" i="1"/>
  <c r="F16" i="1"/>
  <c r="E16" i="1"/>
  <c r="D62" i="2" a="1"/>
  <c r="D62" i="2" s="1"/>
  <c r="H62" i="2"/>
  <c r="G62" i="2"/>
  <c r="F62" i="2" a="1"/>
  <c r="F62" i="2" s="1"/>
  <c r="C62" i="2" a="1"/>
  <c r="C62" i="2" s="1"/>
  <c r="F149" i="2" a="1"/>
  <c r="F149" i="2" s="1"/>
  <c r="D149" i="2" a="1"/>
  <c r="D149" i="2" s="1"/>
  <c r="H149" i="2"/>
  <c r="C149" i="2" a="1"/>
  <c r="C149" i="2" s="1"/>
  <c r="E149" i="2" s="1"/>
  <c r="G149" i="2"/>
  <c r="C3" i="2" a="1"/>
  <c r="C3" i="2" s="1"/>
  <c r="E3" i="2"/>
  <c r="G3" i="2"/>
  <c r="F3" i="2" a="1"/>
  <c r="F3" i="2" s="1"/>
  <c r="H3" i="2"/>
  <c r="D3" i="2" a="1"/>
  <c r="D3" i="2" s="1"/>
  <c r="E166" i="2"/>
  <c r="D166" i="2" a="1"/>
  <c r="D166" i="2" s="1"/>
  <c r="G166" i="2"/>
  <c r="C166" i="2" a="1"/>
  <c r="C166" i="2" s="1"/>
  <c r="H166" i="2"/>
  <c r="F166" i="2" a="1"/>
  <c r="F166" i="2" s="1"/>
  <c r="D164" i="2" a="1"/>
  <c r="D164" i="2" s="1"/>
  <c r="E164" i="2" s="1"/>
  <c r="H164" i="2"/>
  <c r="C164" i="2" a="1"/>
  <c r="C164" i="2" s="1"/>
  <c r="F164" i="2" a="1"/>
  <c r="F164" i="2" s="1"/>
  <c r="F168" i="2" a="1"/>
  <c r="F168" i="2" s="1"/>
  <c r="E168" i="2"/>
  <c r="G168" i="2"/>
  <c r="H168" i="2"/>
  <c r="C168" i="2" a="1"/>
  <c r="C168" i="2" s="1"/>
  <c r="D168" i="2" a="1"/>
  <c r="D168" i="2" s="1"/>
  <c r="F13" i="1"/>
  <c r="E13" i="1"/>
  <c r="D13" i="1"/>
  <c r="D17" i="2" a="1"/>
  <c r="D17" i="2" s="1"/>
  <c r="F17" i="2" a="1"/>
  <c r="F17" i="2" s="1"/>
  <c r="H17" i="2"/>
  <c r="G17" i="2"/>
  <c r="D103" i="2" a="1"/>
  <c r="D103" i="2" s="1"/>
  <c r="E103" i="2" s="1"/>
  <c r="C103" i="2" a="1"/>
  <c r="C103" i="2" s="1"/>
  <c r="H103" i="2"/>
  <c r="G103" i="2"/>
  <c r="F103" i="2" a="1"/>
  <c r="F103" i="2" s="1"/>
  <c r="H18" i="2"/>
  <c r="G18" i="2"/>
  <c r="F18" i="2" a="1"/>
  <c r="F18" i="2" s="1"/>
  <c r="D18" i="2" a="1"/>
  <c r="D18" i="2" s="1"/>
  <c r="C18" i="2" a="1"/>
  <c r="C18" i="2" s="1"/>
  <c r="E18" i="2" s="1"/>
  <c r="C104" i="2" a="1"/>
  <c r="C104" i="2" s="1"/>
  <c r="E104" i="2" s="1"/>
  <c r="D104" i="2" a="1"/>
  <c r="D104" i="2" s="1"/>
  <c r="H104" i="2"/>
  <c r="G104" i="2"/>
  <c r="C123" i="2" a="1"/>
  <c r="C123" i="2" s="1"/>
  <c r="E123" i="2" s="1"/>
  <c r="E7" i="1"/>
  <c r="F7" i="1"/>
  <c r="D7" i="1"/>
  <c r="D23" i="1"/>
  <c r="E23" i="1"/>
  <c r="F23" i="1"/>
  <c r="D19" i="2" a="1"/>
  <c r="D19" i="2" s="1"/>
  <c r="C19" i="2" a="1"/>
  <c r="C19" i="2" s="1"/>
  <c r="E19" i="2" s="1"/>
  <c r="H105" i="2"/>
  <c r="C105" i="2" a="1"/>
  <c r="C105" i="2" s="1"/>
  <c r="E105" i="2" s="1"/>
  <c r="D105" i="2" a="1"/>
  <c r="D105" i="2" s="1"/>
  <c r="G105" i="2"/>
  <c r="F105" i="2" a="1"/>
  <c r="F105" i="2" s="1"/>
  <c r="H60" i="2"/>
  <c r="G60" i="2"/>
  <c r="E60" i="2"/>
  <c r="F60" i="2" a="1"/>
  <c r="F60" i="2" s="1"/>
  <c r="D60" i="2" a="1"/>
  <c r="D60" i="2" s="1"/>
  <c r="H147" i="2"/>
  <c r="F147" i="2" a="1"/>
  <c r="F147" i="2" s="1"/>
  <c r="C147" i="2" a="1"/>
  <c r="C147" i="2" s="1"/>
  <c r="E147" i="2" s="1"/>
  <c r="G147" i="2"/>
  <c r="D147" i="2" a="1"/>
  <c r="D147" i="2" s="1"/>
  <c r="D148" i="2" a="1"/>
  <c r="D148" i="2" s="1"/>
  <c r="H148" i="2"/>
  <c r="G148" i="2"/>
  <c r="F148" i="2" a="1"/>
  <c r="F148" i="2" s="1"/>
  <c r="C148" i="2" a="1"/>
  <c r="C148" i="2" s="1"/>
  <c r="E148" i="2" s="1"/>
  <c r="F26" i="1"/>
  <c r="D26" i="1"/>
  <c r="F63" i="2" a="1"/>
  <c r="F63" i="2" s="1"/>
  <c r="C63" i="2" a="1"/>
  <c r="C63" i="2" s="1"/>
  <c r="E63" i="2" s="1"/>
  <c r="D63" i="2" a="1"/>
  <c r="D63" i="2" s="1"/>
  <c r="G63" i="2"/>
  <c r="H63" i="2"/>
  <c r="E26" i="1"/>
  <c r="C81" i="2" a="1"/>
  <c r="C81" i="2" s="1"/>
  <c r="E81" i="2" s="1"/>
  <c r="F81" i="2" a="1"/>
  <c r="F81" i="2" s="1"/>
  <c r="H81" i="2"/>
  <c r="G81" i="2"/>
  <c r="D81" i="2" a="1"/>
  <c r="D81" i="2" s="1"/>
  <c r="D8" i="1"/>
  <c r="F8" i="1"/>
  <c r="E8" i="1"/>
  <c r="C36" i="2" a="1"/>
  <c r="C36" i="2" s="1"/>
  <c r="E36" i="2" s="1"/>
  <c r="H36" i="2"/>
  <c r="G36" i="2"/>
  <c r="D36" i="2" a="1"/>
  <c r="D36" i="2" s="1"/>
  <c r="F36" i="2" a="1"/>
  <c r="F36" i="2" s="1"/>
  <c r="G123" i="2"/>
  <c r="F123" i="2" a="1"/>
  <c r="F123" i="2" s="1"/>
  <c r="E62" i="2"/>
  <c r="H123" i="2"/>
  <c r="E9" i="1"/>
  <c r="D9" i="1"/>
  <c r="H38" i="2"/>
  <c r="G38" i="2"/>
  <c r="F38" i="2" a="1"/>
  <c r="F38" i="2" s="1"/>
  <c r="E38" i="2"/>
  <c r="D124" i="2" a="1"/>
  <c r="D124" i="2" s="1"/>
  <c r="C124" i="2" a="1"/>
  <c r="C124" i="2" s="1"/>
  <c r="H124" i="2"/>
  <c r="G124" i="2"/>
  <c r="E124" i="2"/>
  <c r="F124" i="2" a="1"/>
  <c r="F124" i="2" s="1"/>
  <c r="G164" i="2"/>
  <c r="D16" i="1"/>
  <c r="D79" i="2" a="1"/>
  <c r="D79" i="2" s="1"/>
  <c r="G79" i="2"/>
  <c r="C79" i="2" a="1"/>
  <c r="C79" i="2" s="1"/>
  <c r="E79" i="2" s="1"/>
  <c r="H79" i="2"/>
  <c r="F79" i="2" a="1"/>
  <c r="F79" i="2" s="1"/>
  <c r="F165" i="2" a="1"/>
  <c r="F165" i="2" s="1"/>
  <c r="D165" i="2" a="1"/>
  <c r="D165" i="2" s="1"/>
  <c r="C165" i="2" a="1"/>
  <c r="C165" i="2" s="1"/>
  <c r="E165" i="2" s="1"/>
  <c r="G165" i="2"/>
  <c r="C80" i="2" a="1"/>
  <c r="C80" i="2" s="1"/>
  <c r="E80" i="2" s="1"/>
  <c r="G80" i="2"/>
  <c r="H80" i="2"/>
  <c r="F80" i="2" a="1"/>
  <c r="F80" i="2" s="1"/>
  <c r="H39" i="2"/>
  <c r="G39" i="2"/>
  <c r="D39" i="2" a="1"/>
  <c r="D39" i="2" s="1"/>
  <c r="F39" i="2" a="1"/>
  <c r="F39" i="2" s="1"/>
  <c r="C39" i="2" a="1"/>
  <c r="C39" i="2" s="1"/>
  <c r="E39" i="2" s="1"/>
  <c r="F125" i="2" a="1"/>
  <c r="F125" i="2" s="1"/>
  <c r="G125" i="2"/>
  <c r="C125" i="2" a="1"/>
  <c r="C125" i="2" s="1"/>
  <c r="H125" i="2"/>
  <c r="D125" i="2" a="1"/>
  <c r="D125" i="2" s="1"/>
  <c r="E125" i="2" s="1"/>
  <c r="C17" i="2" a="1"/>
  <c r="C17" i="2" s="1"/>
  <c r="E17" i="2" s="1"/>
  <c r="D38" i="2" a="1"/>
  <c r="D38" i="2" s="1"/>
  <c r="E20" i="1"/>
  <c r="D20" i="1"/>
  <c r="B43" i="2"/>
  <c r="B129" i="2"/>
  <c r="F20" i="1"/>
  <c r="B134" i="2"/>
  <c r="B67" i="2"/>
  <c r="B15" i="2"/>
  <c r="B33" i="2"/>
  <c r="B53" i="2"/>
  <c r="B77" i="2"/>
  <c r="B96" i="2"/>
  <c r="B120" i="2"/>
  <c r="B139" i="2"/>
  <c r="B163" i="2"/>
  <c r="B64" i="2"/>
  <c r="B5" i="2"/>
  <c r="B24" i="2"/>
  <c r="B16" i="2"/>
  <c r="B34" i="2"/>
  <c r="B57" i="2"/>
  <c r="B78" i="2"/>
  <c r="B101" i="2"/>
  <c r="B122" i="2"/>
  <c r="B144" i="2"/>
  <c r="B169" i="2"/>
  <c r="B157" i="2"/>
  <c r="B145" i="2"/>
  <c r="B133" i="2"/>
  <c r="B121" i="2"/>
  <c r="B109" i="2"/>
  <c r="B97" i="2"/>
  <c r="B85" i="2"/>
  <c r="B73" i="2"/>
  <c r="B61" i="2"/>
  <c r="B49" i="2"/>
  <c r="B37" i="2"/>
  <c r="B25" i="2"/>
  <c r="B13" i="2"/>
  <c r="B167" i="2"/>
  <c r="B155" i="2"/>
  <c r="B143" i="2"/>
  <c r="B131" i="2"/>
  <c r="B119" i="2"/>
  <c r="B107" i="2"/>
  <c r="B95" i="2"/>
  <c r="B83" i="2"/>
  <c r="B71" i="2"/>
  <c r="B59" i="2"/>
  <c r="B47" i="2"/>
  <c r="B35" i="2"/>
  <c r="B23" i="2"/>
  <c r="B11" i="2"/>
  <c r="B158" i="2"/>
  <c r="B142" i="2"/>
  <c r="B128" i="2"/>
  <c r="B114" i="2"/>
  <c r="B100" i="2"/>
  <c r="B86" i="2"/>
  <c r="B70" i="2"/>
  <c r="B56" i="2"/>
  <c r="B42" i="2"/>
  <c r="B28" i="2"/>
  <c r="B14" i="2"/>
  <c r="B156" i="2"/>
  <c r="B141" i="2"/>
  <c r="B127" i="2"/>
  <c r="B113" i="2"/>
  <c r="B99" i="2"/>
  <c r="B84" i="2"/>
  <c r="B69" i="2"/>
  <c r="B55" i="2"/>
  <c r="B41" i="2"/>
  <c r="B27" i="2"/>
  <c r="B12" i="2"/>
  <c r="B154" i="2"/>
  <c r="B140" i="2"/>
  <c r="B126" i="2"/>
  <c r="B112" i="2"/>
  <c r="B98" i="2"/>
  <c r="B82" i="2"/>
  <c r="B68" i="2"/>
  <c r="B54" i="2"/>
  <c r="B40" i="2"/>
  <c r="B26" i="2"/>
  <c r="B10" i="2"/>
  <c r="B160" i="2"/>
  <c r="B146" i="2"/>
  <c r="B130" i="2"/>
  <c r="B116" i="2"/>
  <c r="B102" i="2"/>
  <c r="B88" i="2"/>
  <c r="B74" i="2"/>
  <c r="B58" i="2"/>
  <c r="B44" i="2"/>
  <c r="B30" i="2"/>
  <c r="B20" i="2"/>
  <c r="B106" i="2"/>
  <c r="B150" i="2"/>
  <c r="B65" i="2"/>
  <c r="B151" i="2"/>
  <c r="B46" i="2"/>
  <c r="B152" i="2"/>
  <c r="F24" i="1"/>
  <c r="B7" i="2"/>
  <c r="B29" i="2"/>
  <c r="B50" i="2"/>
  <c r="B72" i="2"/>
  <c r="B92" i="2"/>
  <c r="B115" i="2"/>
  <c r="B136" i="2"/>
  <c r="B159" i="2"/>
  <c r="B108" i="2"/>
  <c r="B90" i="2"/>
  <c r="B91" i="2"/>
  <c r="B153" i="2"/>
  <c r="D21" i="1"/>
  <c r="B51" i="2"/>
  <c r="B137" i="2"/>
  <c r="B87" i="2"/>
  <c r="F17" i="1"/>
  <c r="E17" i="1"/>
  <c r="B4" i="2"/>
  <c r="B21" i="2"/>
  <c r="B45" i="2"/>
  <c r="B89" i="2"/>
  <c r="B132" i="2"/>
  <c r="B22" i="2"/>
  <c r="B66" i="2"/>
  <c r="B110" i="2"/>
  <c r="F14" i="1"/>
  <c r="D14" i="1"/>
  <c r="D17" i="1"/>
  <c r="E24" i="1"/>
  <c r="B6" i="2"/>
  <c r="B48" i="2"/>
  <c r="B111" i="2"/>
  <c r="B135" i="2"/>
  <c r="D11" i="1"/>
  <c r="B8" i="2"/>
  <c r="B31" i="2"/>
  <c r="B75" i="2"/>
  <c r="B93" i="2"/>
  <c r="B117" i="2"/>
  <c r="B161" i="2"/>
  <c r="E11" i="1"/>
  <c r="F21" i="1"/>
  <c r="B9" i="2"/>
  <c r="B32" i="2"/>
  <c r="B52" i="2"/>
  <c r="B76" i="2"/>
  <c r="B94" i="2"/>
  <c r="B118" i="2"/>
  <c r="B138" i="2"/>
  <c r="B162" i="2"/>
  <c r="G138" i="2" l="1"/>
  <c r="F138" i="2" a="1"/>
  <c r="F138" i="2" s="1"/>
  <c r="H138" i="2"/>
  <c r="D138" i="2" a="1"/>
  <c r="D138" i="2" s="1"/>
  <c r="C138" i="2" a="1"/>
  <c r="C138" i="2" s="1"/>
  <c r="E138" i="2" s="1"/>
  <c r="G75" i="2"/>
  <c r="H75" i="2"/>
  <c r="C75" i="2" a="1"/>
  <c r="C75" i="2" s="1"/>
  <c r="E75" i="2"/>
  <c r="D75" i="2" a="1"/>
  <c r="D75" i="2" s="1"/>
  <c r="F75" i="2" a="1"/>
  <c r="F75" i="2" s="1"/>
  <c r="G110" i="2"/>
  <c r="H110" i="2"/>
  <c r="F110" i="2" a="1"/>
  <c r="F110" i="2" s="1"/>
  <c r="C110" i="2" a="1"/>
  <c r="C110" i="2" s="1"/>
  <c r="E110" i="2" s="1"/>
  <c r="D110" i="2" a="1"/>
  <c r="D110" i="2" s="1"/>
  <c r="F51" i="2" a="1"/>
  <c r="F51" i="2" s="1"/>
  <c r="C51" i="2" a="1"/>
  <c r="C51" i="2" s="1"/>
  <c r="E51" i="2"/>
  <c r="H51" i="2"/>
  <c r="D51" i="2" a="1"/>
  <c r="D51" i="2" s="1"/>
  <c r="G51" i="2"/>
  <c r="D29" i="2" a="1"/>
  <c r="D29" i="2" s="1"/>
  <c r="H29" i="2"/>
  <c r="G29" i="2"/>
  <c r="C29" i="2" a="1"/>
  <c r="C29" i="2" s="1"/>
  <c r="E29" i="2" s="1"/>
  <c r="F29" i="2" a="1"/>
  <c r="F29" i="2" s="1"/>
  <c r="D58" i="2" a="1"/>
  <c r="D58" i="2" s="1"/>
  <c r="E58" i="2"/>
  <c r="G58" i="2"/>
  <c r="H58" i="2"/>
  <c r="C58" i="2" a="1"/>
  <c r="C58" i="2" s="1"/>
  <c r="F58" i="2" a="1"/>
  <c r="F58" i="2" s="1"/>
  <c r="F68" i="2" a="1"/>
  <c r="F68" i="2" s="1"/>
  <c r="H68" i="2"/>
  <c r="C68" i="2" a="1"/>
  <c r="C68" i="2" s="1"/>
  <c r="E68" i="2" s="1"/>
  <c r="D68" i="2" a="1"/>
  <c r="D68" i="2" s="1"/>
  <c r="G68" i="2"/>
  <c r="C84" i="2" a="1"/>
  <c r="C84" i="2" s="1"/>
  <c r="G84" i="2"/>
  <c r="F84" i="2" a="1"/>
  <c r="F84" i="2" s="1"/>
  <c r="E84" i="2"/>
  <c r="D84" i="2" a="1"/>
  <c r="D84" i="2" s="1"/>
  <c r="H84" i="2"/>
  <c r="C100" i="2" a="1"/>
  <c r="C100" i="2" s="1"/>
  <c r="H100" i="2"/>
  <c r="G100" i="2"/>
  <c r="F100" i="2" a="1"/>
  <c r="F100" i="2" s="1"/>
  <c r="E100" i="2"/>
  <c r="D100" i="2" a="1"/>
  <c r="D100" i="2" s="1"/>
  <c r="D95" i="2" a="1"/>
  <c r="D95" i="2" s="1"/>
  <c r="G95" i="2"/>
  <c r="C95" i="2" a="1"/>
  <c r="C95" i="2" s="1"/>
  <c r="E95" i="2" s="1"/>
  <c r="H95" i="2"/>
  <c r="F95" i="2" a="1"/>
  <c r="F95" i="2" s="1"/>
  <c r="C73" i="2" a="1"/>
  <c r="C73" i="2" s="1"/>
  <c r="D73" i="2" a="1"/>
  <c r="D73" i="2" s="1"/>
  <c r="H73" i="2"/>
  <c r="G73" i="2"/>
  <c r="E73" i="2"/>
  <c r="F73" i="2" a="1"/>
  <c r="F73" i="2" s="1"/>
  <c r="H78" i="2"/>
  <c r="G78" i="2"/>
  <c r="C78" i="2" a="1"/>
  <c r="C78" i="2" s="1"/>
  <c r="E78" i="2" s="1"/>
  <c r="F78" i="2" a="1"/>
  <c r="F78" i="2" s="1"/>
  <c r="D78" i="2" a="1"/>
  <c r="D78" i="2" s="1"/>
  <c r="H53" i="2"/>
  <c r="C53" i="2" a="1"/>
  <c r="C53" i="2" s="1"/>
  <c r="E53" i="2" s="1"/>
  <c r="G53" i="2"/>
  <c r="F53" i="2" a="1"/>
  <c r="F53" i="2" s="1"/>
  <c r="D53" i="2" a="1"/>
  <c r="D53" i="2" s="1"/>
  <c r="C162" i="2" a="1"/>
  <c r="C162" i="2" s="1"/>
  <c r="H162" i="2"/>
  <c r="G162" i="2"/>
  <c r="F162" i="2" a="1"/>
  <c r="F162" i="2" s="1"/>
  <c r="D162" i="2" a="1"/>
  <c r="D162" i="2" s="1"/>
  <c r="E162" i="2" s="1"/>
  <c r="G93" i="2"/>
  <c r="F93" i="2" a="1"/>
  <c r="F93" i="2" s="1"/>
  <c r="D93" i="2" a="1"/>
  <c r="D93" i="2" s="1"/>
  <c r="H93" i="2"/>
  <c r="C93" i="2" a="1"/>
  <c r="C93" i="2" s="1"/>
  <c r="E93" i="2" s="1"/>
  <c r="F137" i="2" a="1"/>
  <c r="F137" i="2" s="1"/>
  <c r="D137" i="2" a="1"/>
  <c r="D137" i="2" s="1"/>
  <c r="E137" i="2" s="1"/>
  <c r="H137" i="2"/>
  <c r="G137" i="2"/>
  <c r="C137" i="2" a="1"/>
  <c r="C137" i="2" s="1"/>
  <c r="D50" i="2" a="1"/>
  <c r="D50" i="2" s="1"/>
  <c r="E50" i="2"/>
  <c r="C50" i="2" a="1"/>
  <c r="C50" i="2" s="1"/>
  <c r="F50" i="2" a="1"/>
  <c r="F50" i="2" s="1"/>
  <c r="H50" i="2"/>
  <c r="G50" i="2"/>
  <c r="C44" i="2" a="1"/>
  <c r="C44" i="2" s="1"/>
  <c r="D44" i="2" a="1"/>
  <c r="D44" i="2" s="1"/>
  <c r="E44" i="2" s="1"/>
  <c r="H44" i="2"/>
  <c r="G44" i="2"/>
  <c r="F44" i="2" a="1"/>
  <c r="F44" i="2" s="1"/>
  <c r="D54" i="2" a="1"/>
  <c r="D54" i="2" s="1"/>
  <c r="C54" i="2" a="1"/>
  <c r="C54" i="2" s="1"/>
  <c r="E54" i="2" s="1"/>
  <c r="G54" i="2"/>
  <c r="F54" i="2" a="1"/>
  <c r="F54" i="2" s="1"/>
  <c r="H54" i="2"/>
  <c r="H69" i="2"/>
  <c r="G69" i="2"/>
  <c r="F69" i="2" a="1"/>
  <c r="F69" i="2" s="1"/>
  <c r="C69" i="2" a="1"/>
  <c r="C69" i="2" s="1"/>
  <c r="E69" i="2" s="1"/>
  <c r="D69" i="2" a="1"/>
  <c r="D69" i="2" s="1"/>
  <c r="H86" i="2"/>
  <c r="G86" i="2"/>
  <c r="D86" i="2" a="1"/>
  <c r="D86" i="2" s="1"/>
  <c r="F86" i="2" a="1"/>
  <c r="F86" i="2" s="1"/>
  <c r="C86" i="2" a="1"/>
  <c r="C86" i="2" s="1"/>
  <c r="E86" i="2" s="1"/>
  <c r="F83" i="2" a="1"/>
  <c r="F83" i="2" s="1"/>
  <c r="C83" i="2" a="1"/>
  <c r="C83" i="2" s="1"/>
  <c r="E83" i="2" s="1"/>
  <c r="D83" i="2" a="1"/>
  <c r="D83" i="2" s="1"/>
  <c r="G83" i="2"/>
  <c r="H83" i="2"/>
  <c r="D61" i="2" a="1"/>
  <c r="D61" i="2" s="1"/>
  <c r="F61" i="2" a="1"/>
  <c r="F61" i="2" s="1"/>
  <c r="C61" i="2" a="1"/>
  <c r="C61" i="2" s="1"/>
  <c r="E61" i="2" s="1"/>
  <c r="G61" i="2"/>
  <c r="H61" i="2"/>
  <c r="D101" i="2" a="1"/>
  <c r="D101" i="2" s="1"/>
  <c r="C101" i="2" a="1"/>
  <c r="C101" i="2" s="1"/>
  <c r="E101" i="2" s="1"/>
  <c r="G101" i="2"/>
  <c r="H101" i="2"/>
  <c r="F101" i="2" a="1"/>
  <c r="F101" i="2" s="1"/>
  <c r="H77" i="2"/>
  <c r="G77" i="2"/>
  <c r="F77" i="2" a="1"/>
  <c r="F77" i="2" s="1"/>
  <c r="D77" i="2" a="1"/>
  <c r="D77" i="2" s="1"/>
  <c r="C77" i="2" a="1"/>
  <c r="C77" i="2" s="1"/>
  <c r="E77" i="2" s="1"/>
  <c r="D118" i="2" a="1"/>
  <c r="D118" i="2" s="1"/>
  <c r="C118" i="2" a="1"/>
  <c r="C118" i="2" s="1"/>
  <c r="E118" i="2" s="1"/>
  <c r="H118" i="2"/>
  <c r="G118" i="2"/>
  <c r="F118" i="2" a="1"/>
  <c r="F118" i="2" s="1"/>
  <c r="F31" i="2" a="1"/>
  <c r="F31" i="2" s="1"/>
  <c r="H31" i="2"/>
  <c r="D31" i="2" a="1"/>
  <c r="D31" i="2" s="1"/>
  <c r="G31" i="2"/>
  <c r="C31" i="2" a="1"/>
  <c r="C31" i="2" s="1"/>
  <c r="E31" i="2" s="1"/>
  <c r="D66" i="2" a="1"/>
  <c r="D66" i="2" s="1"/>
  <c r="C66" i="2" a="1"/>
  <c r="C66" i="2" s="1"/>
  <c r="E66" i="2" s="1"/>
  <c r="H66" i="2"/>
  <c r="G66" i="2"/>
  <c r="F66" i="2" a="1"/>
  <c r="F66" i="2" s="1"/>
  <c r="H7" i="2"/>
  <c r="G7" i="2"/>
  <c r="F7" i="2" a="1"/>
  <c r="F7" i="2" s="1"/>
  <c r="C7" i="2" a="1"/>
  <c r="C7" i="2" s="1"/>
  <c r="E7" i="2"/>
  <c r="D7" i="2" a="1"/>
  <c r="D7" i="2" s="1"/>
  <c r="G74" i="2"/>
  <c r="D74" i="2" a="1"/>
  <c r="D74" i="2" s="1"/>
  <c r="E74" i="2" s="1"/>
  <c r="H74" i="2"/>
  <c r="C74" i="2" a="1"/>
  <c r="C74" i="2" s="1"/>
  <c r="F74" i="2" a="1"/>
  <c r="F74" i="2" s="1"/>
  <c r="H82" i="2"/>
  <c r="G82" i="2"/>
  <c r="C82" i="2" a="1"/>
  <c r="C82" i="2" s="1"/>
  <c r="F82" i="2" a="1"/>
  <c r="F82" i="2" s="1"/>
  <c r="D82" i="2" a="1"/>
  <c r="D82" i="2" s="1"/>
  <c r="E82" i="2" s="1"/>
  <c r="F99" i="2" a="1"/>
  <c r="F99" i="2" s="1"/>
  <c r="E99" i="2"/>
  <c r="D99" i="2" a="1"/>
  <c r="D99" i="2" s="1"/>
  <c r="C99" i="2" a="1"/>
  <c r="C99" i="2" s="1"/>
  <c r="G99" i="2"/>
  <c r="H99" i="2"/>
  <c r="C114" i="2" a="1"/>
  <c r="C114" i="2" s="1"/>
  <c r="E114" i="2" s="1"/>
  <c r="F114" i="2" a="1"/>
  <c r="F114" i="2" s="1"/>
  <c r="H114" i="2"/>
  <c r="G114" i="2"/>
  <c r="D114" i="2" a="1"/>
  <c r="D114" i="2" s="1"/>
  <c r="F107" i="2" a="1"/>
  <c r="F107" i="2" s="1"/>
  <c r="E107" i="2"/>
  <c r="C107" i="2" a="1"/>
  <c r="C107" i="2" s="1"/>
  <c r="D107" i="2" a="1"/>
  <c r="D107" i="2" s="1"/>
  <c r="H107" i="2"/>
  <c r="G107" i="2"/>
  <c r="C85" i="2" a="1"/>
  <c r="C85" i="2" s="1"/>
  <c r="E85" i="2" s="1"/>
  <c r="F85" i="2" a="1"/>
  <c r="F85" i="2" s="1"/>
  <c r="D85" i="2" a="1"/>
  <c r="D85" i="2" s="1"/>
  <c r="G85" i="2"/>
  <c r="H85" i="2"/>
  <c r="C57" i="2" a="1"/>
  <c r="C57" i="2" s="1"/>
  <c r="D57" i="2" a="1"/>
  <c r="D57" i="2" s="1"/>
  <c r="E57" i="2" s="1"/>
  <c r="G57" i="2"/>
  <c r="H57" i="2"/>
  <c r="F57" i="2" a="1"/>
  <c r="F57" i="2" s="1"/>
  <c r="D33" i="2" a="1"/>
  <c r="D33" i="2" s="1"/>
  <c r="F33" i="2" a="1"/>
  <c r="F33" i="2" s="1"/>
  <c r="C33" i="2" a="1"/>
  <c r="C33" i="2" s="1"/>
  <c r="E33" i="2" s="1"/>
  <c r="H33" i="2"/>
  <c r="G33" i="2"/>
  <c r="H94" i="2"/>
  <c r="G94" i="2"/>
  <c r="F94" i="2" a="1"/>
  <c r="F94" i="2" s="1"/>
  <c r="D94" i="2" a="1"/>
  <c r="D94" i="2" s="1"/>
  <c r="E94" i="2" s="1"/>
  <c r="C94" i="2" a="1"/>
  <c r="C94" i="2" s="1"/>
  <c r="D8" i="2" a="1"/>
  <c r="D8" i="2" s="1"/>
  <c r="H8" i="2"/>
  <c r="F8" i="2" a="1"/>
  <c r="F8" i="2" s="1"/>
  <c r="G8" i="2"/>
  <c r="E8" i="2"/>
  <c r="C8" i="2" a="1"/>
  <c r="C8" i="2" s="1"/>
  <c r="H22" i="2"/>
  <c r="G22" i="2"/>
  <c r="F22" i="2" a="1"/>
  <c r="F22" i="2" s="1"/>
  <c r="E22" i="2"/>
  <c r="C22" i="2" a="1"/>
  <c r="C22" i="2" s="1"/>
  <c r="D22" i="2" a="1"/>
  <c r="D22" i="2" s="1"/>
  <c r="F153" i="2" a="1"/>
  <c r="F153" i="2" s="1"/>
  <c r="D153" i="2" a="1"/>
  <c r="D153" i="2" s="1"/>
  <c r="C153" i="2" a="1"/>
  <c r="C153" i="2" s="1"/>
  <c r="H153" i="2"/>
  <c r="G153" i="2"/>
  <c r="E153" i="2"/>
  <c r="C88" i="2" a="1"/>
  <c r="C88" i="2" s="1"/>
  <c r="D88" i="2" a="1"/>
  <c r="D88" i="2" s="1"/>
  <c r="E88" i="2" s="1"/>
  <c r="F88" i="2" a="1"/>
  <c r="F88" i="2" s="1"/>
  <c r="G88" i="2"/>
  <c r="H88" i="2"/>
  <c r="H98" i="2"/>
  <c r="G98" i="2"/>
  <c r="C98" i="2" a="1"/>
  <c r="C98" i="2" s="1"/>
  <c r="E98" i="2" s="1"/>
  <c r="D98" i="2" a="1"/>
  <c r="D98" i="2" s="1"/>
  <c r="F98" i="2" a="1"/>
  <c r="F98" i="2" s="1"/>
  <c r="F113" i="2" a="1"/>
  <c r="F113" i="2" s="1"/>
  <c r="D113" i="2" a="1"/>
  <c r="D113" i="2" s="1"/>
  <c r="C113" i="2" a="1"/>
  <c r="C113" i="2" s="1"/>
  <c r="E113" i="2" s="1"/>
  <c r="G113" i="2"/>
  <c r="H113" i="2"/>
  <c r="D128" i="2" a="1"/>
  <c r="D128" i="2" s="1"/>
  <c r="F128" i="2" a="1"/>
  <c r="F128" i="2" s="1"/>
  <c r="G128" i="2"/>
  <c r="C128" i="2" a="1"/>
  <c r="C128" i="2" s="1"/>
  <c r="E128" i="2" s="1"/>
  <c r="H128" i="2"/>
  <c r="H119" i="2"/>
  <c r="G119" i="2"/>
  <c r="E119" i="2"/>
  <c r="D119" i="2" a="1"/>
  <c r="D119" i="2" s="1"/>
  <c r="C119" i="2" a="1"/>
  <c r="C119" i="2" s="1"/>
  <c r="F119" i="2" a="1"/>
  <c r="F119" i="2" s="1"/>
  <c r="H97" i="2"/>
  <c r="D97" i="2" a="1"/>
  <c r="D97" i="2" s="1"/>
  <c r="C97" i="2" a="1"/>
  <c r="C97" i="2" s="1"/>
  <c r="E97" i="2" s="1"/>
  <c r="G97" i="2"/>
  <c r="F97" i="2" a="1"/>
  <c r="F97" i="2" s="1"/>
  <c r="H34" i="2"/>
  <c r="G34" i="2"/>
  <c r="F34" i="2" a="1"/>
  <c r="F34" i="2" s="1"/>
  <c r="E34" i="2"/>
  <c r="D34" i="2" a="1"/>
  <c r="D34" i="2" s="1"/>
  <c r="C34" i="2" a="1"/>
  <c r="C34" i="2" s="1"/>
  <c r="H15" i="2"/>
  <c r="G15" i="2"/>
  <c r="F15" i="2" a="1"/>
  <c r="F15" i="2" s="1"/>
  <c r="D15" i="2" a="1"/>
  <c r="D15" i="2" s="1"/>
  <c r="E15" i="2" s="1"/>
  <c r="C15" i="2" a="1"/>
  <c r="C15" i="2" s="1"/>
  <c r="C76" i="2" a="1"/>
  <c r="C76" i="2" s="1"/>
  <c r="E76" i="2"/>
  <c r="G76" i="2"/>
  <c r="F76" i="2" a="1"/>
  <c r="F76" i="2" s="1"/>
  <c r="H76" i="2"/>
  <c r="D76" i="2" a="1"/>
  <c r="D76" i="2" s="1"/>
  <c r="D132" i="2" a="1"/>
  <c r="D132" i="2" s="1"/>
  <c r="H132" i="2"/>
  <c r="C132" i="2" a="1"/>
  <c r="C132" i="2" s="1"/>
  <c r="F132" i="2" a="1"/>
  <c r="F132" i="2" s="1"/>
  <c r="E132" i="2"/>
  <c r="G132" i="2"/>
  <c r="F91" i="2" a="1"/>
  <c r="F91" i="2" s="1"/>
  <c r="G91" i="2"/>
  <c r="E91" i="2"/>
  <c r="C91" i="2" a="1"/>
  <c r="C91" i="2" s="1"/>
  <c r="H91" i="2"/>
  <c r="D91" i="2" a="1"/>
  <c r="D91" i="2" s="1"/>
  <c r="D152" i="2" a="1"/>
  <c r="D152" i="2" s="1"/>
  <c r="G152" i="2"/>
  <c r="H152" i="2"/>
  <c r="F152" i="2" a="1"/>
  <c r="F152" i="2" s="1"/>
  <c r="E152" i="2"/>
  <c r="C152" i="2" a="1"/>
  <c r="C152" i="2" s="1"/>
  <c r="H102" i="2"/>
  <c r="G102" i="2"/>
  <c r="F102" i="2" a="1"/>
  <c r="F102" i="2" s="1"/>
  <c r="C102" i="2" a="1"/>
  <c r="C102" i="2" s="1"/>
  <c r="E102" i="2" s="1"/>
  <c r="D102" i="2" a="1"/>
  <c r="D102" i="2" s="1"/>
  <c r="D112" i="2" a="1"/>
  <c r="D112" i="2" s="1"/>
  <c r="F112" i="2" a="1"/>
  <c r="F112" i="2" s="1"/>
  <c r="G112" i="2"/>
  <c r="H112" i="2"/>
  <c r="E112" i="2"/>
  <c r="C112" i="2" a="1"/>
  <c r="C112" i="2" s="1"/>
  <c r="C127" i="2" a="1"/>
  <c r="C127" i="2" s="1"/>
  <c r="H127" i="2"/>
  <c r="G127" i="2"/>
  <c r="F127" i="2" a="1"/>
  <c r="F127" i="2" s="1"/>
  <c r="D127" i="2" a="1"/>
  <c r="D127" i="2" s="1"/>
  <c r="E127" i="2"/>
  <c r="D142" i="2" a="1"/>
  <c r="D142" i="2" s="1"/>
  <c r="F142" i="2" a="1"/>
  <c r="F142" i="2" s="1"/>
  <c r="H142" i="2"/>
  <c r="G142" i="2"/>
  <c r="C142" i="2" a="1"/>
  <c r="C142" i="2" s="1"/>
  <c r="E142" i="2" s="1"/>
  <c r="H131" i="2"/>
  <c r="G131" i="2"/>
  <c r="F131" i="2" a="1"/>
  <c r="F131" i="2" s="1"/>
  <c r="D131" i="2" a="1"/>
  <c r="D131" i="2" s="1"/>
  <c r="C131" i="2" a="1"/>
  <c r="C131" i="2" s="1"/>
  <c r="E131" i="2" s="1"/>
  <c r="F109" i="2" a="1"/>
  <c r="F109" i="2" s="1"/>
  <c r="G109" i="2"/>
  <c r="D109" i="2" a="1"/>
  <c r="D109" i="2" s="1"/>
  <c r="C109" i="2" a="1"/>
  <c r="C109" i="2" s="1"/>
  <c r="E109" i="2"/>
  <c r="H109" i="2"/>
  <c r="D16" i="2" a="1"/>
  <c r="D16" i="2" s="1"/>
  <c r="C16" i="2" a="1"/>
  <c r="C16" i="2" s="1"/>
  <c r="E16" i="2" s="1"/>
  <c r="G16" i="2"/>
  <c r="F16" i="2" a="1"/>
  <c r="F16" i="2" s="1"/>
  <c r="H16" i="2"/>
  <c r="F67" i="2" a="1"/>
  <c r="F67" i="2" s="1"/>
  <c r="C67" i="2" a="1"/>
  <c r="C67" i="2" s="1"/>
  <c r="E67" i="2" s="1"/>
  <c r="H67" i="2"/>
  <c r="G67" i="2"/>
  <c r="D67" i="2" a="1"/>
  <c r="D67" i="2" s="1"/>
  <c r="F52" i="2" a="1"/>
  <c r="F52" i="2" s="1"/>
  <c r="H52" i="2"/>
  <c r="D52" i="2" a="1"/>
  <c r="D52" i="2" s="1"/>
  <c r="E52" i="2" s="1"/>
  <c r="C52" i="2" a="1"/>
  <c r="C52" i="2" s="1"/>
  <c r="G52" i="2"/>
  <c r="H135" i="2"/>
  <c r="G135" i="2"/>
  <c r="D135" i="2" a="1"/>
  <c r="D135" i="2" s="1"/>
  <c r="C135" i="2" a="1"/>
  <c r="C135" i="2" s="1"/>
  <c r="E135" i="2"/>
  <c r="F135" i="2" a="1"/>
  <c r="F135" i="2" s="1"/>
  <c r="H89" i="2"/>
  <c r="G89" i="2"/>
  <c r="F89" i="2" a="1"/>
  <c r="F89" i="2" s="1"/>
  <c r="D89" i="2" a="1"/>
  <c r="D89" i="2" s="1"/>
  <c r="C89" i="2" a="1"/>
  <c r="C89" i="2" s="1"/>
  <c r="E89" i="2" s="1"/>
  <c r="H90" i="2"/>
  <c r="G90" i="2"/>
  <c r="C90" i="2" a="1"/>
  <c r="C90" i="2" s="1"/>
  <c r="D90" i="2" a="1"/>
  <c r="D90" i="2" s="1"/>
  <c r="E90" i="2" s="1"/>
  <c r="F90" i="2" a="1"/>
  <c r="F90" i="2" s="1"/>
  <c r="H46" i="2"/>
  <c r="G46" i="2"/>
  <c r="F46" i="2" a="1"/>
  <c r="F46" i="2" s="1"/>
  <c r="C46" i="2" a="1"/>
  <c r="C46" i="2" s="1"/>
  <c r="E46" i="2" s="1"/>
  <c r="D46" i="2" a="1"/>
  <c r="D46" i="2" s="1"/>
  <c r="D116" i="2" a="1"/>
  <c r="D116" i="2" s="1"/>
  <c r="H116" i="2"/>
  <c r="C116" i="2" a="1"/>
  <c r="C116" i="2" s="1"/>
  <c r="E116" i="2" s="1"/>
  <c r="F116" i="2" a="1"/>
  <c r="F116" i="2" s="1"/>
  <c r="G116" i="2"/>
  <c r="G126" i="2"/>
  <c r="D126" i="2" a="1"/>
  <c r="D126" i="2" s="1"/>
  <c r="F126" i="2" a="1"/>
  <c r="F126" i="2" s="1"/>
  <c r="E126" i="2"/>
  <c r="C126" i="2" a="1"/>
  <c r="C126" i="2" s="1"/>
  <c r="H126" i="2"/>
  <c r="F141" i="2" a="1"/>
  <c r="F141" i="2" s="1"/>
  <c r="G141" i="2"/>
  <c r="D141" i="2" a="1"/>
  <c r="D141" i="2" s="1"/>
  <c r="C141" i="2" a="1"/>
  <c r="C141" i="2" s="1"/>
  <c r="E141" i="2" s="1"/>
  <c r="H141" i="2"/>
  <c r="D158" i="2" a="1"/>
  <c r="D158" i="2" s="1"/>
  <c r="C158" i="2" a="1"/>
  <c r="C158" i="2" s="1"/>
  <c r="E158" i="2" s="1"/>
  <c r="H158" i="2"/>
  <c r="G158" i="2"/>
  <c r="F158" i="2" a="1"/>
  <c r="F158" i="2" s="1"/>
  <c r="C143" i="2" a="1"/>
  <c r="C143" i="2" s="1"/>
  <c r="E143" i="2" s="1"/>
  <c r="H143" i="2"/>
  <c r="G143" i="2"/>
  <c r="F143" i="2" a="1"/>
  <c r="F143" i="2" s="1"/>
  <c r="D143" i="2" a="1"/>
  <c r="D143" i="2" s="1"/>
  <c r="F121" i="2" a="1"/>
  <c r="F121" i="2" s="1"/>
  <c r="D121" i="2" a="1"/>
  <c r="D121" i="2" s="1"/>
  <c r="G121" i="2"/>
  <c r="E121" i="2"/>
  <c r="H121" i="2"/>
  <c r="C121" i="2" a="1"/>
  <c r="C121" i="2" s="1"/>
  <c r="C24" i="2" a="1"/>
  <c r="C24" i="2" s="1"/>
  <c r="E24" i="2" s="1"/>
  <c r="F24" i="2" a="1"/>
  <c r="F24" i="2" s="1"/>
  <c r="H24" i="2"/>
  <c r="G24" i="2"/>
  <c r="D24" i="2" a="1"/>
  <c r="D24" i="2" s="1"/>
  <c r="D134" i="2" a="1"/>
  <c r="D134" i="2" s="1"/>
  <c r="C134" i="2" a="1"/>
  <c r="C134" i="2" s="1"/>
  <c r="E134" i="2" s="1"/>
  <c r="F134" i="2" a="1"/>
  <c r="F134" i="2" s="1"/>
  <c r="H134" i="2"/>
  <c r="G134" i="2"/>
  <c r="C32" i="2" a="1"/>
  <c r="C32" i="2" s="1"/>
  <c r="E32" i="2" s="1"/>
  <c r="D32" i="2" a="1"/>
  <c r="D32" i="2" s="1"/>
  <c r="F32" i="2" a="1"/>
  <c r="F32" i="2" s="1"/>
  <c r="H32" i="2"/>
  <c r="G32" i="2"/>
  <c r="C111" i="2" a="1"/>
  <c r="C111" i="2" s="1"/>
  <c r="D111" i="2" a="1"/>
  <c r="D111" i="2" s="1"/>
  <c r="E111" i="2" s="1"/>
  <c r="F111" i="2" a="1"/>
  <c r="F111" i="2" s="1"/>
  <c r="H111" i="2"/>
  <c r="G111" i="2"/>
  <c r="E45" i="2"/>
  <c r="D45" i="2" a="1"/>
  <c r="D45" i="2" s="1"/>
  <c r="G45" i="2"/>
  <c r="H45" i="2"/>
  <c r="C45" i="2" a="1"/>
  <c r="C45" i="2" s="1"/>
  <c r="F45" i="2" a="1"/>
  <c r="F45" i="2" s="1"/>
  <c r="D108" i="2" a="1"/>
  <c r="D108" i="2" s="1"/>
  <c r="C108" i="2" a="1"/>
  <c r="C108" i="2" s="1"/>
  <c r="E108" i="2" s="1"/>
  <c r="H108" i="2"/>
  <c r="G108" i="2"/>
  <c r="F108" i="2" a="1"/>
  <c r="F108" i="2" s="1"/>
  <c r="H151" i="2"/>
  <c r="G151" i="2"/>
  <c r="D151" i="2" a="1"/>
  <c r="D151" i="2" s="1"/>
  <c r="C151" i="2" a="1"/>
  <c r="C151" i="2" s="1"/>
  <c r="E151" i="2" s="1"/>
  <c r="F151" i="2" a="1"/>
  <c r="F151" i="2" s="1"/>
  <c r="C130" i="2" a="1"/>
  <c r="C130" i="2" s="1"/>
  <c r="H130" i="2"/>
  <c r="D130" i="2" a="1"/>
  <c r="D130" i="2" s="1"/>
  <c r="E130" i="2" s="1"/>
  <c r="G130" i="2"/>
  <c r="F130" i="2" a="1"/>
  <c r="F130" i="2" s="1"/>
  <c r="D140" i="2" a="1"/>
  <c r="D140" i="2" s="1"/>
  <c r="E140" i="2" s="1"/>
  <c r="C140" i="2" a="1"/>
  <c r="C140" i="2" s="1"/>
  <c r="H140" i="2"/>
  <c r="F140" i="2" a="1"/>
  <c r="F140" i="2" s="1"/>
  <c r="G140" i="2"/>
  <c r="D156" i="2" a="1"/>
  <c r="D156" i="2" s="1"/>
  <c r="C156" i="2" a="1"/>
  <c r="C156" i="2" s="1"/>
  <c r="F156" i="2" a="1"/>
  <c r="F156" i="2" s="1"/>
  <c r="E156" i="2"/>
  <c r="H156" i="2"/>
  <c r="G156" i="2"/>
  <c r="C11" i="2" a="1"/>
  <c r="C11" i="2" s="1"/>
  <c r="E11" i="2" s="1"/>
  <c r="F11" i="2" a="1"/>
  <c r="F11" i="2" s="1"/>
  <c r="D11" i="2" a="1"/>
  <c r="D11" i="2" s="1"/>
  <c r="H11" i="2"/>
  <c r="G11" i="2"/>
  <c r="D155" i="2" a="1"/>
  <c r="D155" i="2" s="1"/>
  <c r="E155" i="2" s="1"/>
  <c r="C155" i="2" a="1"/>
  <c r="C155" i="2" s="1"/>
  <c r="F155" i="2" a="1"/>
  <c r="F155" i="2" s="1"/>
  <c r="H155" i="2"/>
  <c r="G155" i="2"/>
  <c r="F133" i="2" a="1"/>
  <c r="F133" i="2" s="1"/>
  <c r="H133" i="2"/>
  <c r="G133" i="2"/>
  <c r="E133" i="2"/>
  <c r="D133" i="2" a="1"/>
  <c r="D133" i="2" s="1"/>
  <c r="C133" i="2" a="1"/>
  <c r="C133" i="2" s="1"/>
  <c r="D5" i="2" a="1"/>
  <c r="D5" i="2" s="1"/>
  <c r="G5" i="2"/>
  <c r="F5" i="2" a="1"/>
  <c r="F5" i="2" s="1"/>
  <c r="H5" i="2"/>
  <c r="C5" i="2" a="1"/>
  <c r="C5" i="2" s="1"/>
  <c r="E5" i="2" s="1"/>
  <c r="D9" i="2" a="1"/>
  <c r="D9" i="2" s="1"/>
  <c r="F9" i="2" a="1"/>
  <c r="F9" i="2" s="1"/>
  <c r="H9" i="2"/>
  <c r="G9" i="2"/>
  <c r="C9" i="2" a="1"/>
  <c r="C9" i="2" s="1"/>
  <c r="E9" i="2" s="1"/>
  <c r="D48" i="2" a="1"/>
  <c r="D48" i="2" s="1"/>
  <c r="C48" i="2" a="1"/>
  <c r="C48" i="2" s="1"/>
  <c r="E48" i="2" s="1"/>
  <c r="F48" i="2" a="1"/>
  <c r="F48" i="2" s="1"/>
  <c r="H48" i="2"/>
  <c r="G48" i="2"/>
  <c r="E21" i="2"/>
  <c r="D21" i="2" a="1"/>
  <c r="D21" i="2" s="1"/>
  <c r="G21" i="2"/>
  <c r="F21" i="2" a="1"/>
  <c r="F21" i="2" s="1"/>
  <c r="C21" i="2" a="1"/>
  <c r="C21" i="2" s="1"/>
  <c r="H21" i="2"/>
  <c r="C159" i="2" a="1"/>
  <c r="C159" i="2" s="1"/>
  <c r="E159" i="2" s="1"/>
  <c r="G159" i="2"/>
  <c r="D159" i="2" a="1"/>
  <c r="D159" i="2" s="1"/>
  <c r="F159" i="2" a="1"/>
  <c r="F159" i="2" s="1"/>
  <c r="H159" i="2"/>
  <c r="G65" i="2"/>
  <c r="F65" i="2" a="1"/>
  <c r="F65" i="2" s="1"/>
  <c r="D65" i="2" a="1"/>
  <c r="D65" i="2" s="1"/>
  <c r="H65" i="2"/>
  <c r="C65" i="2" a="1"/>
  <c r="C65" i="2" s="1"/>
  <c r="E65" i="2" s="1"/>
  <c r="C146" i="2" a="1"/>
  <c r="C146" i="2" s="1"/>
  <c r="G146" i="2"/>
  <c r="F146" i="2" a="1"/>
  <c r="F146" i="2" s="1"/>
  <c r="E146" i="2"/>
  <c r="D146" i="2" a="1"/>
  <c r="D146" i="2" s="1"/>
  <c r="H146" i="2"/>
  <c r="G154" i="2"/>
  <c r="F154" i="2" a="1"/>
  <c r="F154" i="2" s="1"/>
  <c r="H154" i="2"/>
  <c r="E154" i="2"/>
  <c r="D154" i="2" a="1"/>
  <c r="D154" i="2" s="1"/>
  <c r="C154" i="2" a="1"/>
  <c r="C154" i="2" s="1"/>
  <c r="H14" i="2"/>
  <c r="F14" i="2" a="1"/>
  <c r="F14" i="2" s="1"/>
  <c r="D14" i="2" a="1"/>
  <c r="D14" i="2" s="1"/>
  <c r="C14" i="2" a="1"/>
  <c r="C14" i="2" s="1"/>
  <c r="E14" i="2" s="1"/>
  <c r="G14" i="2"/>
  <c r="H23" i="2"/>
  <c r="G23" i="2"/>
  <c r="F23" i="2" a="1"/>
  <c r="F23" i="2" s="1"/>
  <c r="D23" i="2" a="1"/>
  <c r="D23" i="2" s="1"/>
  <c r="C23" i="2" a="1"/>
  <c r="C23" i="2" s="1"/>
  <c r="E23" i="2" s="1"/>
  <c r="G167" i="2"/>
  <c r="H167" i="2"/>
  <c r="C167" i="2" a="1"/>
  <c r="C167" i="2" s="1"/>
  <c r="E167" i="2" s="1"/>
  <c r="F167" i="2" a="1"/>
  <c r="F167" i="2" s="1"/>
  <c r="D167" i="2" a="1"/>
  <c r="D167" i="2" s="1"/>
  <c r="F145" i="2" a="1"/>
  <c r="F145" i="2" s="1"/>
  <c r="G145" i="2"/>
  <c r="C145" i="2" a="1"/>
  <c r="C145" i="2" s="1"/>
  <c r="E145" i="2"/>
  <c r="D145" i="2" a="1"/>
  <c r="D145" i="2" s="1"/>
  <c r="H145" i="2"/>
  <c r="D64" i="2" a="1"/>
  <c r="D64" i="2" s="1"/>
  <c r="C64" i="2" a="1"/>
  <c r="C64" i="2" s="1"/>
  <c r="H64" i="2"/>
  <c r="E64" i="2"/>
  <c r="G64" i="2"/>
  <c r="F64" i="2" a="1"/>
  <c r="F64" i="2" s="1"/>
  <c r="F129" i="2" a="1"/>
  <c r="F129" i="2" s="1"/>
  <c r="H129" i="2"/>
  <c r="G129" i="2"/>
  <c r="E129" i="2"/>
  <c r="D129" i="2" a="1"/>
  <c r="D129" i="2" s="1"/>
  <c r="C129" i="2" a="1"/>
  <c r="C129" i="2" s="1"/>
  <c r="H6" i="2"/>
  <c r="F6" i="2" a="1"/>
  <c r="F6" i="2" s="1"/>
  <c r="D6" i="2" a="1"/>
  <c r="D6" i="2" s="1"/>
  <c r="C6" i="2" a="1"/>
  <c r="C6" i="2" s="1"/>
  <c r="E6" i="2" s="1"/>
  <c r="G6" i="2"/>
  <c r="G4" i="2"/>
  <c r="F4" i="2" a="1"/>
  <c r="F4" i="2" s="1"/>
  <c r="D4" i="2" a="1"/>
  <c r="D4" i="2" s="1"/>
  <c r="C4" i="2" a="1"/>
  <c r="C4" i="2" s="1"/>
  <c r="E4" i="2" s="1"/>
  <c r="H4" i="2"/>
  <c r="D136" i="2" a="1"/>
  <c r="D136" i="2" s="1"/>
  <c r="C136" i="2" a="1"/>
  <c r="C136" i="2" s="1"/>
  <c r="E136" i="2" s="1"/>
  <c r="F136" i="2" a="1"/>
  <c r="F136" i="2" s="1"/>
  <c r="G136" i="2"/>
  <c r="H136" i="2"/>
  <c r="D150" i="2" a="1"/>
  <c r="D150" i="2" s="1"/>
  <c r="H150" i="2"/>
  <c r="G150" i="2"/>
  <c r="F150" i="2" a="1"/>
  <c r="F150" i="2" s="1"/>
  <c r="C150" i="2" a="1"/>
  <c r="C150" i="2" s="1"/>
  <c r="E150" i="2" s="1"/>
  <c r="D160" i="2" a="1"/>
  <c r="D160" i="2" s="1"/>
  <c r="F160" i="2" a="1"/>
  <c r="F160" i="2" s="1"/>
  <c r="C160" i="2" a="1"/>
  <c r="C160" i="2" s="1"/>
  <c r="E160" i="2" s="1"/>
  <c r="G160" i="2"/>
  <c r="H160" i="2"/>
  <c r="G12" i="2"/>
  <c r="F12" i="2" a="1"/>
  <c r="F12" i="2" s="1"/>
  <c r="H12" i="2"/>
  <c r="C12" i="2" a="1"/>
  <c r="C12" i="2" s="1"/>
  <c r="E12" i="2" s="1"/>
  <c r="D12" i="2" a="1"/>
  <c r="D12" i="2" s="1"/>
  <c r="C28" i="2" a="1"/>
  <c r="C28" i="2" s="1"/>
  <c r="E28" i="2" s="1"/>
  <c r="D28" i="2" a="1"/>
  <c r="D28" i="2" s="1"/>
  <c r="F28" i="2" a="1"/>
  <c r="F28" i="2" s="1"/>
  <c r="H28" i="2"/>
  <c r="G28" i="2"/>
  <c r="D35" i="2" a="1"/>
  <c r="D35" i="2" s="1"/>
  <c r="C35" i="2" a="1"/>
  <c r="C35" i="2" s="1"/>
  <c r="E35" i="2" s="1"/>
  <c r="H35" i="2"/>
  <c r="G35" i="2"/>
  <c r="F35" i="2" a="1"/>
  <c r="F35" i="2" s="1"/>
  <c r="D13" i="2" a="1"/>
  <c r="D13" i="2" s="1"/>
  <c r="H13" i="2"/>
  <c r="G13" i="2"/>
  <c r="C13" i="2" a="1"/>
  <c r="C13" i="2" s="1"/>
  <c r="E13" i="2" s="1"/>
  <c r="F13" i="2" a="1"/>
  <c r="F13" i="2" s="1"/>
  <c r="F157" i="2" a="1"/>
  <c r="F157" i="2" s="1"/>
  <c r="G157" i="2"/>
  <c r="C157" i="2" a="1"/>
  <c r="C157" i="2" s="1"/>
  <c r="E157" i="2"/>
  <c r="H157" i="2"/>
  <c r="D157" i="2" a="1"/>
  <c r="D157" i="2" s="1"/>
  <c r="F163" i="2" a="1"/>
  <c r="F163" i="2" s="1"/>
  <c r="G163" i="2"/>
  <c r="D163" i="2" a="1"/>
  <c r="D163" i="2" s="1"/>
  <c r="E163" i="2" s="1"/>
  <c r="C163" i="2" a="1"/>
  <c r="C163" i="2" s="1"/>
  <c r="H163" i="2"/>
  <c r="H43" i="2"/>
  <c r="G43" i="2"/>
  <c r="C43" i="2" a="1"/>
  <c r="C43" i="2" s="1"/>
  <c r="D43" i="2" a="1"/>
  <c r="D43" i="2" s="1"/>
  <c r="E43" i="2" s="1"/>
  <c r="F43" i="2" a="1"/>
  <c r="F43" i="2" s="1"/>
  <c r="E115" i="2"/>
  <c r="D115" i="2" a="1"/>
  <c r="D115" i="2" s="1"/>
  <c r="C115" i="2" a="1"/>
  <c r="C115" i="2" s="1"/>
  <c r="G115" i="2"/>
  <c r="H115" i="2"/>
  <c r="F115" i="2" a="1"/>
  <c r="F115" i="2" s="1"/>
  <c r="H106" i="2"/>
  <c r="G106" i="2"/>
  <c r="C106" i="2" a="1"/>
  <c r="C106" i="2" s="1"/>
  <c r="E106" i="2" s="1"/>
  <c r="F106" i="2" a="1"/>
  <c r="F106" i="2" s="1"/>
  <c r="D106" i="2" a="1"/>
  <c r="D106" i="2" s="1"/>
  <c r="H10" i="2"/>
  <c r="F10" i="2" a="1"/>
  <c r="F10" i="2" s="1"/>
  <c r="G10" i="2"/>
  <c r="E10" i="2"/>
  <c r="D10" i="2" a="1"/>
  <c r="D10" i="2" s="1"/>
  <c r="C10" i="2" a="1"/>
  <c r="C10" i="2" s="1"/>
  <c r="H27" i="2"/>
  <c r="G27" i="2"/>
  <c r="C27" i="2" a="1"/>
  <c r="C27" i="2" s="1"/>
  <c r="D27" i="2" a="1"/>
  <c r="D27" i="2" s="1"/>
  <c r="E27" i="2" s="1"/>
  <c r="F27" i="2" a="1"/>
  <c r="F27" i="2" s="1"/>
  <c r="H42" i="2"/>
  <c r="G42" i="2"/>
  <c r="F42" i="2" a="1"/>
  <c r="F42" i="2" s="1"/>
  <c r="D42" i="2" a="1"/>
  <c r="D42" i="2" s="1"/>
  <c r="E42" i="2" s="1"/>
  <c r="C42" i="2" a="1"/>
  <c r="C42" i="2" s="1"/>
  <c r="F47" i="2" a="1"/>
  <c r="F47" i="2" s="1"/>
  <c r="C47" i="2" a="1"/>
  <c r="C47" i="2" s="1"/>
  <c r="E47" i="2" s="1"/>
  <c r="H47" i="2"/>
  <c r="G47" i="2"/>
  <c r="D47" i="2" a="1"/>
  <c r="D47" i="2" s="1"/>
  <c r="D25" i="2" a="1"/>
  <c r="D25" i="2" s="1"/>
  <c r="E25" i="2" s="1"/>
  <c r="H25" i="2"/>
  <c r="F25" i="2" a="1"/>
  <c r="F25" i="2" s="1"/>
  <c r="G25" i="2"/>
  <c r="C25" i="2" a="1"/>
  <c r="C25" i="2" s="1"/>
  <c r="C169" i="2" a="1"/>
  <c r="C169" i="2" s="1"/>
  <c r="E169" i="2" s="1"/>
  <c r="F169" i="2" a="1"/>
  <c r="F169" i="2" s="1"/>
  <c r="H169" i="2"/>
  <c r="G169" i="2"/>
  <c r="D169" i="2" a="1"/>
  <c r="D169" i="2" s="1"/>
  <c r="C139" i="2" a="1"/>
  <c r="C139" i="2" s="1"/>
  <c r="H139" i="2"/>
  <c r="G139" i="2"/>
  <c r="E139" i="2"/>
  <c r="F139" i="2" a="1"/>
  <c r="F139" i="2" s="1"/>
  <c r="D139" i="2" a="1"/>
  <c r="D139" i="2" s="1"/>
  <c r="F161" i="2" a="1"/>
  <c r="F161" i="2" s="1"/>
  <c r="G161" i="2"/>
  <c r="D161" i="2" a="1"/>
  <c r="D161" i="2" s="1"/>
  <c r="C161" i="2" a="1"/>
  <c r="C161" i="2" s="1"/>
  <c r="E161" i="2" s="1"/>
  <c r="H161" i="2"/>
  <c r="C92" i="2" a="1"/>
  <c r="C92" i="2" s="1"/>
  <c r="E92" i="2" s="1"/>
  <c r="D92" i="2" a="1"/>
  <c r="D92" i="2" s="1"/>
  <c r="G92" i="2"/>
  <c r="H92" i="2"/>
  <c r="F92" i="2" a="1"/>
  <c r="F92" i="2" s="1"/>
  <c r="C20" i="2" a="1"/>
  <c r="C20" i="2" s="1"/>
  <c r="E20" i="2" s="1"/>
  <c r="H20" i="2"/>
  <c r="G20" i="2"/>
  <c r="F20" i="2" a="1"/>
  <c r="F20" i="2" s="1"/>
  <c r="D20" i="2" a="1"/>
  <c r="D20" i="2" s="1"/>
  <c r="H26" i="2"/>
  <c r="G26" i="2"/>
  <c r="F26" i="2" a="1"/>
  <c r="F26" i="2" s="1"/>
  <c r="D26" i="2" a="1"/>
  <c r="D26" i="2" s="1"/>
  <c r="E26" i="2" s="1"/>
  <c r="C26" i="2" a="1"/>
  <c r="C26" i="2" s="1"/>
  <c r="D41" i="2" a="1"/>
  <c r="D41" i="2" s="1"/>
  <c r="G41" i="2"/>
  <c r="H41" i="2"/>
  <c r="F41" i="2" a="1"/>
  <c r="F41" i="2" s="1"/>
  <c r="C41" i="2" a="1"/>
  <c r="C41" i="2" s="1"/>
  <c r="E41" i="2" s="1"/>
  <c r="H56" i="2"/>
  <c r="G56" i="2"/>
  <c r="F56" i="2" a="1"/>
  <c r="F56" i="2" s="1"/>
  <c r="E56" i="2"/>
  <c r="C56" i="2" a="1"/>
  <c r="C56" i="2" s="1"/>
  <c r="D56" i="2" a="1"/>
  <c r="D56" i="2" s="1"/>
  <c r="F59" i="2" a="1"/>
  <c r="F59" i="2" s="1"/>
  <c r="H59" i="2"/>
  <c r="G59" i="2"/>
  <c r="C59" i="2" a="1"/>
  <c r="C59" i="2" s="1"/>
  <c r="E59" i="2" s="1"/>
  <c r="D59" i="2" a="1"/>
  <c r="D59" i="2" s="1"/>
  <c r="D37" i="2" a="1"/>
  <c r="D37" i="2" s="1"/>
  <c r="E37" i="2" s="1"/>
  <c r="G37" i="2"/>
  <c r="F37" i="2" a="1"/>
  <c r="F37" i="2" s="1"/>
  <c r="C37" i="2" a="1"/>
  <c r="C37" i="2" s="1"/>
  <c r="H37" i="2"/>
  <c r="D144" i="2" a="1"/>
  <c r="D144" i="2" s="1"/>
  <c r="F144" i="2" a="1"/>
  <c r="F144" i="2" s="1"/>
  <c r="H144" i="2"/>
  <c r="G144" i="2"/>
  <c r="C144" i="2" a="1"/>
  <c r="C144" i="2" s="1"/>
  <c r="E144" i="2" s="1"/>
  <c r="D120" i="2" a="1"/>
  <c r="D120" i="2" s="1"/>
  <c r="C120" i="2" a="1"/>
  <c r="C120" i="2" s="1"/>
  <c r="E120" i="2" s="1"/>
  <c r="H120" i="2"/>
  <c r="F120" i="2" a="1"/>
  <c r="F120" i="2" s="1"/>
  <c r="G120" i="2"/>
  <c r="F117" i="2" a="1"/>
  <c r="F117" i="2" s="1"/>
  <c r="H117" i="2"/>
  <c r="D117" i="2" a="1"/>
  <c r="D117" i="2" s="1"/>
  <c r="G117" i="2"/>
  <c r="C117" i="2" a="1"/>
  <c r="C117" i="2" s="1"/>
  <c r="E117" i="2" s="1"/>
  <c r="H87" i="2"/>
  <c r="D87" i="2" a="1"/>
  <c r="D87" i="2" s="1"/>
  <c r="C87" i="2" a="1"/>
  <c r="C87" i="2" s="1"/>
  <c r="E87" i="2"/>
  <c r="G87" i="2"/>
  <c r="F87" i="2" a="1"/>
  <c r="F87" i="2" s="1"/>
  <c r="H72" i="2"/>
  <c r="G72" i="2"/>
  <c r="C72" i="2" a="1"/>
  <c r="C72" i="2" s="1"/>
  <c r="E72" i="2"/>
  <c r="D72" i="2" a="1"/>
  <c r="D72" i="2" s="1"/>
  <c r="F72" i="2" a="1"/>
  <c r="F72" i="2" s="1"/>
  <c r="H30" i="2"/>
  <c r="G30" i="2"/>
  <c r="F30" i="2" a="1"/>
  <c r="F30" i="2" s="1"/>
  <c r="C30" i="2" a="1"/>
  <c r="C30" i="2" s="1"/>
  <c r="E30" i="2" s="1"/>
  <c r="D30" i="2" a="1"/>
  <c r="D30" i="2" s="1"/>
  <c r="C40" i="2" a="1"/>
  <c r="C40" i="2" s="1"/>
  <c r="E40" i="2" s="1"/>
  <c r="F40" i="2" a="1"/>
  <c r="F40" i="2" s="1"/>
  <c r="H40" i="2"/>
  <c r="G40" i="2"/>
  <c r="D40" i="2" a="1"/>
  <c r="D40" i="2" s="1"/>
  <c r="F55" i="2" a="1"/>
  <c r="F55" i="2" s="1"/>
  <c r="D55" i="2" a="1"/>
  <c r="D55" i="2" s="1"/>
  <c r="E55" i="2" s="1"/>
  <c r="H55" i="2"/>
  <c r="C55" i="2" a="1"/>
  <c r="C55" i="2" s="1"/>
  <c r="G55" i="2"/>
  <c r="D70" i="2" a="1"/>
  <c r="D70" i="2" s="1"/>
  <c r="C70" i="2" a="1"/>
  <c r="C70" i="2" s="1"/>
  <c r="E70" i="2" s="1"/>
  <c r="H70" i="2"/>
  <c r="F70" i="2" a="1"/>
  <c r="F70" i="2" s="1"/>
  <c r="G70" i="2"/>
  <c r="F71" i="2" a="1"/>
  <c r="F71" i="2" s="1"/>
  <c r="D71" i="2" a="1"/>
  <c r="D71" i="2" s="1"/>
  <c r="E71" i="2" s="1"/>
  <c r="H71" i="2"/>
  <c r="C71" i="2" a="1"/>
  <c r="C71" i="2" s="1"/>
  <c r="G71" i="2"/>
  <c r="G49" i="2"/>
  <c r="F49" i="2" a="1"/>
  <c r="F49" i="2" s="1"/>
  <c r="C49" i="2" a="1"/>
  <c r="C49" i="2" s="1"/>
  <c r="H49" i="2"/>
  <c r="D49" i="2" a="1"/>
  <c r="D49" i="2" s="1"/>
  <c r="E49" i="2" s="1"/>
  <c r="G122" i="2"/>
  <c r="F122" i="2" a="1"/>
  <c r="F122" i="2" s="1"/>
  <c r="C122" i="2" a="1"/>
  <c r="C122" i="2" s="1"/>
  <c r="E122" i="2"/>
  <c r="D122" i="2" a="1"/>
  <c r="D122" i="2" s="1"/>
  <c r="H122" i="2"/>
  <c r="C96" i="2" a="1"/>
  <c r="C96" i="2" s="1"/>
  <c r="E96" i="2" s="1"/>
  <c r="D96" i="2" a="1"/>
  <c r="D96" i="2" s="1"/>
  <c r="G96" i="2"/>
  <c r="H96" i="2"/>
  <c r="F96" i="2" a="1"/>
  <c r="F96" i="2" s="1"/>
</calcChain>
</file>

<file path=xl/sharedStrings.xml><?xml version="1.0" encoding="utf-8"?>
<sst xmlns="http://schemas.openxmlformats.org/spreadsheetml/2006/main" count="21477" uniqueCount="1687">
  <si>
    <t>PadronizaClean | Catálogo de Equipamentos de Limpeza</t>
  </si>
  <si>
    <t>(2) CONFIRME SE AS SUGESTÕES ESTÃO CORRETAS</t>
  </si>
  <si>
    <t>(1) INSIRA ABAIXO OS NOMES DOS EQUIPAMENTOS</t>
  </si>
  <si>
    <t>(3) CASO NÃO ESTEJA, INDIQUE NA COLUNA ABAIXO O ITEM REVISADO</t>
  </si>
  <si>
    <t>Texto Original</t>
  </si>
  <si>
    <t>Equipamento ou Material Sugerido</t>
  </si>
  <si>
    <t>Valor Unitário</t>
  </si>
  <si>
    <t>Vida Útil (meses)</t>
  </si>
  <si>
    <t>Manutenção (%)</t>
  </si>
  <si>
    <t>Sugestão INCORRETA?</t>
  </si>
  <si>
    <t>Equipamento ou Material Revisado</t>
  </si>
  <si>
    <t>#</t>
  </si>
  <si>
    <t>Descrição Padronizada</t>
  </si>
  <si>
    <t>Preço Mínimo</t>
  </si>
  <si>
    <t>Preço Máximo</t>
  </si>
  <si>
    <t>Preço Médio</t>
  </si>
  <si>
    <t>Vida Útil</t>
  </si>
  <si>
    <t>Percentual de Manutenção</t>
  </si>
  <si>
    <t>Frequência</t>
  </si>
  <si>
    <t>Prioritário</t>
  </si>
  <si>
    <t>-</t>
  </si>
  <si>
    <t>Descrição Livre</t>
  </si>
  <si>
    <t>Preço</t>
  </si>
  <si>
    <t>Bralimpia Aplicador de Cera</t>
  </si>
  <si>
    <t>aplicador de cera</t>
  </si>
  <si>
    <t>Bralimpia Aplicador De Cera 35 cm com Cabo</t>
  </si>
  <si>
    <t>BRALIMPIA Aplicador De Cera Com Cabo 45cm</t>
  </si>
  <si>
    <t>BRALIMPIA Balde Aplicador de Cera</t>
  </si>
  <si>
    <t>Aplicador Plástico de Cera Superpro</t>
  </si>
  <si>
    <t>Bralimpia Conjunto Aplicador De Cera pratic CJBAC301</t>
  </si>
  <si>
    <t>Bralimpia Conjunto Aplicador de Cera Finish</t>
  </si>
  <si>
    <t>Aplicador De Cera 35 Cm C/ Cabo De Alumínio - Bralimpia</t>
  </si>
  <si>
    <t>Aplicador De Cera Com Cabo 35Cm</t>
  </si>
  <si>
    <t>Aplicador De Cera 35 Cm C/ Cabo Retratil Bralimpia Branco</t>
  </si>
  <si>
    <t>Armário Roupeiro Aço 8 Portas Academia Guarda Volume Ea702</t>
  </si>
  <si>
    <t>armário roupeiro de aço com 8 portas / vãos</t>
  </si>
  <si>
    <t>Roupeiro Aço Light 2v 08 Portas Gr302/8</t>
  </si>
  <si>
    <t>Armário De Aço Roupeiro Academia Vestiário 08 Portas Pequenas</t>
  </si>
  <si>
    <t>MOVEIS VITORINO Roupeiro em aço com 8 portas grandes</t>
  </si>
  <si>
    <t>Armário De Aço Roupeiro Academia 08 Portas Grandes Locker</t>
  </si>
  <si>
    <t>Roupeiro De Aço 8 Portas Grandes Armário Para Funcionários E Alunos</t>
  </si>
  <si>
    <t>Pandin Móveis Armário Locker Roupeiro 8 Portas Aço Grp 502/8</t>
  </si>
  <si>
    <t>Amapá Armário Vestiário 8 portas grandes Cinza</t>
  </si>
  <si>
    <t>Roupeiro de Aço com 08 Portas Grandes com Pitão para Cadeado em "CHAPA 26"</t>
  </si>
  <si>
    <t>Armário Roupeiro Aço 8 Portas Guarda Volume Ea702</t>
  </si>
  <si>
    <t>aspirador de pó</t>
  </si>
  <si>
    <t>aspirador de pó e água</t>
  </si>
  <si>
    <t>PERFECT PRO Balde Espremedor 2 Aguas</t>
  </si>
  <si>
    <t>balde espremedor duplo</t>
  </si>
  <si>
    <t>Nobre Balde Espremedor Amarelo 20l Divisor de Águas</t>
  </si>
  <si>
    <t>Carrinho Balde Espremedor Com Divisor De Águas 20l Bettanin</t>
  </si>
  <si>
    <t>Balde Com Espremedor 2 Aguas W1</t>
  </si>
  <si>
    <t>Balde Espremedor - Fox Duplo - 2 águas</t>
  </si>
  <si>
    <t>Balde Mop com Espremedor Carrinho de Limpeza Doblo 30 Litros Duas Águas Amarelo Ny108 Bralimpia</t>
  </si>
  <si>
    <t>Bettanin Balde Duplo 15 litros com Espremedor REF</t>
  </si>
  <si>
    <t>Carrinho De Limpeza Profissional Balde Duplo Espremedor Mop</t>
  </si>
  <si>
    <t>Bralimpia Conjunto Balde Doblô Flex 20 litros</t>
  </si>
  <si>
    <t>Carrinho Espremedor Com Duplo Balde Cleaner 30 Litros</t>
  </si>
  <si>
    <t>Extensão Telescópica - Bralimpia</t>
  </si>
  <si>
    <t>cabo extensor telescópico 7,5 m</t>
  </si>
  <si>
    <t>Extensor Telescópico Tigre</t>
  </si>
  <si>
    <t>Extensão telescópica de alumínio com altura 2,5 a 7,5 m para limpeza de vidros - Bralimpia</t>
  </si>
  <si>
    <t>Extensao Telescopica 7,5 Mts</t>
  </si>
  <si>
    <t>Rodo Limpa Vidros Cabo Extensor Telescópico 7,5 Mts Com Espanador Eletrostático Bralimpia</t>
  </si>
  <si>
    <t>Cabo Extensor Bralimpia 7,5 metros 7,5 Metros</t>
  </si>
  <si>
    <t>Cabo Extensor Concept Bettanin</t>
  </si>
  <si>
    <t>Extensor de Alumínio 5m 1308-50 Tigre</t>
  </si>
  <si>
    <t>EXTENSOR TELESC 7.5MT STARCLEAN</t>
  </si>
  <si>
    <t>Bralimpia - Cabo Extensor Telescópico De Alumínio C/ Rosca</t>
  </si>
  <si>
    <t>carregador de bateria</t>
  </si>
  <si>
    <t>LP Lixeira Carro Coletor Lixão 240 L Contentor Lixo</t>
  </si>
  <si>
    <t>carrinho coletor de lixo 240 l</t>
  </si>
  <si>
    <t>Carrinho Coletor Amarelo 240l Lar PLASTICOS-49</t>
  </si>
  <si>
    <t>Carrinho Coletor De Lixo Com Pedal 240 Litros</t>
  </si>
  <si>
    <t>jsn Lixeira Grande Contentor De Lixo Com Rodas 240 Litros Vm</t>
  </si>
  <si>
    <t>Bralimpia Cesto para lixo tipo gari 240 L com rodas</t>
  </si>
  <si>
    <t>Lixeira Contentor Com Rodas De 200 Mm 240 Litros Jsn - Preto</t>
  </si>
  <si>
    <t>JSN Lixeira Plástico Com Rodas de 240 Litros</t>
  </si>
  <si>
    <t>Nobre Lixeira 240l C/Rodas</t>
  </si>
  <si>
    <t>Lar Plasticos Carrinho Coletor de Lixo 240 Litros Lar</t>
  </si>
  <si>
    <t>Bralimpia Cesto Gari Laranja 240L com Rodas 200mm C240LJ'</t>
  </si>
  <si>
    <t>JSN Contêiner de Lixo 660L</t>
  </si>
  <si>
    <t>carrinho container 660 l</t>
  </si>
  <si>
    <t>Container de Lixo - 660 Litros - Power Bear - WB</t>
  </si>
  <si>
    <t>JSN Lixeira Contêiner 660 Litros Com Pedal Contentor Lixo 660 L</t>
  </si>
  <si>
    <t>Carro Caixa Lixeira Container 660 Litros P/ Condominio Cores</t>
  </si>
  <si>
    <t>Contêiner de Lixo - 660 Litros - Power Bear</t>
  </si>
  <si>
    <t>Container de Lixo 660 Litros (Cores sob consulta) Preto</t>
  </si>
  <si>
    <t>Contêiner 660 Litros Com Reforço Lixeira</t>
  </si>
  <si>
    <t>Contentor de Lixo de 660 litros - JSN</t>
  </si>
  <si>
    <t>Contentor de Lixo com Rodas 660 Litros Preto</t>
  </si>
  <si>
    <t>JSN Kit Completo do Carrinho Funcional de Limpeza</t>
  </si>
  <si>
    <t>carrinho funcional completo</t>
  </si>
  <si>
    <t>Kit Completo Carrinho Funcional Limpeza Profissional 20l Bralimpia</t>
  </si>
  <si>
    <t>NOBRE Carro Funcional Com Bolsa Vinil</t>
  </si>
  <si>
    <t>Carrinho Funcional para Limpeza Completo</t>
  </si>
  <si>
    <t>Carro Funcional America Bralimpia</t>
  </si>
  <si>
    <t>JSN Carrinho Funcional De Limpeza Kit Completo</t>
  </si>
  <si>
    <t>Carro Funcional America Black Bralimpia</t>
  </si>
  <si>
    <t>Carro Funcional America BRALIMPIA</t>
  </si>
  <si>
    <t>Carrinho Funcional De Limpeza Completo Amarelo JSN</t>
  </si>
  <si>
    <t>Bralimpia Carro Funcional Pan America CF200P</t>
  </si>
  <si>
    <t>celular smartphone com plano de dados</t>
  </si>
  <si>
    <t>Cesto Funcional Bralimpia Organizador Produtos Limpeza</t>
  </si>
  <si>
    <t>cesto funcional multiuso</t>
  </si>
  <si>
    <t>Cesto Funcional Multiuso Organizador De Produtos De Limpeza Bralimpia</t>
  </si>
  <si>
    <t>Cestinha Cesto Funcional Organizador de Produtos de Limpeza Bralimpia</t>
  </si>
  <si>
    <t>Cesto Funcional Organizador Transporte De Produto De Limpeza Bralimpia</t>
  </si>
  <si>
    <t>Cesto Funcional Bralimpia para Limpeza</t>
  </si>
  <si>
    <t>Cesto Funcional</t>
  </si>
  <si>
    <t>Cesto Organizador Funcional Transporte Produtos De Limpeza Bralimpia</t>
  </si>
  <si>
    <t>Cestinha Cesto Funcional Azul Organizador de Produtos de Limpeza Acessórios Obra Alça Multifunção</t>
  </si>
  <si>
    <t>Cesto Funcional Organizador Vermelho De Produtos De Limpeza</t>
  </si>
  <si>
    <t>Cestinha Cesto Funcional Azul Organizador de Produtos de Limpeza Acess</t>
  </si>
  <si>
    <t>Mop Com Esfregão Giratório Microfibra E Balde 12 Litros</t>
  </si>
  <si>
    <t>conjunto de balde com mop</t>
  </si>
  <si>
    <t>Mop Giratório 10 Litros Kit Completo 2 Refis 360 Graus Com Balde Limpeza Lava e Seca Esfregão Para Limpeza</t>
  </si>
  <si>
    <t>Flat Mop Lava e Seca Com Balde e Refil Grátis</t>
  </si>
  <si>
    <t>Mop Fit Giratório Flash Limp Mop5010</t>
  </si>
  <si>
    <t>Mop Giratório Kit Completo 360o Graus Com Balde Para Limpeza Unicasa</t>
  </si>
  <si>
    <t>Mop Fit Lava E Seca 1653 Condor Cor Vermelho</t>
  </si>
  <si>
    <t>Mop Rodo Flat E Balde Lava E Seca Profissional Com 2 Refil</t>
  </si>
  <si>
    <t>Mop Plano com Balde e Sistema de Limpeza Dupla Ação, 2 Refis, Azul/Cinza</t>
  </si>
  <si>
    <t>Mop Giratório 360o Com Balde Duplo</t>
  </si>
  <si>
    <t>Disco Preto 350mm Removedor</t>
  </si>
  <si>
    <t>disco preto 350 mm</t>
  </si>
  <si>
    <t>Disco Remov. Preto p/Encerad. 350mm Nobre</t>
  </si>
  <si>
    <t>Disco Removedor Bettanin Preto</t>
  </si>
  <si>
    <t>Disco Preto Limpeza Removedor Enceradeira 350 35cm Cleaner</t>
  </si>
  <si>
    <t>Disco Removedor Preto 350Mm 3M</t>
  </si>
  <si>
    <t>Disco Preto Enceradeira Limpeza Removedor Enceradeira 350 35cm</t>
  </si>
  <si>
    <t>OUTRAS Disco Preto 350mm Piso Encardido p/ Enceradeira Jacto</t>
  </si>
  <si>
    <t>Disco Abrasivo Removedor Preto 350 MM CLEANER</t>
  </si>
  <si>
    <t>Disco Preto Abrasivo Limpador P/ Enceradeira 350 Mm Cleaner</t>
  </si>
  <si>
    <t>Disco Preto Limpeza Removedor Enceradeira 350 35cm</t>
  </si>
  <si>
    <t>Nobre Disco p/enceradeira Verde 350mm</t>
  </si>
  <si>
    <t>disco verde 350 mm</t>
  </si>
  <si>
    <t>Disco Limpador Verde 350mm</t>
  </si>
  <si>
    <t>Bralimpia Disco Verde Limpador 350 Mm</t>
  </si>
  <si>
    <t>Disco Verde para Enceradeira 350mm Bettanin 9835</t>
  </si>
  <si>
    <t>Disco Verde Enceradeira Bettanin</t>
  </si>
  <si>
    <t>Disco Limpador Verde para Tratamento de Pisos 350mm 1 UN 3M</t>
  </si>
  <si>
    <t>Disco Removedor Verde 350mm Bettanin</t>
  </si>
  <si>
    <t>Disco Abrasivo Limpador Verde 350 MM CLEANER</t>
  </si>
  <si>
    <t>Bettanin Disco Limpador Verde 350mm</t>
  </si>
  <si>
    <t>Disco Limpador Verde Tinindo 350mm 3M</t>
  </si>
  <si>
    <t>Rotterman Enceradeira industrial 1/2 hp 350 mm com escova e suporte</t>
  </si>
  <si>
    <t>enceradeira 350 mm</t>
  </si>
  <si>
    <t>Enceradeira Industrial CL350 Plus Cleaner</t>
  </si>
  <si>
    <t>Enceradeira Industrial 350 mm DC350 Bumafer</t>
  </si>
  <si>
    <t>Enceradeira Industrial 350 Mm Com Escova E Suporte Rotterman</t>
  </si>
  <si>
    <t>Cleaner Enceradeira Industrial CL 350</t>
  </si>
  <si>
    <t>Enceradeira industrial BR352A 350mm 12HP 220V Bralimpia-BR352A</t>
  </si>
  <si>
    <t>Enceradeira Profissional 1/2HP 350mm Romher Allclean 350</t>
  </si>
  <si>
    <t>Enceradeira Profissional Industrial - 350MM Bivolt</t>
  </si>
  <si>
    <t>Enceradeira GL 350mm Bivolt - CERTEC</t>
  </si>
  <si>
    <t>Polidora elétrica Cleaner CL350</t>
  </si>
  <si>
    <t>Rotterman Enceradeira industrial 3/4 hp 510 mm com escova nylon e suporte de dis</t>
  </si>
  <si>
    <t>enceradeira 510 mm</t>
  </si>
  <si>
    <t>Enceradeira Industrial Allclean 510 Romher</t>
  </si>
  <si>
    <t>Enceradeira Industrial DC510 Plus 510mm - Bivolt - Deep Clean</t>
  </si>
  <si>
    <t>Enceradeira industrial br512a 510mm 1HP 220V BRALIMPIA-br512a</t>
  </si>
  <si>
    <t>Enceradeira Industrial 510 Mm / All Clean</t>
  </si>
  <si>
    <t>Enceradeira com 1 Escova e Suporte Velcro 510mm Bivolt DC 510 Plus Deep Clean</t>
  </si>
  <si>
    <t>Enceradeira Industrial Elétrica DC 510 Super Plus Bivolt limpeza de piso Deep Clean</t>
  </si>
  <si>
    <t>Enceradeira Industrial Lavadora De Pisos 510mm H510 Azul MaxClean</t>
  </si>
  <si>
    <t>Enceradeira Linha GL 510 Autovolt 175 RPM Certec</t>
  </si>
  <si>
    <t>Enceradeira Industrial Lavadora De Piso Dc 510 - Deep Clean Deepclean</t>
  </si>
  <si>
    <t>Escada 3 Degraus Alumínio Mor</t>
  </si>
  <si>
    <t>escada com 3 degraus</t>
  </si>
  <si>
    <t>Escada Alumínio Doméstica Reisam 3 Degraus</t>
  </si>
  <si>
    <t>Escada de Alumínio Botafogo 3 Degraus</t>
  </si>
  <si>
    <t>Banqueta Escada de Alumínio Botafogo 3 Degraus</t>
  </si>
  <si>
    <t>Banqueta Escada Alumínio Reisam 3 Degraus</t>
  </si>
  <si>
    <t>Escada Banqueta 3 Degraus Alumínio Mor</t>
  </si>
  <si>
    <t>Escada Banqueta de Alumínio Agata 3 Degraus</t>
  </si>
  <si>
    <t>REAL ESCADAS Escada de Alumínio Doméstica com 3 Degraus</t>
  </si>
  <si>
    <t>Escada 3 Degraus Alumínio Alumasa</t>
  </si>
  <si>
    <t>Escada Alumínio 3 Degraus Agata</t>
  </si>
  <si>
    <t>Escada 5 Degraus Alumínio Mor</t>
  </si>
  <si>
    <t>escada com 5 degraus</t>
  </si>
  <si>
    <t>Escada Alumínio Doméstica Reisam 5 Degraus</t>
  </si>
  <si>
    <t>Escada Alumínio 5 Degraus Botafogo</t>
  </si>
  <si>
    <t>Escada 5 Degraus em Alumínio Pro Botafogo</t>
  </si>
  <si>
    <t>REAL ESCADAS Escada Doméstica de Alumínio 5 Degraus</t>
  </si>
  <si>
    <t>Agata Escada de Alumínio 5 Degraus residencial</t>
  </si>
  <si>
    <t>Escada Comfort 5 Degraus Alumínio Alumasa</t>
  </si>
  <si>
    <t>Escada de Alumínio Extensiva BOTAFOGO 5 Degraus</t>
  </si>
  <si>
    <t>Escada Alumínio 5 Degraus</t>
  </si>
  <si>
    <t>esfregão elétrico</t>
  </si>
  <si>
    <t>esponja dupla face</t>
  </si>
  <si>
    <t>estação de trabalho com computador</t>
  </si>
  <si>
    <t>Extensão Elétrica 25 Metros</t>
  </si>
  <si>
    <t>extensão elétrica 25 m</t>
  </si>
  <si>
    <t>Extensão Elétrica 25 Metros Cabo PP 2x2,5mm Plug 10a</t>
  </si>
  <si>
    <t>Extensão Elétrica 25 Metros 20A e 10A 03 Tomadas Bivolt 127V/220V Cabo 2.0mm Reforçado</t>
  </si>
  <si>
    <t>Extensão Elétrica Bivolt 25 Metros Cabo Pp Preto 10a</t>
  </si>
  <si>
    <t>Extensão Elétrica Profissional 25m Reforçada 10/20 Amp Pp Cor Preto Eletroplas</t>
  </si>
  <si>
    <t>Click Cabos Extensão Elétrica 25 Metros 10a Cabo Pp Reforçada Cor</t>
  </si>
  <si>
    <t>Extensão Elétrica Profissional 25 Metros Reforçada 10/20 Amp</t>
  </si>
  <si>
    <t>Extensão Elétrica Reforçada 25mt 2x1,50mm Montada</t>
  </si>
  <si>
    <t>Bokz Extensão Elétrica Bivolt 25 Metros Cabo PP Preto 10A</t>
  </si>
  <si>
    <t>Extensão Tomada Elétrica Fio PP 2x2,5 Mm Bivolt 25 Metros</t>
  </si>
  <si>
    <t>Extensão Eletrica 30 Metros Reforçada 10/20a Profissional</t>
  </si>
  <si>
    <t>extensão elétrica 30 m</t>
  </si>
  <si>
    <t>Extensão Eletrica 30 Metros Reforçada Profissional 10/20a Cor Preto Ms Eletro Eletrônica</t>
  </si>
  <si>
    <t>Extensão Elétrica 30 Metros 10A Cabo PP 2x1,0 Reforçada</t>
  </si>
  <si>
    <t>Extensão Eletrica 30m Reforçada 10/20a Profissional127v/220v Cor Preto 127v/220v LONDRICABOS</t>
  </si>
  <si>
    <t>Extensão Profissional Eletrica 30 Mt Com Enrolador 2x1,5 Preto Spazio</t>
  </si>
  <si>
    <t>Extensão Elétrica 30 Metros Com Cabo PP 2x2,5mm Padrão Novo / Antigo Plug 10a</t>
  </si>
  <si>
    <t>Extensão Eletrica Fio Grosso 30 Metros Tripolar Profissional</t>
  </si>
  <si>
    <t>Extensão Eletrica 30M Reforçada 10/20A Profissional127V/220V</t>
  </si>
  <si>
    <t>Extensão Elétrica 30 Metros 10a Wirepro</t>
  </si>
  <si>
    <t>Extensão Elétrica 30 Metros cabo Pp 2x,2,5mm Dupla Reforçada</t>
  </si>
  <si>
    <t>Microfone De Lapela Jbl</t>
  </si>
  <si>
    <t>fone de ouvido lapela</t>
  </si>
  <si>
    <t>Fone de Ouvido com Microfone de Lapela tipo D com ptt para Radio Ht Motorola Ep 450 Ep450 Sp50</t>
  </si>
  <si>
    <t>Fone Lapela Silicone Intelbras Rpd7001 Rpd7101</t>
  </si>
  <si>
    <t>Fone De Lapela Com Chave Ptt Rádio Intelbras Rp 8 C/nf radios</t>
  </si>
  <si>
    <t>Fone de ouvido com Microfone de lapela Ptt Radio Ht Motorola Ep 450 Ep</t>
  </si>
  <si>
    <t>Fone E Microfone De Lapela P/ Radio Baofeng Qualidade</t>
  </si>
  <si>
    <t>Fone Ouvido Microfone Lapela Ptt Rádio Comunicador Baofeng</t>
  </si>
  <si>
    <t>Fone De Ouvido Lapela P/ Rádio Ht Baofeng Intelbras Kenwood</t>
  </si>
  <si>
    <t>Fone de ouvido com Microfone de lapela Ptt tubo acústico silicone Talk</t>
  </si>
  <si>
    <t>Fone Ouvido Lapela C/ Microfone Hc 10 P1 Twin - 4000015 1 Unidade</t>
  </si>
  <si>
    <t>Lavadora De Alta Pressão Hd 585 Karcher</t>
  </si>
  <si>
    <t>hidrojateadora de alta pressão</t>
  </si>
  <si>
    <t>Wap Lavadora de Alta Pressão 4100</t>
  </si>
  <si>
    <t>IPC Lavadora de Alta Pressão Pro 1600</t>
  </si>
  <si>
    <t>Lavadora De Alta Pressão Hidro Lav 2950W 220V Schulz</t>
  </si>
  <si>
    <t>Lavadora de Alta Pressão Karcher HD 585 Profi Plus New</t>
  </si>
  <si>
    <t>Lavadora Alta Pressão 2400psi 1900w Ultra Premium Wap</t>
  </si>
  <si>
    <t>Lavadora Alta Pressão 450psi 1,0CV Mb 0147c Hydronlubz</t>
  </si>
  <si>
    <t>Lavadora de Alta Pressão Wap L Profi 2500 220V 3200W</t>
  </si>
  <si>
    <t>Karcher Lavadora de Alta Pressão HD 6/15 Cage Plus</t>
  </si>
  <si>
    <t>Lavadora Industrial de Média Pressão 2CV 450 Libras 20L/min</t>
  </si>
  <si>
    <t>Tramontina Kit para Jardinagem com Bolsa de Lona 13 Peças</t>
  </si>
  <si>
    <t>kit jardinagem</t>
  </si>
  <si>
    <t>Kit Jardinagem Philco PKJ10 10 Ferramentas</t>
  </si>
  <si>
    <t>NOLL Kit para Jardinagem</t>
  </si>
  <si>
    <t>Kit Presente para Jardinagem Tramontina com Bolsa de Lona 13 Peças</t>
  </si>
  <si>
    <t>Kit Ferramentas Para Jardinagem Completo 8 Pcs Noll</t>
  </si>
  <si>
    <t>Kit de Jardinagem com 13 Peças Preta Terra</t>
  </si>
  <si>
    <t>Kit De Jardinagem Profissional Com 10 Peças Em Maleta, Metal</t>
  </si>
  <si>
    <t>Kit Jardinagem Noll 8 Peças Com Banquinho</t>
  </si>
  <si>
    <t>Kit Ferramentas Jardim Jardinagem Jardineiro Profission Completo Horti</t>
  </si>
  <si>
    <t>Conjunto Jardinagem 8 Peças Vasos Horta Jardim Noll</t>
  </si>
  <si>
    <t>Bralimpia Limpeza Vidros Kit Master</t>
  </si>
  <si>
    <t>kit limpa vidros completo</t>
  </si>
  <si>
    <t>Conjunto Profissional Limpeza De Vidros Com Bolsa Bralimpia</t>
  </si>
  <si>
    <t>KIT COMPLETO REFLEX LIMPEZA DE VIDROS - BRALIMPIA</t>
  </si>
  <si>
    <t>Moerman Kit Limpa Vidros Lavador Microfibra Com Rodo Premium Liquidator 35 Cm</t>
  </si>
  <si>
    <t>Bralimpia Kit Limpa Vidros Com Rodo 35cm e Cabo 50cm + Extensor 6 Metros</t>
  </si>
  <si>
    <t>Bralimpia Kit Completo reflex limpeza de Vidros</t>
  </si>
  <si>
    <t>Kit Limpa Vidros Com Rodo 25cm E Extensor 4,5m + Espanador Bralimpia</t>
  </si>
  <si>
    <t>Kit Limpa Vidros Completo 11 pcs (Caixa) Bralimpia</t>
  </si>
  <si>
    <t>Kit Limpa Vidros Com Rodo 25 Cm E Cabo 50cm + Extensor 3 Mts</t>
  </si>
  <si>
    <t>Kit Limpa Vidros Com Rodo 25cm E Extensor 4,5m + Cabo 60cm</t>
  </si>
  <si>
    <t>lavadora de escada rolante</t>
  </si>
  <si>
    <t>Lavadora e Secadora de Piso a Bateria BD Fit Karcher</t>
  </si>
  <si>
    <t>lavadora de piso de operação a pé</t>
  </si>
  <si>
    <t>Lavadora De Pisos Operador Pedestre C/bateria Ct45 B50 IPC</t>
  </si>
  <si>
    <t>Lavadora / Secadora De Pisos 1.550 Watts Para Operação Pedestre - LJ50E - JactoClean - 220V</t>
  </si>
  <si>
    <t>Lavadora de Piso a Bateria CT70 IPC</t>
  </si>
  <si>
    <t>Lavadora E Secadora De Piso Bd 50/50 C Classic Karcher Kärcher</t>
  </si>
  <si>
    <t>Lavadora de Piso Ultra Compacta Elétrica 220V CT15 C35 IPC</t>
  </si>
  <si>
    <t>Lavadora Secadora de Piso a Bateria 510 mm BD 50/50c Karcher Kärcher</t>
  </si>
  <si>
    <t>Lavadora de Piso Profissional a Bateria CT30 IPC</t>
  </si>
  <si>
    <t>Lavadora de Piso Profissional A Bateria CT5 IPC</t>
  </si>
  <si>
    <t>LAVOR Lavadora e Secadora de Piso Dart 36B B85810003</t>
  </si>
  <si>
    <t>Limpadora De Piso Bd 50/70 R</t>
  </si>
  <si>
    <t>lavadora de piso tripulada</t>
  </si>
  <si>
    <t>Lavadora De Pisos Tripulada Homem a Bordo AS850R - Viper</t>
  </si>
  <si>
    <t>Lavadora Secadora de piso a bateria 24V 225Ah 510mm BD 50/70 R PLUS Karcher 93983440</t>
  </si>
  <si>
    <t>Lavatina Nylon Zapelim</t>
  </si>
  <si>
    <t>lavatina</t>
  </si>
  <si>
    <t>Escova Sanitária Lavatina com Suporte Dsr Dsr</t>
  </si>
  <si>
    <t>Lavatina com Suporte</t>
  </si>
  <si>
    <t>Lavatina Escova Sanitária Vaso Sanitário Privada Banheiro</t>
  </si>
  <si>
    <t>Lavatina Nylon Cabo Madeira - Higienização Vaso Sanitário Farotully</t>
  </si>
  <si>
    <t>Lavatina Escova Sanitária Nylon Higienização Vaso Sanitário Sales</t>
  </si>
  <si>
    <t>Lavatina Escova Sanitária Nylon Higienização Vaso Sanitário Banheiro Faxina Limpeza e Casa</t>
  </si>
  <si>
    <t>Lavatina Sanitária</t>
  </si>
  <si>
    <t>Escova Lavatina Sanitária Nylon</t>
  </si>
  <si>
    <t>Lavatina Cabo Plástico Nylon ML</t>
  </si>
  <si>
    <t>mangueira de jardim 3/4 50 m</t>
  </si>
  <si>
    <t>Bid ou Fonte</t>
  </si>
  <si>
    <t>Fornecedor</t>
  </si>
  <si>
    <t>Descrição</t>
  </si>
  <si>
    <t>Descrição Saneada</t>
  </si>
  <si>
    <t xml:space="preserve">Shopping Ponta Negra </t>
  </si>
  <si>
    <t>GPS</t>
  </si>
  <si>
    <t>Refil mop plano lite spray (/)</t>
  </si>
  <si>
    <t xml:space="preserve">refil mop plano lite spray </t>
  </si>
  <si>
    <t>refil de mop água</t>
  </si>
  <si>
    <t>Balde 4 litros (/)</t>
  </si>
  <si>
    <t xml:space="preserve">balde 4 litros </t>
  </si>
  <si>
    <t>balde de 4 l</t>
  </si>
  <si>
    <t>Suporte limpa tudo (base+cabo) (/)</t>
  </si>
  <si>
    <t xml:space="preserve">suporte limpa tudo base+cabo </t>
  </si>
  <si>
    <t>suporte limpa tudo</t>
  </si>
  <si>
    <t>Pa de plástico 45cm (base+cabo) (/)</t>
  </si>
  <si>
    <t xml:space="preserve">pa de plastico 45cm base+cabo </t>
  </si>
  <si>
    <t>pá coletora</t>
  </si>
  <si>
    <t>Carro standard completa cinza (/)</t>
  </si>
  <si>
    <t xml:space="preserve">carro standard completa cinza </t>
  </si>
  <si>
    <t>Enceradeira linha 200 rpm 350mm bivolt (/)</t>
  </si>
  <si>
    <t xml:space="preserve">enceradeira linha 200 rpm 350mm bivolt </t>
  </si>
  <si>
    <t>Enceradeira linha 200 rpm 510mm bivolt (/)</t>
  </si>
  <si>
    <t xml:space="preserve">enceradeira linha 200 rpm 510mm bivolt </t>
  </si>
  <si>
    <t>Extensão elétrica 50mt (/)</t>
  </si>
  <si>
    <t xml:space="preserve">extensao eletrica 50mt </t>
  </si>
  <si>
    <t>extensão elétrica 50 m</t>
  </si>
  <si>
    <t>Mop (/)</t>
  </si>
  <si>
    <t xml:space="preserve">mop </t>
  </si>
  <si>
    <t>mop pó 60 cm completo</t>
  </si>
  <si>
    <t>Kit limpa vidros  (/)</t>
  </si>
  <si>
    <t xml:space="preserve">kit limpa vidros </t>
  </si>
  <si>
    <t>Pá coletora + cabo (/)</t>
  </si>
  <si>
    <t xml:space="preserve">pa coletora + cabo </t>
  </si>
  <si>
    <t>Placa de sinalização piso molhado (/)</t>
  </si>
  <si>
    <t xml:space="preserve">placa de sinalizacao piso molhado </t>
  </si>
  <si>
    <t>placa de sinalização</t>
  </si>
  <si>
    <t>Extensão telescópica 6.0 cm (/)</t>
  </si>
  <si>
    <t xml:space="preserve">extensao telescopica 6.0 cm </t>
  </si>
  <si>
    <t>cabo extensor telescópico 6 m</t>
  </si>
  <si>
    <t>Lavadora de piso - B70 (/)</t>
  </si>
  <si>
    <t xml:space="preserve">lavadora de piso - b70 </t>
  </si>
  <si>
    <t>Aspirador de pó/água Alfa pro 62 (/)</t>
  </si>
  <si>
    <t xml:space="preserve">aspirador de po/agua alfa pro 62 </t>
  </si>
  <si>
    <t>Escada de alumínio 8 degraus (/)</t>
  </si>
  <si>
    <t xml:space="preserve">escada de aluminio 8 degraus </t>
  </si>
  <si>
    <t>escada com 8 degraus</t>
  </si>
  <si>
    <t>Hidrojateadora alta pressão (/)</t>
  </si>
  <si>
    <t xml:space="preserve">hidrojateadora alta pressao </t>
  </si>
  <si>
    <t>Carro cuba 440 L (/)</t>
  </si>
  <si>
    <t xml:space="preserve">carro cuba 440 l </t>
  </si>
  <si>
    <t>carro cuba 440 l</t>
  </si>
  <si>
    <t>ViaNorte - Shopping Manaus</t>
  </si>
  <si>
    <t>Brasanitas</t>
  </si>
  <si>
    <t>CELULAR (/)</t>
  </si>
  <si>
    <t xml:space="preserve">celular </t>
  </si>
  <si>
    <t>NOTEBOOK (/)</t>
  </si>
  <si>
    <t xml:space="preserve">notebook </t>
  </si>
  <si>
    <t>notebook</t>
  </si>
  <si>
    <t>IMPRESSORA (/)</t>
  </si>
  <si>
    <t xml:space="preserve">impressora </t>
  </si>
  <si>
    <t>impressora</t>
  </si>
  <si>
    <t>MODEM 4G (/)</t>
  </si>
  <si>
    <t xml:space="preserve">modem 4g </t>
  </si>
  <si>
    <t>modem 4g</t>
  </si>
  <si>
    <t>Mesa (/)</t>
  </si>
  <si>
    <t xml:space="preserve">mesa </t>
  </si>
  <si>
    <t>mesa com 3 gavetas</t>
  </si>
  <si>
    <t>Cadeira fixa (/)</t>
  </si>
  <si>
    <t xml:space="preserve">cadeira fixa </t>
  </si>
  <si>
    <t>cadeira fixa</t>
  </si>
  <si>
    <t>Armário (/)</t>
  </si>
  <si>
    <t xml:space="preserve">armario </t>
  </si>
  <si>
    <t>Cadeira giratória (/)</t>
  </si>
  <si>
    <t xml:space="preserve">cadeira giratoria </t>
  </si>
  <si>
    <t>cadeira giratória</t>
  </si>
  <si>
    <t>Lavadora de piso B70 (/)</t>
  </si>
  <si>
    <t xml:space="preserve">lavadora de piso b70 </t>
  </si>
  <si>
    <t>CESTO GARI 240 L C/ DUAS RODAS AM (/)</t>
  </si>
  <si>
    <t xml:space="preserve">cesto gari 240 l c/ duas rodas am </t>
  </si>
  <si>
    <t>CARRO CUBA 400L BR COM TAMPA (/)</t>
  </si>
  <si>
    <t xml:space="preserve">carro cuba 400l br com tampa </t>
  </si>
  <si>
    <t>carro cuba 400 l</t>
  </si>
  <si>
    <t>BALDE ESPREMEDOR NICK DUPLO (/)</t>
  </si>
  <si>
    <t xml:space="preserve">balde espremedor nick duplo </t>
  </si>
  <si>
    <t>CONSERVADORA PISO GL350 220V (/)</t>
  </si>
  <si>
    <t xml:space="preserve">conservadora piso gl350 220v </t>
  </si>
  <si>
    <t>conservadora de piso</t>
  </si>
  <si>
    <t>CONSERVADORA PISO GL510 110V - 10CV (/)</t>
  </si>
  <si>
    <t xml:space="preserve">conservadora piso gl510 110v - 10cv </t>
  </si>
  <si>
    <t>ESCADA ALUMINIO 06 DG (/)</t>
  </si>
  <si>
    <t xml:space="preserve">escada aluminio 06 dg </t>
  </si>
  <si>
    <t>escada com 6 degraus</t>
  </si>
  <si>
    <t>EXTENSAO 30M TRAMONTINA (/)</t>
  </si>
  <si>
    <t xml:space="preserve">extensao 30m tramontina </t>
  </si>
  <si>
    <t>EXTENSOR TELESC EM FIBRA DE VIDRO 6M (/)</t>
  </si>
  <si>
    <t xml:space="preserve">extensor telesc em fibra de vidro 6m </t>
  </si>
  <si>
    <t>HIDROJATEADORA MOD HD 6 / 13 CAGE PLUS (/)</t>
  </si>
  <si>
    <t xml:space="preserve">hidrojateadora mod hd 6 / 13 cage plus </t>
  </si>
  <si>
    <t>KIT LIMPA VIDROS SUPORTE E LUVA 25CM (/)</t>
  </si>
  <si>
    <t xml:space="preserve">kit limpa vidros suporte e luva 25cm </t>
  </si>
  <si>
    <t>MANGUEIRA P/ JARDIM 30M (/)</t>
  </si>
  <si>
    <t xml:space="preserve">mangueira p/ jardim 30m </t>
  </si>
  <si>
    <t>mangueira de jardim 3/4 30 m</t>
  </si>
  <si>
    <t>CONJUNTO MOP PO DE 60 CM (/)</t>
  </si>
  <si>
    <t xml:space="preserve">conjunto mop po de 60 cm </t>
  </si>
  <si>
    <t>CONJUNTO MOP AGUA COMPLETO (/)</t>
  </si>
  <si>
    <t xml:space="preserve">conjunto mop agua completo </t>
  </si>
  <si>
    <t>PA COLETORA CLIP C/ HASTE TAMPA C/FLIP (/)</t>
  </si>
  <si>
    <t xml:space="preserve">pa coletora clip c/ haste tampa c/flip </t>
  </si>
  <si>
    <t>PA DE LIXO AUTOMATICA (BITUQUEIRA) (/)</t>
  </si>
  <si>
    <t xml:space="preserve">pa de lixo automatica bituqueira </t>
  </si>
  <si>
    <t>pá bituqueira</t>
  </si>
  <si>
    <t>PLACA SINAL CERTEC PISO MOLHADO (/)</t>
  </si>
  <si>
    <t xml:space="preserve">placa sinal certec piso molhado </t>
  </si>
  <si>
    <t>SUPORTE LIMPA TUDO CABO ALUMINIO 1.50 MT (/)</t>
  </si>
  <si>
    <t xml:space="preserve">suporte limpa tudo cabo aluminio 1.50 mt </t>
  </si>
  <si>
    <t>ASPIRADOR PO E LIQUIDO IPC SPEEDY 27L 220V (/)</t>
  </si>
  <si>
    <t xml:space="preserve">aspirador po e liquido ipc speedy 27l 220v </t>
  </si>
  <si>
    <t>EUREKA ESCALATOR LAVADORA DE ESCADA ROLANTE (/)</t>
  </si>
  <si>
    <t xml:space="preserve">eureka escalator lavadora de escada rolante </t>
  </si>
  <si>
    <t>VARREDEIRA DE ESCADA ROLANTETUFFANN (/)</t>
  </si>
  <si>
    <t xml:space="preserve">varredeira de escada rolantetuffann </t>
  </si>
  <si>
    <t>varredeira de escada</t>
  </si>
  <si>
    <t>EXTRATORA DE PISO BARRACUDA (/)</t>
  </si>
  <si>
    <t xml:space="preserve">extratora de piso barracuda </t>
  </si>
  <si>
    <t>removedora de cera</t>
  </si>
  <si>
    <t>POLIDORA BDP 51 /1500C (/)</t>
  </si>
  <si>
    <t xml:space="preserve">polidora bdp 51 /1500c </t>
  </si>
  <si>
    <t>polidora de piso alta rotação</t>
  </si>
  <si>
    <t>LAVADORA DE PISO ALFAMAT BRAVA (/)</t>
  </si>
  <si>
    <t xml:space="preserve">lavadora de piso alfamat brava </t>
  </si>
  <si>
    <t>APLICADOR DE CERA C/ REFIL (/)</t>
  </si>
  <si>
    <t xml:space="preserve">aplicador de cera c/ refil </t>
  </si>
  <si>
    <t>ESCADA ALUMINIO 08 DG (/)</t>
  </si>
  <si>
    <t xml:space="preserve">escada aluminio 08 dg </t>
  </si>
  <si>
    <t>CARRO EXTRA TRIPLEX COM FECHAMENTO (/)</t>
  </si>
  <si>
    <t xml:space="preserve">carro extra triplex com fechamento </t>
  </si>
  <si>
    <t>carrinho bandeja com fechamento lateral</t>
  </si>
  <si>
    <t>CARRO COLETOR 440L (/)</t>
  </si>
  <si>
    <t xml:space="preserve">carro coletor 440l </t>
  </si>
  <si>
    <t>ARMARIO ROUPEIRO 20 VÃOS (/)</t>
  </si>
  <si>
    <t xml:space="preserve">armario roupeiro 20 vaos </t>
  </si>
  <si>
    <t>armário roupeiro de aço com 20 portas / vãos</t>
  </si>
  <si>
    <t>KIT CARRO FUNCIONAL BRALIMPIA C/ FECHAMENTO DE PORTAS N2 (/)</t>
  </si>
  <si>
    <t xml:space="preserve">kit carro funcional bralimpia c/ fechamento de portas n2 </t>
  </si>
  <si>
    <t>VARREDEIRA S10 (/)</t>
  </si>
  <si>
    <t xml:space="preserve">varredeira s10 </t>
  </si>
  <si>
    <t>varredeira manual</t>
  </si>
  <si>
    <t>APITO SECADOR DE PISO (/)</t>
  </si>
  <si>
    <t xml:space="preserve">apito secador de piso </t>
  </si>
  <si>
    <t>secador de piso apito</t>
  </si>
  <si>
    <t>LAVADORA E SECADORA DE ROUPA (/)</t>
  </si>
  <si>
    <t xml:space="preserve">lavadora e secadora de roupa </t>
  </si>
  <si>
    <t>lava e seca</t>
  </si>
  <si>
    <t>RELOGIO BIOMETRICO (/)</t>
  </si>
  <si>
    <t xml:space="preserve">relogio biometrico </t>
  </si>
  <si>
    <t>relógio de ponto</t>
  </si>
  <si>
    <t>LAVADORA ESCADA ROLANTE EUREKA (/)</t>
  </si>
  <si>
    <t xml:space="preserve">lavadora escada rolante eureka </t>
  </si>
  <si>
    <t>NIAD Shopping Centers - Boulevard Londrina</t>
  </si>
  <si>
    <t>Seleto</t>
  </si>
  <si>
    <t>SUPORTE LT (limpa tudo) (/)</t>
  </si>
  <si>
    <t xml:space="preserve">suporte lt limpa tudo </t>
  </si>
  <si>
    <t>RADIO HT DIGITAL (/)</t>
  </si>
  <si>
    <t xml:space="preserve">radio ht digital </t>
  </si>
  <si>
    <t>rádio ht digital</t>
  </si>
  <si>
    <t>EXTENSOR LIMPA VIDRO (/)</t>
  </si>
  <si>
    <t xml:space="preserve">extensor limpa vidro </t>
  </si>
  <si>
    <t>ARMARIO DE AÇO (/)</t>
  </si>
  <si>
    <t xml:space="preserve">armario de aco </t>
  </si>
  <si>
    <t>PÁ D ELIXO BASCULANTE (/)</t>
  </si>
  <si>
    <t xml:space="preserve">pa d elixo basculante </t>
  </si>
  <si>
    <t>CARRINHO BANDEJA =- ABERTO (/)</t>
  </si>
  <si>
    <t xml:space="preserve">carrinho bandeja =- aberto </t>
  </si>
  <si>
    <t>carrinho bandeja aberto</t>
  </si>
  <si>
    <t>MOP PÓ (/)</t>
  </si>
  <si>
    <t xml:space="preserve">mop po </t>
  </si>
  <si>
    <t>ESCADA DE ABRIR - ALUMINIO (/)</t>
  </si>
  <si>
    <t xml:space="preserve">escada de abrir - aluminio </t>
  </si>
  <si>
    <t>CESTO FUNCIONAL DE LIMPEZA (/)</t>
  </si>
  <si>
    <t xml:space="preserve">cesto funcional de limpeza </t>
  </si>
  <si>
    <t>MANGUEIRA TRANÇADA (/)</t>
  </si>
  <si>
    <t xml:space="preserve">mangueira trancada </t>
  </si>
  <si>
    <t>mangueira trançada</t>
  </si>
  <si>
    <t>CARRINHO PLATAFORMA - ABERTO (/)</t>
  </si>
  <si>
    <t xml:space="preserve">carrinho plataforma - aberto </t>
  </si>
  <si>
    <t>carrinho plataforma</t>
  </si>
  <si>
    <t>EXTENSÃO ELÉTRICA (/)</t>
  </si>
  <si>
    <t xml:space="preserve">extensao eletrica </t>
  </si>
  <si>
    <t>CARRINHO FUNCIONAL COMPLETO (/)</t>
  </si>
  <si>
    <t xml:space="preserve">carrinho funcional completo </t>
  </si>
  <si>
    <t>ESTAÇÃO DE TRABALHO (COMPUTADOR, TECLADO, ETC) (/)</t>
  </si>
  <si>
    <t xml:space="preserve">estacao de trabalho computador, teclado, etc </t>
  </si>
  <si>
    <t>CARRINHO CLETOR DE LIXO (/)</t>
  </si>
  <si>
    <t xml:space="preserve">carrinho cletor de lixo </t>
  </si>
  <si>
    <t>PLACA DE SINALIZAÇÃO - PISO MOLHADO (/)</t>
  </si>
  <si>
    <t xml:space="preserve">placa de sinalizacao - piso molhado </t>
  </si>
  <si>
    <t>CARRINHO CUBA COM TAMPA (/)</t>
  </si>
  <si>
    <t xml:space="preserve">carrinho cuba com tampa </t>
  </si>
  <si>
    <t>carro cuba 200 l</t>
  </si>
  <si>
    <t>Máquina de Lavar Industrial (/)</t>
  </si>
  <si>
    <t xml:space="preserve">maquina de lavar industrial </t>
  </si>
  <si>
    <t>máquina de lavar roupas</t>
  </si>
  <si>
    <t>Lavadora de Alta Pressão (/)</t>
  </si>
  <si>
    <t xml:space="preserve">lavadora de alta pressao </t>
  </si>
  <si>
    <t>Aspirado de Pó (/)</t>
  </si>
  <si>
    <t xml:space="preserve">aspirado de po </t>
  </si>
  <si>
    <t>Lavadora Tripulada - Piso (Bateria) (Brava/Tennant)</t>
  </si>
  <si>
    <t>lavadora tripulada - piso bateria brava/tennant</t>
  </si>
  <si>
    <t>Lavadora de Escada Rolante (/)</t>
  </si>
  <si>
    <t xml:space="preserve">lavadora de escada rolante </t>
  </si>
  <si>
    <t>Enceradeira Industrial (/)</t>
  </si>
  <si>
    <t xml:space="preserve">enceradeira industrial </t>
  </si>
  <si>
    <t>Aspirador de Água e Pó (/)</t>
  </si>
  <si>
    <t xml:space="preserve">aspirador de agua e po </t>
  </si>
  <si>
    <t>Máquina Removedora de Chiclete (/)</t>
  </si>
  <si>
    <t xml:space="preserve">maquina removedora de chiclete </t>
  </si>
  <si>
    <t>máquina removedora de chiclete</t>
  </si>
  <si>
    <t>AR CONDICIONADO - SALA TEREIRIZADA (/)</t>
  </si>
  <si>
    <t xml:space="preserve">ar condicionado - sala tereirizada </t>
  </si>
  <si>
    <t>ar condicionado</t>
  </si>
  <si>
    <t>CentralLimp</t>
  </si>
  <si>
    <t>Verzani</t>
  </si>
  <si>
    <t>Grupo Altum</t>
  </si>
  <si>
    <t>NIAD Shopping Centers - Boulevard Brasília</t>
  </si>
  <si>
    <t>Rádio HT Digital (/)</t>
  </si>
  <si>
    <t>Lavadora Tripulada - Piso (Bateria) (/)</t>
  </si>
  <si>
    <t xml:space="preserve">lavadora tripulada - piso bateria </t>
  </si>
  <si>
    <t>Carregador de Bateria (/)</t>
  </si>
  <si>
    <t xml:space="preserve">carregador de bateria </t>
  </si>
  <si>
    <t>Carrinho Funcional Completo (/)</t>
  </si>
  <si>
    <t>Fone de Ouvido - Lapela (/)</t>
  </si>
  <si>
    <t xml:space="preserve">fone de ouvido - lapela </t>
  </si>
  <si>
    <t>Suporte LT (Limpa Tudo) (/)</t>
  </si>
  <si>
    <t>Extensor de Limpeza (/)</t>
  </si>
  <si>
    <t xml:space="preserve">extensor de limpeza </t>
  </si>
  <si>
    <t>Balde Espremedor (/)</t>
  </si>
  <si>
    <t xml:space="preserve">balde espremedor </t>
  </si>
  <si>
    <t>balde espremedor</t>
  </si>
  <si>
    <t>MOP - Pó (/)</t>
  </si>
  <si>
    <t xml:space="preserve">mop - po </t>
  </si>
  <si>
    <t>Raspador Multiuso (/)</t>
  </si>
  <si>
    <t xml:space="preserve">raspador multiuso </t>
  </si>
  <si>
    <t>raspador multiuso</t>
  </si>
  <si>
    <t>Reláogio de Ponto (/)</t>
  </si>
  <si>
    <t xml:space="preserve">relaogio de ponto </t>
  </si>
  <si>
    <t>Balde de Limpeza (/)</t>
  </si>
  <si>
    <t xml:space="preserve">balde de limpeza </t>
  </si>
  <si>
    <t>balde de 15 l</t>
  </si>
  <si>
    <t>Kit Completo de Limpa Vidro (/)</t>
  </si>
  <si>
    <t xml:space="preserve">kit completo de limpa vidro </t>
  </si>
  <si>
    <t>Pá de Lixo Basculante (/)</t>
  </si>
  <si>
    <t xml:space="preserve">pa de lixo basculante </t>
  </si>
  <si>
    <t>Placa de Sinalização - Piso Molhado (/)</t>
  </si>
  <si>
    <t>Varredeira Tripulada (Bateria) (/)</t>
  </si>
  <si>
    <t xml:space="preserve">varredeira tripulada bateria </t>
  </si>
  <si>
    <t>varredeira tripulada</t>
  </si>
  <si>
    <t>Espanador de Pó - Pena (/)</t>
  </si>
  <si>
    <t xml:space="preserve">espanador de po - pena </t>
  </si>
  <si>
    <t>espanador de pó pena</t>
  </si>
  <si>
    <t>Mangueira Trançada (/)</t>
  </si>
  <si>
    <t>Escada de Abrir - Alumínio (/)</t>
  </si>
  <si>
    <t>Carrinho Container (/)</t>
  </si>
  <si>
    <t xml:space="preserve">carrinho container </t>
  </si>
  <si>
    <t>Carrinho Gari - Lixo (/)</t>
  </si>
  <si>
    <t xml:space="preserve">carrinho gari - lixo </t>
  </si>
  <si>
    <t>Placa de Sinalização - Manutenção (/)</t>
  </si>
  <si>
    <t xml:space="preserve">placa de sinalizacao - manutencao </t>
  </si>
  <si>
    <t>Extensão Elétrica (/)</t>
  </si>
  <si>
    <t>Carrinho Bandeja - Fechamento Lateral (/)</t>
  </si>
  <si>
    <t xml:space="preserve">carrinho bandeja - fechamento lateral </t>
  </si>
  <si>
    <t>Celular (/)</t>
  </si>
  <si>
    <t>Diluidor Automático de Produtos Químicos (/)</t>
  </si>
  <si>
    <t xml:space="preserve">diluidor automatico de produtos quimicos </t>
  </si>
  <si>
    <t>diluidor automático de químicos</t>
  </si>
  <si>
    <t>Suporte Mop Pó (/)</t>
  </si>
  <si>
    <t xml:space="preserve">suporte mop po </t>
  </si>
  <si>
    <t>suporte para mop pó</t>
  </si>
  <si>
    <t>Disco de Escovas - Enceradeira Industrial (/)</t>
  </si>
  <si>
    <t xml:space="preserve">disco de escovas - enceradeira industrial </t>
  </si>
  <si>
    <t>disco de escovas para enceradeira</t>
  </si>
  <si>
    <t>Disco de Escovas - Polidora de Piso (/)</t>
  </si>
  <si>
    <t xml:space="preserve">disco de escovas - polidora de piso </t>
  </si>
  <si>
    <t>disco de escovas para polidora de pisos</t>
  </si>
  <si>
    <t>Aplicador de Cera (/)</t>
  </si>
  <si>
    <t xml:space="preserve">aplicador de cera </t>
  </si>
  <si>
    <t>SS PATRIMONIAL</t>
  </si>
  <si>
    <t>Grupo Serval</t>
  </si>
  <si>
    <t>NIAD Shopping Centers - Shopping Bougainville</t>
  </si>
  <si>
    <t>Armário de madeira para escritório - alto c/ duas portas e divisórias (/)</t>
  </si>
  <si>
    <t xml:space="preserve">armario de madeira para escritorio - alto c/ duas portas e divisorias </t>
  </si>
  <si>
    <t>armário para escritório com 2 portas</t>
  </si>
  <si>
    <t>Armário Roupeiro 08 Vãos (/)</t>
  </si>
  <si>
    <t xml:space="preserve">armario roupeiro 08 vaos </t>
  </si>
  <si>
    <t>Cadeira Fixa (/)</t>
  </si>
  <si>
    <t>Cadeira Giratória (/)</t>
  </si>
  <si>
    <t>Hidrojateadora Karcher - HD 585 - 220v (/)</t>
  </si>
  <si>
    <t xml:space="preserve">hidrojateadora karcher - hd 585 - 220v </t>
  </si>
  <si>
    <t>Kit Carro Funcional Bralimpia N2 (/)</t>
  </si>
  <si>
    <t xml:space="preserve">kit carro funcional bralimpia n2 </t>
  </si>
  <si>
    <t>Kit Mopinho Certec Azul Cabo Alumínio 120cm (Hexa) (/)</t>
  </si>
  <si>
    <t xml:space="preserve">kit mopinho certec azul cabo aluminio 120cm hexa </t>
  </si>
  <si>
    <t>Lavadora de Piso Operação A Pé Alfa A300 (/)</t>
  </si>
  <si>
    <t xml:space="preserve">lavadora de piso operacao a pe alfa a300 </t>
  </si>
  <si>
    <t>Lavadora De Piso Operação A Pé Alfa A500 (/)</t>
  </si>
  <si>
    <t xml:space="preserve">lavadora de piso operacao a pe alfa a500 </t>
  </si>
  <si>
    <t>Mesa com 03 Gavetas (/)</t>
  </si>
  <si>
    <t xml:space="preserve">mesa com 03 gavetas </t>
  </si>
  <si>
    <t>Placa Sinalizadora Piso Molhado Certec (/)</t>
  </si>
  <si>
    <t xml:space="preserve">placa sinalizadora piso molhado certec </t>
  </si>
  <si>
    <t>Relógio De Ponto Biométrico (/)</t>
  </si>
  <si>
    <t xml:space="preserve">relogio de ponto biometrico </t>
  </si>
  <si>
    <t>Smartphone (10 GB dados e Voz) (/)</t>
  </si>
  <si>
    <t xml:space="preserve">smartphone 10 gb dados e voz </t>
  </si>
  <si>
    <t>Soprador de Folhas STHIL BR420 (/)</t>
  </si>
  <si>
    <t xml:space="preserve">soprador de folhas sthil br420 </t>
  </si>
  <si>
    <t>soprador de folhas</t>
  </si>
  <si>
    <t>Suporte Limpa Tudo Com Articulação Block TTS (/)</t>
  </si>
  <si>
    <t xml:space="preserve">suporte limpa tudo com articulacao block tts </t>
  </si>
  <si>
    <t>Varal De Chão (/)</t>
  </si>
  <si>
    <t xml:space="preserve">varal de chao </t>
  </si>
  <si>
    <t>varal de chão</t>
  </si>
  <si>
    <t>Grupo Souza Lima</t>
  </si>
  <si>
    <t>PROLOGIS - Consultoria - Castelo 46</t>
  </si>
  <si>
    <t>ONET CENTRO</t>
  </si>
  <si>
    <t>ENCERADEIRA (/350MM - 220V)</t>
  </si>
  <si>
    <t>enceradeira 350mm - 220v</t>
  </si>
  <si>
    <t>EXTENSÃO (/25M -220V)</t>
  </si>
  <si>
    <t>extensao 25m -220v</t>
  </si>
  <si>
    <t>LAVADORA DE ALTA PRESSÃO (/220V)</t>
  </si>
  <si>
    <t>lavadora de alta pressao 220v</t>
  </si>
  <si>
    <t>MANGUEIRA (/50M)</t>
  </si>
  <si>
    <t>mangueira 50m</t>
  </si>
  <si>
    <t>CARRINHO MULTIFUNCIONAL (/)</t>
  </si>
  <si>
    <t xml:space="preserve">carrinho multifuncional </t>
  </si>
  <si>
    <t>ASPIRADOR DE PÓ E ÁGUA (/220V)</t>
  </si>
  <si>
    <t>aspirador de po e agua 220v</t>
  </si>
  <si>
    <t>ESCADA 3 DEGRAUS (/)</t>
  </si>
  <si>
    <t xml:space="preserve">escada 3 degraus </t>
  </si>
  <si>
    <t>TRICICLO (/)</t>
  </si>
  <si>
    <t xml:space="preserve">triciclo </t>
  </si>
  <si>
    <t>triciclo</t>
  </si>
  <si>
    <t>LT COMPLETO (/)</t>
  </si>
  <si>
    <t xml:space="preserve">lt completo </t>
  </si>
  <si>
    <t>PLACA SINALIZADORA (/)</t>
  </si>
  <si>
    <t xml:space="preserve">placa sinalizadora </t>
  </si>
  <si>
    <t>VASSOURA DE NYLON (/)</t>
  </si>
  <si>
    <t xml:space="preserve">vassoura de nylon </t>
  </si>
  <si>
    <t>vassoura nylon</t>
  </si>
  <si>
    <t>VASSOURA PIAÇAVA (/)</t>
  </si>
  <si>
    <t xml:space="preserve">vassoura piacava </t>
  </si>
  <si>
    <t>vassoura piaçava</t>
  </si>
  <si>
    <t>RODO (/40CM)</t>
  </si>
  <si>
    <t>rodo 40cm</t>
  </si>
  <si>
    <t>rodo 40 cm</t>
  </si>
  <si>
    <t>RODO (/60CM)</t>
  </si>
  <si>
    <t>rodo 60cm</t>
  </si>
  <si>
    <t>rodo 60 cm</t>
  </si>
  <si>
    <t>PÁ COLETORA (/)</t>
  </si>
  <si>
    <t xml:space="preserve">pa coletora </t>
  </si>
  <si>
    <t>BALDES (/15L)</t>
  </si>
  <si>
    <t>baldes 15l</t>
  </si>
  <si>
    <t>LAVATINA (/)</t>
  </si>
  <si>
    <t xml:space="preserve">lavatina </t>
  </si>
  <si>
    <t>DISCO VERDE (/350MM)</t>
  </si>
  <si>
    <t>disco verde 350mm</t>
  </si>
  <si>
    <t>ESPONJA DUPLA FACE (/)</t>
  </si>
  <si>
    <t xml:space="preserve">esponja dupla face </t>
  </si>
  <si>
    <t>House Service</t>
  </si>
  <si>
    <t>PROLOGIS - Consultoria - Cajamar I e Jordanesia</t>
  </si>
  <si>
    <t>VASSOURA DE TETO (/)</t>
  </si>
  <si>
    <t xml:space="preserve">vassoura de teto </t>
  </si>
  <si>
    <t>vassoura de teto</t>
  </si>
  <si>
    <t>PÁ COMUM (/)</t>
  </si>
  <si>
    <t xml:space="preserve">pa comum </t>
  </si>
  <si>
    <t>VEÍCULO PASSEIO (ENCARREGADO) (/)</t>
  </si>
  <si>
    <t xml:space="preserve">veiculo passeio encarregado </t>
  </si>
  <si>
    <t>veículo de passeio</t>
  </si>
  <si>
    <t>PROLOGIS - Consultoria - Cajamar II</t>
  </si>
  <si>
    <t>PROLOGIS - Consultoria - Cajamar III</t>
  </si>
  <si>
    <t>PROLOGIS - Consultoria - Castelo 41</t>
  </si>
  <si>
    <t>EXTRATORA DE CARPETE (/)</t>
  </si>
  <si>
    <t xml:space="preserve">extratora de carpete </t>
  </si>
  <si>
    <t>extratora de carpete / tapete</t>
  </si>
  <si>
    <t>MOP BIO (/)</t>
  </si>
  <si>
    <t xml:space="preserve">mop bio </t>
  </si>
  <si>
    <t>KIT LIMPA VIDROS (/)</t>
  </si>
  <si>
    <t>PROLOGIS - Consultoria - DUQUE DE CAXIAS</t>
  </si>
  <si>
    <t>LAVADORA DE ALTA PRESSÃO (/GASOLINA)</t>
  </si>
  <si>
    <t>lavadora de alta pressao gasolina</t>
  </si>
  <si>
    <t>MANGUEIRA (/100M)</t>
  </si>
  <si>
    <t>mangueira 100m</t>
  </si>
  <si>
    <t>mangueira de jardim 3/4 100 m</t>
  </si>
  <si>
    <t>ESCADA 5 DEGRAUS (/)</t>
  </si>
  <si>
    <t xml:space="preserve">escada 5 degraus </t>
  </si>
  <si>
    <t>RODO (/100CM)</t>
  </si>
  <si>
    <t>rodo 100cm</t>
  </si>
  <si>
    <t>rodo 100 cm</t>
  </si>
  <si>
    <t>PÁ COLETORA (/Cata Cata)</t>
  </si>
  <si>
    <t>pa coletora cata cata</t>
  </si>
  <si>
    <t>CARRINHO (/PLATAFORMA)</t>
  </si>
  <si>
    <t>TANQUE DE ÁGUA (/GAIOLA)</t>
  </si>
  <si>
    <t>tanque de agua gaiola</t>
  </si>
  <si>
    <t>tanque de água em gaiola</t>
  </si>
  <si>
    <t>EXTRATORA DE TAPETE (/220V)</t>
  </si>
  <si>
    <t>extratora de tapete 220v</t>
  </si>
  <si>
    <t>PROLOGIS - Consultoria - DUTRA RJ</t>
  </si>
  <si>
    <t>ENCERADEIRA (/510MM - 220V)</t>
  </si>
  <si>
    <t>enceradeira 510mm - 220v</t>
  </si>
  <si>
    <t>EXTENSÃO (/100M -220V)</t>
  </si>
  <si>
    <t>extensao 100m -220v</t>
  </si>
  <si>
    <t>extensão elétrica 100 m</t>
  </si>
  <si>
    <t>ESTRATORA DE TAPETE (/220V)</t>
  </si>
  <si>
    <t>estratora de tapete 220v</t>
  </si>
  <si>
    <t>ESCADA 7 DEGRAUS (/)</t>
  </si>
  <si>
    <t xml:space="preserve">escada 7 degraus </t>
  </si>
  <si>
    <t>escada com 7 degraus</t>
  </si>
  <si>
    <t>ESCADA (/ARTICULADA)</t>
  </si>
  <si>
    <t>escada articulada</t>
  </si>
  <si>
    <t>MOTO SCOOTER (/ELETRICA)</t>
  </si>
  <si>
    <t>moto scooter eletrica</t>
  </si>
  <si>
    <t>moto scooter elétrica</t>
  </si>
  <si>
    <t>VASSOURA PIAÇACA (/)</t>
  </si>
  <si>
    <t xml:space="preserve">vassoura piacaca </t>
  </si>
  <si>
    <t>CABO EXTENSOR (/9M)</t>
  </si>
  <si>
    <t>cabo extensor 9m</t>
  </si>
  <si>
    <t>cabo extensor 9 m</t>
  </si>
  <si>
    <t>PÁ COLETORA (/CATA CATA)</t>
  </si>
  <si>
    <t>DISCO VERDE (/510MM)</t>
  </si>
  <si>
    <t>disco verde 510mm</t>
  </si>
  <si>
    <t>disco verde 510 mm</t>
  </si>
  <si>
    <t>AUTO LAVADORA DE PISO (/BATERIA)</t>
  </si>
  <si>
    <t>auto lavadora de piso bateria</t>
  </si>
  <si>
    <t>PROLOGIS - Consultoria - DUTRA SP</t>
  </si>
  <si>
    <t>RODO (/)</t>
  </si>
  <si>
    <t xml:space="preserve">rodo </t>
  </si>
  <si>
    <t>PÁ COLETORA (/60CM)</t>
  </si>
  <si>
    <t>pa coletora 60cm</t>
  </si>
  <si>
    <t>BALDES (/)</t>
  </si>
  <si>
    <t xml:space="preserve">baldes </t>
  </si>
  <si>
    <t>LAVATINA (/15L)</t>
  </si>
  <si>
    <t>lavatina 15l</t>
  </si>
  <si>
    <t>DISCO VERDE (/)</t>
  </si>
  <si>
    <t xml:space="preserve">disco verde </t>
  </si>
  <si>
    <t>ESPONJA DUPLA FACE (/350MM)</t>
  </si>
  <si>
    <t>esponja dupla face 350mm</t>
  </si>
  <si>
    <t>PROLOGIS - Consultoria - Jundiaí</t>
  </si>
  <si>
    <t>PROLOGIS - Consultoria - SÃO BERNADO DO CAMPO</t>
  </si>
  <si>
    <t>Aspirador de Pó e Líquido 18 litros (/)</t>
  </si>
  <si>
    <t xml:space="preserve">aspirador de po e liquido 18 litros </t>
  </si>
  <si>
    <t>Balde Espremedor Duplo (/)</t>
  </si>
  <si>
    <t xml:space="preserve">balde espremedor duplo </t>
  </si>
  <si>
    <t>Carrinho Coletor de Lixo 120 litros (/)</t>
  </si>
  <si>
    <t xml:space="preserve">carrinho coletor de lixo 120 litros </t>
  </si>
  <si>
    <t>carrinho coletor de lixo 120 l</t>
  </si>
  <si>
    <t>Carrinho Funcional (/)</t>
  </si>
  <si>
    <t xml:space="preserve">carrinho funcional </t>
  </si>
  <si>
    <t>Smartphone + Plano de Dados (/)</t>
  </si>
  <si>
    <t xml:space="preserve">smartphone + plano de dados </t>
  </si>
  <si>
    <t>JSA</t>
  </si>
  <si>
    <t>PROLOGIS - Consultoria - Queimados</t>
  </si>
  <si>
    <t>Inspired - Botafogo</t>
  </si>
  <si>
    <t>GRUPO SEVEN</t>
  </si>
  <si>
    <t>VARREDEIRA MANUAL (/)</t>
  </si>
  <si>
    <t xml:space="preserve">varredeira manual </t>
  </si>
  <si>
    <t>I-MOP XL (/)</t>
  </si>
  <si>
    <t xml:space="preserve">i-mop xl </t>
  </si>
  <si>
    <t>ASPIRADOR PROFISSIONAL WVP10 ADV (1676030) (/)</t>
  </si>
  <si>
    <t xml:space="preserve">aspirador profissional wvp10 adv 1676030 </t>
  </si>
  <si>
    <t>limpador de vidros e janelas</t>
  </si>
  <si>
    <t>CARRO FUNCIONAL GUARD-BOLSA AMARELA (/)</t>
  </si>
  <si>
    <t xml:space="preserve">carro funcional guard-bolsa amarela </t>
  </si>
  <si>
    <t>ASPIRADOR NT 38/1 ME CLASSIC 220V 1501906 (/)</t>
  </si>
  <si>
    <t xml:space="preserve">aspirador nt 38/1 me classic 220v 1501906 </t>
  </si>
  <si>
    <t>CARRO FUNCIONAL AMERICA NF 226880 (/)</t>
  </si>
  <si>
    <t xml:space="preserve">carro funcional america nf 226880 </t>
  </si>
  <si>
    <t>LAVADORA AP HD 6/15 C CAGE PLUS 220V 1501906 (/)</t>
  </si>
  <si>
    <t xml:space="preserve">lavadora ap hd 6/15 c cage plus 220v 1501906 </t>
  </si>
  <si>
    <t>BG 86 C-E SOPRADOR (/)</t>
  </si>
  <si>
    <t xml:space="preserve">bg 86 c-e soprador </t>
  </si>
  <si>
    <t>ENCERADEIRA BRALIMPIA MOD 350MM (/)</t>
  </si>
  <si>
    <t xml:space="preserve">enceradeira bralimpia mod 350mm </t>
  </si>
  <si>
    <t>LAVADORA B70 - N/SERIE:54631 (/)</t>
  </si>
  <si>
    <t xml:space="preserve">lavadora b70 - n/serie:54631 </t>
  </si>
  <si>
    <t>CARREGADOR RAP BAT AL 300 (/)</t>
  </si>
  <si>
    <t xml:space="preserve">carregador rap bat al 300 </t>
  </si>
  <si>
    <t>LAVADORA EXTRATORA ALFA (/)</t>
  </si>
  <si>
    <t xml:space="preserve">lavadora extratora alfa </t>
  </si>
  <si>
    <t>ROÇADEIRA TRIMCUT NF 62512 (/)</t>
  </si>
  <si>
    <t xml:space="preserve">rocadeira trimcut nf 62512 </t>
  </si>
  <si>
    <t>roçadeira</t>
  </si>
  <si>
    <t>PODADOR A BATERIA (/)</t>
  </si>
  <si>
    <t xml:space="preserve">podador a bateria </t>
  </si>
  <si>
    <t>podador</t>
  </si>
  <si>
    <t>CARRO FUNCIONAL GUARD-BOLSA AZUL (/)</t>
  </si>
  <si>
    <t xml:space="preserve">carro funcional guard-bolsa azul </t>
  </si>
  <si>
    <t>LAVADORA DE PISOS ALFA MINI (/)</t>
  </si>
  <si>
    <t xml:space="preserve">lavadora de pisos alfa mini </t>
  </si>
  <si>
    <t>AEON</t>
  </si>
  <si>
    <t>Sapore</t>
  </si>
  <si>
    <t>Liderança Serviços</t>
  </si>
  <si>
    <t>Sodexo</t>
  </si>
  <si>
    <t>Inspired - Brasília</t>
  </si>
  <si>
    <t>Alta Pressão - Karcher HD 585 (/)</t>
  </si>
  <si>
    <t xml:space="preserve">alta pressao - karcher hd 585 </t>
  </si>
  <si>
    <t>Armário Roupeiro de Aço 08 Portas (/)</t>
  </si>
  <si>
    <t xml:space="preserve">armario roupeiro de aco 08 portas </t>
  </si>
  <si>
    <t>Aspirador De Pó e Líquido 18 Litros - Tennant Alfa Pro 18 (/)</t>
  </si>
  <si>
    <t xml:space="preserve">aspirador de po e liquido 18 litros - tennant alfa pro 18 </t>
  </si>
  <si>
    <t>Carrinho Coletor De Lixo 240 Lt (/)</t>
  </si>
  <si>
    <t xml:space="preserve">carrinho coletor de lixo 240 lt </t>
  </si>
  <si>
    <t>Carrinho Funcional Guard - Bralimpia (/)</t>
  </si>
  <si>
    <t xml:space="preserve">carrinho funcional guard - bralimpia </t>
  </si>
  <si>
    <t>Cesto Funcional (/)</t>
  </si>
  <si>
    <t xml:space="preserve">cesto funcional </t>
  </si>
  <si>
    <t>Enceradeira 350 Mm (/)</t>
  </si>
  <si>
    <t xml:space="preserve">enceradeira 350 mm </t>
  </si>
  <si>
    <t>Escada 5 Degraus - Alumínio (/)</t>
  </si>
  <si>
    <t xml:space="preserve">escada 5 degraus - aluminio </t>
  </si>
  <si>
    <t>MOPITA (Conjunto = Balde + Mop água) (/)</t>
  </si>
  <si>
    <t xml:space="preserve">mopita conjunto = balde + mop agua </t>
  </si>
  <si>
    <t>Extensão Elétrica 50 Metros (/)</t>
  </si>
  <si>
    <t xml:space="preserve">extensao eletrica 50 metros </t>
  </si>
  <si>
    <t>Kit Limpa Vidro Completo + Extensor 3.5mts (/)</t>
  </si>
  <si>
    <t xml:space="preserve">kit limpa vidro completo + extensor 3.5mts </t>
  </si>
  <si>
    <t>Lavadora de Piso – Alfa- Fox (elétrica) (/)</t>
  </si>
  <si>
    <t xml:space="preserve">lavadora de piso – alfa- fox eletrica </t>
  </si>
  <si>
    <t>Lavadora de Piso – Nilfisk SC 350 (bateria/elétrica) (/)</t>
  </si>
  <si>
    <t xml:space="preserve">lavadora de piso – nilfisk sc 350 bateria/eletrica </t>
  </si>
  <si>
    <t>Mangueira 50 Metros - 3/4 Jardim (/)</t>
  </si>
  <si>
    <t xml:space="preserve">mangueira 50 metros - 3/4 jardim </t>
  </si>
  <si>
    <t>Vassoura Mágica (/)</t>
  </si>
  <si>
    <t xml:space="preserve">vassoura magica </t>
  </si>
  <si>
    <t>vassoura feiticeira</t>
  </si>
  <si>
    <t>Máquina De Lavar Roupa (/)</t>
  </si>
  <si>
    <t xml:space="preserve">maquina de lavar roupa </t>
  </si>
  <si>
    <t>Mop Pó 60 Cm (/)</t>
  </si>
  <si>
    <t xml:space="preserve">mop po 60 cm </t>
  </si>
  <si>
    <t>Pá Coletora - Plástico com tampa e vassoura (/)</t>
  </si>
  <si>
    <t xml:space="preserve">pa coletora - plastico com tampa e vassoura </t>
  </si>
  <si>
    <t>Celular gestor + plano de dados e voz (/)</t>
  </si>
  <si>
    <t xml:space="preserve">celular gestor + plano de dados e voz </t>
  </si>
  <si>
    <t>Placa Sinalizadora (/)</t>
  </si>
  <si>
    <t>NEXTI (/)</t>
  </si>
  <si>
    <t xml:space="preserve">nexti </t>
  </si>
  <si>
    <t>Suporte Lt (/)</t>
  </si>
  <si>
    <t xml:space="preserve">suporte lt </t>
  </si>
  <si>
    <t>MOP água (/)</t>
  </si>
  <si>
    <t xml:space="preserve">mop agua </t>
  </si>
  <si>
    <t>mop água 60 cm</t>
  </si>
  <si>
    <t>Rádio HT (/)</t>
  </si>
  <si>
    <t xml:space="preserve">radio ht </t>
  </si>
  <si>
    <t>Inspired - Recife</t>
  </si>
  <si>
    <t>Aspirador de pó e água (/)</t>
  </si>
  <si>
    <t xml:space="preserve">aspirador de po e agua </t>
  </si>
  <si>
    <t>Balde espremedor 2 cubas (/)</t>
  </si>
  <si>
    <t xml:space="preserve">balde espremedor 2 cubas </t>
  </si>
  <si>
    <t>Lavadora modelo B70 (/)</t>
  </si>
  <si>
    <t xml:space="preserve">lavadora modelo b70 </t>
  </si>
  <si>
    <t>Placas piso molhado (/)</t>
  </si>
  <si>
    <t xml:space="preserve">placas piso molhado </t>
  </si>
  <si>
    <t>Aplicador universal (/)</t>
  </si>
  <si>
    <t xml:space="preserve">aplicador universal </t>
  </si>
  <si>
    <t>aplicador universal</t>
  </si>
  <si>
    <t>Kit limpa vidros + extensor (/)</t>
  </si>
  <si>
    <t xml:space="preserve">kit limpa vidros + extensor </t>
  </si>
  <si>
    <t>Escada com 06 Degraus (/)</t>
  </si>
  <si>
    <t xml:space="preserve">escada com 06 degraus </t>
  </si>
  <si>
    <t>Extensões de 30 Metros (/)</t>
  </si>
  <si>
    <t xml:space="preserve">extensoes de 30 metros </t>
  </si>
  <si>
    <t>Carro 200 L (/)</t>
  </si>
  <si>
    <t xml:space="preserve">carro 200 l </t>
  </si>
  <si>
    <t>Cabos de mop úmido + Pinça (/)</t>
  </si>
  <si>
    <t xml:space="preserve">cabos de mop umido + pinca </t>
  </si>
  <si>
    <t>cabo de mop úmido com pinça</t>
  </si>
  <si>
    <t>Cabos de mop seco 120cm + pinça (/)</t>
  </si>
  <si>
    <t xml:space="preserve">cabos de mop seco 120cm + pinca </t>
  </si>
  <si>
    <t>cabo de mop seco 120 cm com pinça</t>
  </si>
  <si>
    <t>Cabos de mop seco 80cm + pinça (/)</t>
  </si>
  <si>
    <t xml:space="preserve">cabos de mop seco 80cm + pinca </t>
  </si>
  <si>
    <t>cabo de mop seco 80 cm com pinça</t>
  </si>
  <si>
    <t>Cestas porta utensílios  (/)</t>
  </si>
  <si>
    <t xml:space="preserve">cestas porta utensilios </t>
  </si>
  <si>
    <t>Pegador de objeto garra mão mecânica (/)</t>
  </si>
  <si>
    <t xml:space="preserve">pegador de objeto garra mao mecanica </t>
  </si>
  <si>
    <t>pegador de objeto com garra mecânica</t>
  </si>
  <si>
    <t>Baldes de 10 Litros (/)</t>
  </si>
  <si>
    <t xml:space="preserve">baldes de 10 litros </t>
  </si>
  <si>
    <t>balde de 10 l</t>
  </si>
  <si>
    <t>Baldes de 20 Litros (/)</t>
  </si>
  <si>
    <t xml:space="preserve">baldes de 20 litros </t>
  </si>
  <si>
    <t>balde de 20 l</t>
  </si>
  <si>
    <t>Vassourão (/)</t>
  </si>
  <si>
    <t xml:space="preserve">vassourao </t>
  </si>
  <si>
    <t>vassourão</t>
  </si>
  <si>
    <t>Disco Fibra verde (/)</t>
  </si>
  <si>
    <t xml:space="preserve">disco fibra verde </t>
  </si>
  <si>
    <t>Enceradeiras (/)</t>
  </si>
  <si>
    <t xml:space="preserve">enceradeiras </t>
  </si>
  <si>
    <t>Disco Fibra Preta (/)</t>
  </si>
  <si>
    <t xml:space="preserve">disco fibra preta </t>
  </si>
  <si>
    <t>Inspired - Barra</t>
  </si>
  <si>
    <t>LAVADORA DE PISOS ALFA A300 BAT. (/)</t>
  </si>
  <si>
    <t xml:space="preserve">lavadora de pisos alfa a300 bat. </t>
  </si>
  <si>
    <t>ASPIRADOR DE PÓ KACHER (/)</t>
  </si>
  <si>
    <t xml:space="preserve">aspirador de po kacher </t>
  </si>
  <si>
    <t>ANCINHO PRETO COM CABO FJ 1033 TRAPP (/)</t>
  </si>
  <si>
    <t xml:space="preserve">ancinho preto com cabo fj 1033 trapp </t>
  </si>
  <si>
    <t>ancinho com cabo</t>
  </si>
  <si>
    <t>APLICADOR COSTAL GRANULADOS 161 GUARANY (/)</t>
  </si>
  <si>
    <t xml:space="preserve">aplicador costal granulados 161 guarany </t>
  </si>
  <si>
    <t>aplicador costal de granulados</t>
  </si>
  <si>
    <t>BALDE 4L C/ ALCA AMARELO BA04AM (/)</t>
  </si>
  <si>
    <t xml:space="preserve">balde 4l c/ alca amarelo ba04am </t>
  </si>
  <si>
    <t>BALDE ESPREMEDOR DOBLO 301 NY109 AZ (/)</t>
  </si>
  <si>
    <t xml:space="preserve">balde espremedor doblo 301 ny109 az </t>
  </si>
  <si>
    <t>BALDE ESPREMEDOR DOBLO 301 NYI 10 VERD (/)</t>
  </si>
  <si>
    <t xml:space="preserve">balde espremedor doblo 301 nyi 10 verd </t>
  </si>
  <si>
    <t>CABO 1,40MX24MM AM COM ROSCA ACME CR14AM (/)</t>
  </si>
  <si>
    <t xml:space="preserve">cabo 1,40mx24mm am com rosca acme cr14am </t>
  </si>
  <si>
    <t>cabo 1,40 m com rosca</t>
  </si>
  <si>
    <t>CARRO FUNCIONAL AMERICA CF2005 AMARELO. (/)</t>
  </si>
  <si>
    <t xml:space="preserve">carro funcional america cf2005 amarelo. </t>
  </si>
  <si>
    <t>CARRO FUNCIONAL AMERICA CF2006 AZUL. (/)</t>
  </si>
  <si>
    <t xml:space="preserve">carro funcional america cf2006 azul. </t>
  </si>
  <si>
    <t>CARRO FUNCIONAL AMERICA CF2007 VERDE. (/)</t>
  </si>
  <si>
    <t xml:space="preserve">carro funcional america cf2007 verde. </t>
  </si>
  <si>
    <t>CESTO 51X24 231 PRETO CL51PR (/)</t>
  </si>
  <si>
    <t xml:space="preserve">cesto 51x24 231 preto cl51pr </t>
  </si>
  <si>
    <t>cesto porta guarda-chuva</t>
  </si>
  <si>
    <t>CONJUNTO FINISH COMPLETO CJ300. (/)</t>
  </si>
  <si>
    <t xml:space="preserve">conjunto finish completo cj300. </t>
  </si>
  <si>
    <t>CONJUNTO MOP PO PROFI LOOP 60CM CJ60P. (/)</t>
  </si>
  <si>
    <t xml:space="preserve">conjunto mop po profi loop 60cm cj60p. </t>
  </si>
  <si>
    <t>CORTADOR DE GRAMA BAT RMA 510 V STIHL (/)</t>
  </si>
  <si>
    <t xml:space="preserve">cortador de grama bat rma 510 v stihl </t>
  </si>
  <si>
    <t>cortador de grama</t>
  </si>
  <si>
    <t>DISCO LIMPADOR VERDE 350MM ( COMPRADO A CADA DOIS MESES ) (/)</t>
  </si>
  <si>
    <t xml:space="preserve">disco limpador verde 350mm comprado a cada dois meses </t>
  </si>
  <si>
    <t>DISCO REMOVEDOR PRETO 350MM ( COMPRADO A CADA DOIS MESES ) (/)</t>
  </si>
  <si>
    <t xml:space="preserve">disco removedor preto 350mm comprado a cada dois meses </t>
  </si>
  <si>
    <t>ESPANADOR ELETROSTATICO C ANGULAREE60BR (/)</t>
  </si>
  <si>
    <t xml:space="preserve">espanador eletrostatico c angularee60br </t>
  </si>
  <si>
    <t>espanador eletrostático</t>
  </si>
  <si>
    <t>ESPREMEDOR PARA BALDE DOBLO AMA NYI 12 (/)</t>
  </si>
  <si>
    <t xml:space="preserve">espremedor para balde doblo ama nyi 12 </t>
  </si>
  <si>
    <t>ENCERADEIRA BRALIMPIA (/)</t>
  </si>
  <si>
    <t xml:space="preserve">enceradeira bralimpia </t>
  </si>
  <si>
    <t>KIT FERRAMENTAS JARDINAGEM E PAISAGISMO (/)</t>
  </si>
  <si>
    <t xml:space="preserve">kit ferramentas jardinagem e paisagismo </t>
  </si>
  <si>
    <t>IMOP (/)</t>
  </si>
  <si>
    <t xml:space="preserve">imop </t>
  </si>
  <si>
    <t>KIT LIMPA VIDRO MASTER COM BOLSA (/)</t>
  </si>
  <si>
    <t xml:space="preserve">kit limpa vidro master com bolsa </t>
  </si>
  <si>
    <t>JATEADORA KACHER (/)</t>
  </si>
  <si>
    <t xml:space="preserve">jateadora kacher </t>
  </si>
  <si>
    <t>LAVADORA ALT PRE KARCHER HD4/13PROF 127V (/)</t>
  </si>
  <si>
    <t xml:space="preserve">lavadora alt pre karcher hd4/13prof 127v </t>
  </si>
  <si>
    <t>LIMPA VIDRO AUTOMATICO KACHER (/)</t>
  </si>
  <si>
    <t xml:space="preserve">limpa vidro automatico kacher </t>
  </si>
  <si>
    <t>limpador de vidros automático</t>
  </si>
  <si>
    <t>MAO MECANICA MM175 AZUL. (/)</t>
  </si>
  <si>
    <t xml:space="preserve">mao mecanica mm175 azul. </t>
  </si>
  <si>
    <t>mão mecânica</t>
  </si>
  <si>
    <t>MAO MECANICA MM75 VERDE. (/)</t>
  </si>
  <si>
    <t xml:space="preserve">mao mecanica mm75 verde. </t>
  </si>
  <si>
    <t>ORGANIZADOR ACESSORIO 6 OA 06AZ (/)</t>
  </si>
  <si>
    <t xml:space="preserve">organizador acessorio 6 oa 06az </t>
  </si>
  <si>
    <t>organizador de acessórios</t>
  </si>
  <si>
    <t>PA COLETORA SELETIVA AZUL (/)</t>
  </si>
  <si>
    <t xml:space="preserve">pa coletora seletiva azul </t>
  </si>
  <si>
    <t>PLACA CUIDADO PISO MOLHADO PL2000 CX,/6 (/)</t>
  </si>
  <si>
    <t xml:space="preserve">placa cuidado piso molhado pl2000 cx,/6 </t>
  </si>
  <si>
    <t>PLACA SINALIZ CUIDADO MANUT PL2003 CX/6 (/)</t>
  </si>
  <si>
    <t xml:space="preserve">placa sinaliz cuidado manut pl2003 cx/6 </t>
  </si>
  <si>
    <t>RODO TWISTER SEM CABO RT450. (/)</t>
  </si>
  <si>
    <t xml:space="preserve">rodo twister sem cabo rt450. </t>
  </si>
  <si>
    <t>rodo twister</t>
  </si>
  <si>
    <t>SUPORTE LIMPA TUDO EURO SE31AM. (/)</t>
  </si>
  <si>
    <t xml:space="preserve">suporte limpa tudo euro se31am. </t>
  </si>
  <si>
    <t>VARREDEIRA TENNANT SIO (/)</t>
  </si>
  <si>
    <t xml:space="preserve">varredeira tennant sio </t>
  </si>
  <si>
    <t>VARREIRAS KARCHER (/)</t>
  </si>
  <si>
    <t xml:space="preserve">varreiras karcher </t>
  </si>
  <si>
    <t>Inspired - São Paulo</t>
  </si>
  <si>
    <t>Máquina de Lavar (/)</t>
  </si>
  <si>
    <t xml:space="preserve">maquina de lavar </t>
  </si>
  <si>
    <t>Soprador (/)</t>
  </si>
  <si>
    <t xml:space="preserve">soprador </t>
  </si>
  <si>
    <t>Aspirador (/)</t>
  </si>
  <si>
    <t xml:space="preserve">aspirador </t>
  </si>
  <si>
    <t>Enceradeira (/)</t>
  </si>
  <si>
    <t xml:space="preserve">enceradeira </t>
  </si>
  <si>
    <t>Nexti - Terminal Biotmétrico (/)</t>
  </si>
  <si>
    <t xml:space="preserve">nexti - terminal biotmetrico </t>
  </si>
  <si>
    <t>Smartphone (/)</t>
  </si>
  <si>
    <t xml:space="preserve">smartphone </t>
  </si>
  <si>
    <t>Inspired - Urca</t>
  </si>
  <si>
    <t>Nexti - Terminal Biométrico (/)</t>
  </si>
  <si>
    <t xml:space="preserve">nexti - terminal biometrico </t>
  </si>
  <si>
    <t>Aplicador De Cera + Balde Com Tela - 40 cm (/)</t>
  </si>
  <si>
    <t xml:space="preserve">aplicador de cera + balde com tela - 40 cm </t>
  </si>
  <si>
    <t>Aspirador De Pó e Líquido 50 Litros (/)</t>
  </si>
  <si>
    <t xml:space="preserve">aspirador de po e liquido 50 litros </t>
  </si>
  <si>
    <t>Conj. Balde Esprem. Doblo Azul Ny109 V.S (/)</t>
  </si>
  <si>
    <t xml:space="preserve">conj. balde esprem. doblo azul ny109 v.s </t>
  </si>
  <si>
    <t>Enceradeira 510 Mm (/)</t>
  </si>
  <si>
    <t xml:space="preserve">enceradeira 510 mm </t>
  </si>
  <si>
    <t>Extensão elétrica carretel 30m, 3 tomadas (/)</t>
  </si>
  <si>
    <t xml:space="preserve">extensao eletrica carretel 30m, 3 tomadas </t>
  </si>
  <si>
    <t>Extensor 7,50M 3 Estágios p/ Kit Limp Vidros (/)</t>
  </si>
  <si>
    <t xml:space="preserve">extensor 7,50m 3 estagios p/ kit limp vidros </t>
  </si>
  <si>
    <t>Kit Jardim (1 funcionário) (/)</t>
  </si>
  <si>
    <t xml:space="preserve">kit jardim 1 funcionario </t>
  </si>
  <si>
    <t>Alta Pressão, água fria, Karcher, HD 585 127/220V (/)</t>
  </si>
  <si>
    <t xml:space="preserve">alta pressao, agua fria, karcher, hd 585 127/220v </t>
  </si>
  <si>
    <t>Lavadora de Piso Tennant A250 Bateria (/)</t>
  </si>
  <si>
    <t xml:space="preserve">lavadora de piso tennant a250 bateria </t>
  </si>
  <si>
    <t>Lavadora de Piso Alfa Mini Bateria (/)</t>
  </si>
  <si>
    <t xml:space="preserve">lavadora de piso alfa mini bateria </t>
  </si>
  <si>
    <t>Mangueira 20 Metros - 3/4 - Jardim (/)</t>
  </si>
  <si>
    <t xml:space="preserve">mangueira 20 metros - 3/4 - jardim </t>
  </si>
  <si>
    <t>mangueira de jardim 3/4 20 m</t>
  </si>
  <si>
    <t>Mop água (/)</t>
  </si>
  <si>
    <t>Mop pó 60 cm (/)</t>
  </si>
  <si>
    <t>PA COLETORA S/ TAMPA (/)</t>
  </si>
  <si>
    <t xml:space="preserve">pa coletora s/ tampa </t>
  </si>
  <si>
    <t>Suporte Lt (Conjunto) (/)</t>
  </si>
  <si>
    <t xml:space="preserve">suporte lt conjunto </t>
  </si>
  <si>
    <t>Mopita (Conjunto = Balde + Mop Água) (/)</t>
  </si>
  <si>
    <t>Fone De Lapela (/)</t>
  </si>
  <si>
    <t xml:space="preserve">fone de lapela </t>
  </si>
  <si>
    <t>Soprador De Folha Pequeno a bateria (/)</t>
  </si>
  <si>
    <t xml:space="preserve">soprador de folha pequeno a bateria </t>
  </si>
  <si>
    <t>Armacao Bendy 8882 60Cm TTS (/)</t>
  </si>
  <si>
    <t xml:space="preserve">armacao bendy 8882 60cm tts </t>
  </si>
  <si>
    <t>armação bendy bit 60 cm</t>
  </si>
  <si>
    <t>Refil De Microfibra Bend 60Cm Az 30418 (/)</t>
  </si>
  <si>
    <t xml:space="preserve">refil de microfibra bend 60cm az 30418 </t>
  </si>
  <si>
    <t>refil em microfibra</t>
  </si>
  <si>
    <t>Vassoura Feiticeira Live Well (/)</t>
  </si>
  <si>
    <t xml:space="preserve">vassoura feiticeira live well </t>
  </si>
  <si>
    <t>Disco Bonnet 350mm (/)</t>
  </si>
  <si>
    <t xml:space="preserve">disco bonnet 350mm </t>
  </si>
  <si>
    <t>disco bonnet para enceradeira 350 mm</t>
  </si>
  <si>
    <t>Rodo Propulsor (/)</t>
  </si>
  <si>
    <t xml:space="preserve">rodo propulsor </t>
  </si>
  <si>
    <t>rodo com propulsor</t>
  </si>
  <si>
    <t>Rodo Twister (/)</t>
  </si>
  <si>
    <t xml:space="preserve">rodo twister </t>
  </si>
  <si>
    <t>Refil 734 Clean Glass 30 Cm Pct C/5 Un (/)</t>
  </si>
  <si>
    <t xml:space="preserve">refil 734 clean glass 30 cm pct c/5 un </t>
  </si>
  <si>
    <t>Suporte manual Velcro Verde Clean Glass p/ refis em velcro 30cm TTS ref. 8702 (/)</t>
  </si>
  <si>
    <t xml:space="preserve">suporte manual velcro verde clean glass p/ refis em velcro 30cm tts ref. 8702 </t>
  </si>
  <si>
    <t>suporte manual para refis em velcro</t>
  </si>
  <si>
    <t>ALLOS - Rio Design Leblon</t>
  </si>
  <si>
    <t>Telefone comunicação (/)</t>
  </si>
  <si>
    <t xml:space="preserve">telefone comunicacao </t>
  </si>
  <si>
    <t>Rádios HT (/)</t>
  </si>
  <si>
    <t xml:space="preserve">radios ht </t>
  </si>
  <si>
    <t>Lapela (/)</t>
  </si>
  <si>
    <t xml:space="preserve">lapela </t>
  </si>
  <si>
    <t>Aparelho de Ozonio MiliG (/)</t>
  </si>
  <si>
    <t xml:space="preserve">aparelho de ozonio milig </t>
  </si>
  <si>
    <t>aparelho gerador de ozônio</t>
  </si>
  <si>
    <t>LAVADORA B70 (/)</t>
  </si>
  <si>
    <t xml:space="preserve">lavadora b70 </t>
  </si>
  <si>
    <t>POLIDORA HIGH SPEED 220VOLTS - Mod.: SPR1600H (/)</t>
  </si>
  <si>
    <t xml:space="preserve">polidora high speed 220volts - mod.: spr1600h </t>
  </si>
  <si>
    <t>ENCERADEIRA C410 (/)</t>
  </si>
  <si>
    <t xml:space="preserve">enceradeira c410 </t>
  </si>
  <si>
    <t>enceradeira 410 mm</t>
  </si>
  <si>
    <t>ENCERADEIRA C350 (/)</t>
  </si>
  <si>
    <t xml:space="preserve">enceradeira c350 </t>
  </si>
  <si>
    <t>CARRINHO FUNCIONAL (/)</t>
  </si>
  <si>
    <t>JATEADORA AUTO PRESSÃO ELÉTRICA 220VOLTS - Mod.: HD 585 (/)</t>
  </si>
  <si>
    <t xml:space="preserve">jateadora auto pressao eletrica 220volts - mod.: hd 585 </t>
  </si>
  <si>
    <t>RELOGIO DE PONTO (/)</t>
  </si>
  <si>
    <t xml:space="preserve">relogio de ponto </t>
  </si>
  <si>
    <t>ROUPEIRO (/)</t>
  </si>
  <si>
    <t xml:space="preserve">roupeiro </t>
  </si>
  <si>
    <t>MICROONDAS (/)</t>
  </si>
  <si>
    <t xml:space="preserve">microondas </t>
  </si>
  <si>
    <t>microondas</t>
  </si>
  <si>
    <t>SUPORTE LIMPA TUDO (/)</t>
  </si>
  <si>
    <t xml:space="preserve">suporte limpa tudo </t>
  </si>
  <si>
    <t>PLACA DE SINALIZAÇÃO (/)</t>
  </si>
  <si>
    <t xml:space="preserve">placa de sinalizacao </t>
  </si>
  <si>
    <t>FRIGOBAR MIDEA (/)</t>
  </si>
  <si>
    <t xml:space="preserve">frigobar midea </t>
  </si>
  <si>
    <t>frigobar</t>
  </si>
  <si>
    <t>ASPIRADOR PARA SOLIDOS V3E - 110VOLTS (/)</t>
  </si>
  <si>
    <t xml:space="preserve">aspirador para solidos v3e - 110volts </t>
  </si>
  <si>
    <t>ARMARIO AÇO ALTO 2 PORTAS (/)</t>
  </si>
  <si>
    <t xml:space="preserve">armario aco alto 2 portas </t>
  </si>
  <si>
    <t>armário roupeiro de aço com 2 portas / vãos</t>
  </si>
  <si>
    <t>ARQUIVO DE ACO 04 GAVETAS (/C/ 04 GAVETAS)</t>
  </si>
  <si>
    <t>arquivo de aco 04 gavetas c/ 04 gavetas</t>
  </si>
  <si>
    <t>arquivo de aço com 4 gavetas</t>
  </si>
  <si>
    <t>ARMÁRIO 8 VAOS NK2304 NILKO.. (/)</t>
  </si>
  <si>
    <t xml:space="preserve">armario 8 vaos nk2304 nilko.. </t>
  </si>
  <si>
    <t>ASPIRADOR PO/AGUA MOD 315 (/)</t>
  </si>
  <si>
    <t xml:space="preserve">aspirador po/agua mod 315 </t>
  </si>
  <si>
    <t>CABO P/EXTENSAO C/30MTS (/)</t>
  </si>
  <si>
    <t xml:space="preserve">cabo p/extensao c/30mts </t>
  </si>
  <si>
    <t>cabo extensor 30 m</t>
  </si>
  <si>
    <t>CARRINHO FUNCIONAL C/TAMPA (/)</t>
  </si>
  <si>
    <t xml:space="preserve">carrinho funcional c/tampa </t>
  </si>
  <si>
    <t>CARRO CUBA 400 LITROS (/)</t>
  </si>
  <si>
    <t xml:space="preserve">carro cuba 400 litros </t>
  </si>
  <si>
    <t>CARRO CONTAINER 740 LTS AZUL (/)</t>
  </si>
  <si>
    <t xml:space="preserve">carro container 740 lts azul </t>
  </si>
  <si>
    <t>carrinho container 740 l</t>
  </si>
  <si>
    <t>CARRINHO TIPO PREFEITURA (/)</t>
  </si>
  <si>
    <t xml:space="preserve">carrinho tipo prefeitura </t>
  </si>
  <si>
    <t>CARRINHO BANDEJA MAGIC ANT ANTEHA 200R 02 TTS. (/)</t>
  </si>
  <si>
    <t xml:space="preserve">carrinho bandeja magic ant anteha 200r 02 tts. </t>
  </si>
  <si>
    <t>CARRINHO COLETOR COM BANDEJA DE 03 PRATELEIRAS FECHADO (/)</t>
  </si>
  <si>
    <t xml:space="preserve">carrinho coletor com bandeja de 03 prateleiras fechado </t>
  </si>
  <si>
    <t>carrinho bandeja com 3 prateleiras</t>
  </si>
  <si>
    <t>CARRINHO COLETOR COM BANDEJA DE 05 PRATELEIRAS FECHADO (/)</t>
  </si>
  <si>
    <t xml:space="preserve">carrinho coletor com bandeja de 05 prateleiras fechado </t>
  </si>
  <si>
    <t>carrinho bandeja com 5 prateleiras</t>
  </si>
  <si>
    <t>Cesto de Aço Inox para 3 Bombonas de 5 litros (/)</t>
  </si>
  <si>
    <t xml:space="preserve">cesto de aco inox para 3 bombonas de 5 litros </t>
  </si>
  <si>
    <t>cesto aramado para 3 bombonas de 5 l</t>
  </si>
  <si>
    <t>CHAPEIRA 50 CARTOES (/)</t>
  </si>
  <si>
    <t xml:space="preserve">chapeira 50 cartoes </t>
  </si>
  <si>
    <t>chapeira para cartão de ponto com 50 lugares</t>
  </si>
  <si>
    <t>CONTAINER DE 660 LITROS CERTEC (/)</t>
  </si>
  <si>
    <t xml:space="preserve">container de 660 litros certec </t>
  </si>
  <si>
    <t>Desentupidor Vaso c/ Cabo 60 cm (/)</t>
  </si>
  <si>
    <t xml:space="preserve">desentupidor vaso c/ cabo 60 cm </t>
  </si>
  <si>
    <t>desentupidor de vaso</t>
  </si>
  <si>
    <t>Dosador 3 saídas (/)</t>
  </si>
  <si>
    <t xml:space="preserve">dosador 3 saidas </t>
  </si>
  <si>
    <t>dosador</t>
  </si>
  <si>
    <t>DISCO VERDE 440 MM (PROLIM COMERCIO HIGIENE LIMPEZA LTD) (/)</t>
  </si>
  <si>
    <t xml:space="preserve">disco verde 440 mm prolim comercio higiene limpeza ltd </t>
  </si>
  <si>
    <t>disco verde 440 mm</t>
  </si>
  <si>
    <t>DISCO VERMELHO 440 MM 3M (PROLIM COMERCIO HIGIENE LIMPEZA LTD) (/)</t>
  </si>
  <si>
    <t xml:space="preserve">disco vermelho 440 mm 3m prolim comercio higiene limpeza ltd </t>
  </si>
  <si>
    <t>disco vermelho 440 mm</t>
  </si>
  <si>
    <t>DISCO VERMELHO 510 MM (PROLIM COMERCIO HIGIENE LIMPEZA LTD) (/)</t>
  </si>
  <si>
    <t xml:space="preserve">disco vermelho 510 mm prolim comercio higiene limpeza ltd </t>
  </si>
  <si>
    <t>disco vermelho 510 mm</t>
  </si>
  <si>
    <t>ENCERADEIRA IND. CR-350 (/)</t>
  </si>
  <si>
    <t xml:space="preserve">enceradeira ind. cr-350 </t>
  </si>
  <si>
    <t>ENCERADEIRA INDUSTRIAL 510MM (/)</t>
  </si>
  <si>
    <t xml:space="preserve">enceradeira industrial 510mm </t>
  </si>
  <si>
    <t>Extensor Telescópico 7,5 mts (/)</t>
  </si>
  <si>
    <t xml:space="preserve">extensor telescopico 7,5 mts </t>
  </si>
  <si>
    <t>HIDROJATEADORA KARCHER MOD HD 6/13.. (/)</t>
  </si>
  <si>
    <t xml:space="preserve">hidrojateadora karcher mod hd 6/13.. </t>
  </si>
  <si>
    <t>IMPRESSORA DESKJET HP MOD 1516 (/)</t>
  </si>
  <si>
    <t xml:space="preserve">impressora deskjet hp mod 1516 </t>
  </si>
  <si>
    <t>Kit Completo de Limpa Vidro (/Kit Eroy para WC TTS)</t>
  </si>
  <si>
    <t>kit completo de limpa vidro kit eroy para wc tts</t>
  </si>
  <si>
    <t>Lavadora de Escada Rolante (/Eureka  escalator)</t>
  </si>
  <si>
    <t>lavadora de escada rolante eureka escalator</t>
  </si>
  <si>
    <t>LAVADORA PISO ALFAMAT B70 (/Alfamat B70 70L)</t>
  </si>
  <si>
    <t>lavadora piso alfamat b70 alfamat b70 70l</t>
  </si>
  <si>
    <t>LAVADORA PISO ALFAMAT BRAVA (/BRAVA)</t>
  </si>
  <si>
    <t>lavadora piso alfamat brava brava</t>
  </si>
  <si>
    <t>LAVADORA DE PISO KARCHER BR 35/12 (/)</t>
  </si>
  <si>
    <t xml:space="preserve">lavadora de piso karcher br 35/12 </t>
  </si>
  <si>
    <t>LAVADORA PISO ALFA TENNANT A5 (/Lavadora de Piso A5)</t>
  </si>
  <si>
    <t>lavadora piso alfa tennant a5 lavadora de piso a5</t>
  </si>
  <si>
    <t>Mangueira Trançada (/Mangueira Trançada 1/2 100 mts)</t>
  </si>
  <si>
    <t>mangueira trancada mangueira trancada 1/2 100 mts</t>
  </si>
  <si>
    <t>Máquina de Lavar Industrial (/LAVADORA ELECTROLUX 15 KG)</t>
  </si>
  <si>
    <t>maquina de lavar industrial lavadora electrolux 15 kg</t>
  </si>
  <si>
    <t>Mesa c/ 2 gavetas (/)</t>
  </si>
  <si>
    <t xml:space="preserve">mesa c/ 2 gavetas </t>
  </si>
  <si>
    <t>mesa com 2 gavetas</t>
  </si>
  <si>
    <t>Mopita Completa (/)</t>
  </si>
  <si>
    <t xml:space="preserve">mopita completa </t>
  </si>
  <si>
    <t>MOP AGUA SISTEMA PULSE (COM REFIL) (/)</t>
  </si>
  <si>
    <t xml:space="preserve">mop agua sistema pulse com refil </t>
  </si>
  <si>
    <t>MOP - Pó (/60CM completo)</t>
  </si>
  <si>
    <t>mop - po 60cm completo</t>
  </si>
  <si>
    <t>Notebook + Licença Office (/)</t>
  </si>
  <si>
    <t xml:space="preserve">notebook + licenca office </t>
  </si>
  <si>
    <t>Pá Bituqueira c/ haste 2007 (/)</t>
  </si>
  <si>
    <t xml:space="preserve">pa bituqueira c/ haste 2007 </t>
  </si>
  <si>
    <t>Placa Sinalizadora Inox (/)</t>
  </si>
  <si>
    <t xml:space="preserve">placa sinalizadora inox </t>
  </si>
  <si>
    <t>Prateleira (/)</t>
  </si>
  <si>
    <t xml:space="preserve">prateleira </t>
  </si>
  <si>
    <t>prateleira</t>
  </si>
  <si>
    <t>RELÓGIO DE PONTO (/)</t>
  </si>
  <si>
    <t>Smartphone com linha de dados (/)</t>
  </si>
  <si>
    <t xml:space="preserve">smartphone com linha de dados </t>
  </si>
  <si>
    <t>Suporte LT (Limpa Tudo) (/Limpa Tudo Rosca (LT))</t>
  </si>
  <si>
    <t>suporte lt limpa tudo limpa tudo rosca lt</t>
  </si>
  <si>
    <t>Suporte MOP Pó (/Bralimpia)</t>
  </si>
  <si>
    <t>suporte mop po bralimpia</t>
  </si>
  <si>
    <t>ALLOS - Shopping Independência</t>
  </si>
  <si>
    <t>Carrinho Coletor de Lixo (/Carro Conteiner P/ Lixo 240 Litros) (/)</t>
  </si>
  <si>
    <t xml:space="preserve">carrinho coletor de lixo carro conteiner p/ lixo 240 litros </t>
  </si>
  <si>
    <t>Mão Mecânica (Lixo) (/Mão mecanica) (/)</t>
  </si>
  <si>
    <t xml:space="preserve">mao mecanica lixo mao mecanica </t>
  </si>
  <si>
    <t>MOP - Pó (/Mop Pó Seco Acrílico Grande 80Cm - Compl) (/)</t>
  </si>
  <si>
    <t xml:space="preserve">mop - po mop po seco acrilico grande 80cm - compl </t>
  </si>
  <si>
    <t>mop pó 80 cm completo</t>
  </si>
  <si>
    <t>Aspirador de Água e Pó (/Aspirador Água e Pó 50 Litros 220 V) (/)</t>
  </si>
  <si>
    <t xml:space="preserve">aspirador de agua e po aspirador agua e po 50 litros 220 v </t>
  </si>
  <si>
    <t>Mão Mecânica (Lixo) (/Pega Vomito) (/)</t>
  </si>
  <si>
    <t xml:space="preserve">mao mecanica lixo pega vomito </t>
  </si>
  <si>
    <t>Disco de Escovas - Enceradeira Industrial (/Bralimpia (verde/preto e branco 350mm  e escova de nylon)) (/)</t>
  </si>
  <si>
    <t xml:space="preserve">disco de escovas - enceradeira industrial bralimpia verde/preto e branco 350mm e escova de nylon </t>
  </si>
  <si>
    <t>Balde Espremedor (/Vermelho) (/)</t>
  </si>
  <si>
    <t xml:space="preserve">balde espremedor vermelho </t>
  </si>
  <si>
    <t>Enceradeira Industrial (/Cleaner 510) (/)</t>
  </si>
  <si>
    <t xml:space="preserve">enceradeira industrial cleaner 510 </t>
  </si>
  <si>
    <t>Carrinho Funcional Completo (/CARRINHO FUNCIONAL COMPLETO) (/)</t>
  </si>
  <si>
    <t xml:space="preserve">carrinho funcional completo carrinho funcional completo </t>
  </si>
  <si>
    <t>Carrinho Coletor de Lixo (/250 LITROS - C/ TAMPA) (/)</t>
  </si>
  <si>
    <t xml:space="preserve">carrinho coletor de lixo 250 litros - c/ tampa </t>
  </si>
  <si>
    <t>carrinho coletor de lixo 250 l</t>
  </si>
  <si>
    <t>Gerador de ozonio (/4  Gerador  ozonio e  1  orbio) (/)</t>
  </si>
  <si>
    <t xml:space="preserve">gerador de ozonio 4 gerador ozonio e 1 orbio </t>
  </si>
  <si>
    <t>Disco de Escovas - Enceradeira Industrial (/DISCO VERMELHO GORILA/3M 510) (/)</t>
  </si>
  <si>
    <t xml:space="preserve">disco de escovas - enceradeira industrial disco vermelho gorila/3m 510 </t>
  </si>
  <si>
    <t>Enceradeira Industrial (/SCHUELER 510 / 220VOLTS) (/)</t>
  </si>
  <si>
    <t xml:space="preserve">enceradeira industrial schueler 510 / 220volts </t>
  </si>
  <si>
    <t>Mangueira Trançada (/MANGUEIRA COM CARRINHO VERDE) (/)</t>
  </si>
  <si>
    <t xml:space="preserve">mangueira trancada mangueira com carrinho verde </t>
  </si>
  <si>
    <t>Polidora de Piso - Alta Rotação (/EVIROGARD 603CC RAWASAKI / GÁS) (/)</t>
  </si>
  <si>
    <t xml:space="preserve">polidora de piso - alta rotacao evirogard 603cc rawasaki / gas </t>
  </si>
  <si>
    <t>Placa Sinalizadora (/Placa sinalizadora de piso em manutenção) (/)</t>
  </si>
  <si>
    <t xml:space="preserve">placa sinalizadora placa sinalizadora de piso em manutencao </t>
  </si>
  <si>
    <t>Armário de Aço (/Armário para vestuário 8 portas) (/)</t>
  </si>
  <si>
    <t xml:space="preserve">armario de aco armario para vestuario 8 portas </t>
  </si>
  <si>
    <t>Lavadora Manual - Piso (Bateria) (/Alfa Tennant A300) (/)</t>
  </si>
  <si>
    <t xml:space="preserve">lavadora manual - piso bateria alfa tennant a300 </t>
  </si>
  <si>
    <t>Máquina de Lavar Industrial (/EXTRATORA DE PISO (BARRACUDA)) (/)</t>
  </si>
  <si>
    <t xml:space="preserve">maquina de lavar industrial extratora de piso barracuda </t>
  </si>
  <si>
    <t>Secador de Piso (/Alfa Tennant apito 250) (/)</t>
  </si>
  <si>
    <t xml:space="preserve">secador de piso alfa tennant apito 250 </t>
  </si>
  <si>
    <t>Rodo (/Rodo com 45 cm) (/)</t>
  </si>
  <si>
    <t xml:space="preserve">rodo rodo com 45 cm </t>
  </si>
  <si>
    <t>rodo 45 cm</t>
  </si>
  <si>
    <t>Disco de Escovas - Enceradeira Industrial (/350 mm) (/)</t>
  </si>
  <si>
    <t xml:space="preserve">disco de escovas - enceradeira industrial 350 mm </t>
  </si>
  <si>
    <t>Disco de Escovas - Polidora de Piso (/680 mm pelo de porco) (/)</t>
  </si>
  <si>
    <t xml:space="preserve">disco de escovas - polidora de piso 680 mm pelo de porco </t>
  </si>
  <si>
    <t>Balde Espremedor (/BALDE ESPREMEDOR MOPITA (BANHEIROS)) (/)</t>
  </si>
  <si>
    <t xml:space="preserve">balde espremedor balde espremedor mopita banheiros </t>
  </si>
  <si>
    <t>Carrinho Container (/600lts) (/)</t>
  </si>
  <si>
    <t xml:space="preserve">carrinho container 600lts </t>
  </si>
  <si>
    <t>carrinho container 600 l</t>
  </si>
  <si>
    <t>Máquina de Lavar Industrial (/Lavadora Electrolux 9kg) (/)</t>
  </si>
  <si>
    <t xml:space="preserve">maquina de lavar industrial lavadora electrolux 9kg </t>
  </si>
  <si>
    <t>Carrinho Bandeja - Aberto (/Carro funcional - praça alimentação) (/)</t>
  </si>
  <si>
    <t xml:space="preserve">carrinho bandeja - aberto carro funcional - praca alimentacao </t>
  </si>
  <si>
    <t>Extensor Limpa Vidro (/Extensor 7,50m - 3 estágios - p/ kit limpeza de vidros) (/)</t>
  </si>
  <si>
    <t xml:space="preserve">extensor limpa vidro extensor 7,50m - 3 estagios - p/ kit limpeza de vidros </t>
  </si>
  <si>
    <t>Suporte LT (Limpa Tudo) (/Suporte LT) (/)</t>
  </si>
  <si>
    <t xml:space="preserve">suporte lt limpa tudo suporte lt </t>
  </si>
  <si>
    <t>Fone de Ouvido - Lapela (/FONE DE OUVIDO PARA RÁDIO MOTOROLA) (/)</t>
  </si>
  <si>
    <t xml:space="preserve">fone de ouvido - lapela fone de ouvido para radio motorola </t>
  </si>
  <si>
    <t>Aplicador de Cera (/CONJUNTO APLICADOR CERA) (/)</t>
  </si>
  <si>
    <t xml:space="preserve">aplicador de cera conjunto aplicador cera </t>
  </si>
  <si>
    <t>Rodo com Propulsor (/RODO COM PROPULSOR COMPLETO 130CM) (/)</t>
  </si>
  <si>
    <t xml:space="preserve">rodo com propulsor rodo com propulsor completo 130cm </t>
  </si>
  <si>
    <t>Lavadora de Alta Pressão (/HIDROJATEADORA 6/15 KARCHER 220V) (/)</t>
  </si>
  <si>
    <t xml:space="preserve">lavadora de alta pressao hidrojateadora 6/15 karcher 220v </t>
  </si>
  <si>
    <t>Lavadora Tripulada - Piso (Bateria) (/LAVADORA DE PISO ALFAMAT BRAVA) (/)</t>
  </si>
  <si>
    <t xml:space="preserve">lavadora tripulada - piso bateria lavadora de piso alfamat brava </t>
  </si>
  <si>
    <t>Lavadora de Escada Rolante (/LAVADORA DE ESCADA ROLANTE  EUREKA) (/)</t>
  </si>
  <si>
    <t xml:space="preserve">lavadora de escada rolante lavadora de escada rolante eureka </t>
  </si>
  <si>
    <t>MOP - Pó (/CONJUNTO MOP PO DE 120CM (estacionamento)) (/)</t>
  </si>
  <si>
    <t xml:space="preserve">mop - po conjunto mop po de 120cm estacionamento </t>
  </si>
  <si>
    <t>mop pó 120 cm completo</t>
  </si>
  <si>
    <t>Material de Escritório (/Celular corporativo Samsung A50/Pacote de Dados 5G) (/)</t>
  </si>
  <si>
    <t xml:space="preserve">material de escritorio celular corporativo samsung a50/pacote de dados 5g </t>
  </si>
  <si>
    <t>Extensão Elétrica (/Extensão Elétrica 50 mt) (/)</t>
  </si>
  <si>
    <t xml:space="preserve">extensao eletrica extensao eletrica 50 mt </t>
  </si>
  <si>
    <t>Balde Espremedor (/Balde Espremedor Duplo) (/)</t>
  </si>
  <si>
    <t xml:space="preserve">balde espremedor balde espremedor duplo </t>
  </si>
  <si>
    <t>Cesto Funcional de Limpeza (/CESTA MULTIUSO CERTEC) (/)</t>
  </si>
  <si>
    <t xml:space="preserve">cesto funcional de limpeza cesta multiuso certec </t>
  </si>
  <si>
    <t>Lavadora Manual - Piso (Bateria) (/LAVADORA AUTOMATICA IMOP OSPREY) (/)</t>
  </si>
  <si>
    <t xml:space="preserve">lavadora manual - piso bateria lavadora automatica imop osprey </t>
  </si>
  <si>
    <t>MOP - Pó (/Mop pó 60cm completo) (/)</t>
  </si>
  <si>
    <t xml:space="preserve">mop - po mop po 60cm completo </t>
  </si>
  <si>
    <t>ALLOS - Shopping Vila Velha</t>
  </si>
  <si>
    <t>DISCO PRETO 440 MM (PROLIM COMERCIO HIGIENE LIMPEZA LTD) (/) (/)</t>
  </si>
  <si>
    <t xml:space="preserve">disco preto 440 mm prolim comercio higiene limpeza ltd </t>
  </si>
  <si>
    <t>disco preto 440 mm</t>
  </si>
  <si>
    <t>DISCO VERDE 440 MM (PROLIM COMERCIO HIGIENE LIMPEZA LTD) (/) (/)</t>
  </si>
  <si>
    <t>DISCO VERDE 510 MM (PROLIM COMERCIO HIGIENE LIMPEZA LTD) (/) (/)</t>
  </si>
  <si>
    <t xml:space="preserve">disco verde 510 mm prolim comercio higiene limpeza ltd </t>
  </si>
  <si>
    <t>DISCO VERMELHO 440 MM 3M (PROLIM COMERCIO HIGIENE LIMPEZA LTD) (/) (/)</t>
  </si>
  <si>
    <t>DISCO PRETO 380 MM (PROLIM COMERCIO HIGIENE LIMPEZA LTD) (/) (/)</t>
  </si>
  <si>
    <t xml:space="preserve">disco preto 380 mm prolim comercio higiene limpeza ltd </t>
  </si>
  <si>
    <t>disco preto 380 mm</t>
  </si>
  <si>
    <t>DISCO PRETO 510 MM (PROLIM COMERCIO HIGIENE LIMPEZA LTD) (/) (/)</t>
  </si>
  <si>
    <t xml:space="preserve">disco preto 510 mm prolim comercio higiene limpeza ltd </t>
  </si>
  <si>
    <t>disco preto 510 mm</t>
  </si>
  <si>
    <t>MOP PÓ 60 CM (refil) - MALL (/) (/)</t>
  </si>
  <si>
    <t xml:space="preserve">mop po 60 cm refil - mall </t>
  </si>
  <si>
    <t>mop pó 60 cm refil</t>
  </si>
  <si>
    <t>SUPORTE DE MÓP PÓ 60 CM (haste) (/) (/)</t>
  </si>
  <si>
    <t xml:space="preserve">suporte de mop po 60 cm haste </t>
  </si>
  <si>
    <t>MOP UMIDO 60 CM (ALGODÃO / ACRILICO) - MALL (/) (/)</t>
  </si>
  <si>
    <t xml:space="preserve">mop umido 60 cm algodao / acrilico - mall </t>
  </si>
  <si>
    <t>SUPORTE DE MOP UMIDO TTS - ENCAIXA HEXAGONAL (/) (/)</t>
  </si>
  <si>
    <t xml:space="preserve">suporte de mop umido tts - encaixa hexagonal </t>
  </si>
  <si>
    <t>suporte para mop água</t>
  </si>
  <si>
    <t>ARMARIO BAIXO COM QUADRO E PRATELEIRA (/) (/)</t>
  </si>
  <si>
    <t xml:space="preserve">armario baixo com quadro e prateleira </t>
  </si>
  <si>
    <t>ARMARIO PA 2 PORTAS C/CHAVE (/) (/)</t>
  </si>
  <si>
    <t xml:space="preserve">armario pa 2 portas c/chave </t>
  </si>
  <si>
    <t>ARMARIO TIPO ROUP. 04 VAOS (/) (/)</t>
  </si>
  <si>
    <t xml:space="preserve">armario tipo roup. 04 vaos </t>
  </si>
  <si>
    <t>armário roupeiro de aço com 4 portas / vãos</t>
  </si>
  <si>
    <t>ARQUIVO DE ACO 04 GAVETAS (/) (/)</t>
  </si>
  <si>
    <t xml:space="preserve">arquivo de aco 04 gavetas </t>
  </si>
  <si>
    <t>CADEIRA FIXA (/) (/)</t>
  </si>
  <si>
    <t>CADEIRA GIRATORIA (/) (/)</t>
  </si>
  <si>
    <t>MANGUEIRA JARDIM 3/4 C/ 30 MTS (/) (/)</t>
  </si>
  <si>
    <t xml:space="preserve">mangueira jardim 3/4 c/ 30 mts </t>
  </si>
  <si>
    <t>MESA C/ 03 GAVETAS (/) (/)</t>
  </si>
  <si>
    <t xml:space="preserve">mesa c/ 03 gavetas </t>
  </si>
  <si>
    <t>CARRINHO TIPO PREFEITURA (/) (/)</t>
  </si>
  <si>
    <t>CARRO NICK DUPLO COMP.TTS SHOP (/) (/)</t>
  </si>
  <si>
    <t xml:space="preserve">carro nick duplo comp.tts shop </t>
  </si>
  <si>
    <t>CESTA MULTI-USO TTS COD 3518 (/) (/)</t>
  </si>
  <si>
    <t xml:space="preserve">cesta multi-uso tts cod 3518 </t>
  </si>
  <si>
    <t>CJ.MULTIFUNCIONAL MAGIC LINE 340 E6 - 18751 ML 340 E62 (/) (/)</t>
  </si>
  <si>
    <t xml:space="preserve">cj.multifuncional magic line 340 e6 - 18751 ml 340 e62 </t>
  </si>
  <si>
    <t>CONJ. MULTIFUNC. SHELF CART 3FECHAMENTO C/PORTA BRANCA (/) (/)</t>
  </si>
  <si>
    <t xml:space="preserve">conj. multifunc. shelf cart 3fechamento c/porta branca </t>
  </si>
  <si>
    <t>ESCADA ALUMINIO 08 DEGRAUS (/) (/)</t>
  </si>
  <si>
    <t xml:space="preserve">escada aluminio 08 degraus </t>
  </si>
  <si>
    <t>ESPREMEDOR DRY (ROLO)AMARELO TTS 34221 (/) (/)</t>
  </si>
  <si>
    <t xml:space="preserve">espremedor dry roloamarelo tts 34221 </t>
  </si>
  <si>
    <t>MAQUINA DE LAVAR INDUSTRIAL (/) (/)</t>
  </si>
  <si>
    <t>CARRO CUBA C/TAMPA 600 LITROS (/) (/)</t>
  </si>
  <si>
    <t xml:space="preserve">carro cuba c/tampa 600 litros </t>
  </si>
  <si>
    <t>carro cuba 600 l</t>
  </si>
  <si>
    <t>CARRO CUBA MOD.4614 RUBBERMAIDCINZA. (/) (/)</t>
  </si>
  <si>
    <t xml:space="preserve">carro cuba mod.4614 rubbermaidcinza. </t>
  </si>
  <si>
    <t>CONTAINER LIXO 660 LTS (/) (/)</t>
  </si>
  <si>
    <t xml:space="preserve">container lixo 660 lts </t>
  </si>
  <si>
    <t>ARMARIO TIPO ROUP. 08 VAOS (/) (/)</t>
  </si>
  <si>
    <t xml:space="preserve">armario tipo roup. 08 vaos </t>
  </si>
  <si>
    <t>CONTAINER DE LIXO 600 LTS - COLETA SELETIVA (/) (/)</t>
  </si>
  <si>
    <t xml:space="preserve">container de lixo 600 lts - coleta seletiva </t>
  </si>
  <si>
    <t>CONTAINER DE LIXO 1000 LTS - COLETA SELETIVA (/) (/)</t>
  </si>
  <si>
    <t xml:space="preserve">container de lixo 1000 lts - coleta seletiva </t>
  </si>
  <si>
    <t>carrinho container 1000 l</t>
  </si>
  <si>
    <t>ASPIRADOR MOD LD70 C/KIT RODO (/) (/)</t>
  </si>
  <si>
    <t xml:space="preserve">aspirador mod ld70 c/kit rodo </t>
  </si>
  <si>
    <t>ASPIRADOR PO/AGUA MOD.315 (/) (/)</t>
  </si>
  <si>
    <t xml:space="preserve">aspirador po/agua mod.315 </t>
  </si>
  <si>
    <t>ENCERADEIRA IND. CR-350 (/) (/)</t>
  </si>
  <si>
    <t>ENCERADEIRA INDUSTRIAL 510MM (/) (/)</t>
  </si>
  <si>
    <t>LAVADORA A.P. KARCHER 6/13 (/) (/)</t>
  </si>
  <si>
    <t xml:space="preserve">lavadora a.p. karcher 6/13 </t>
  </si>
  <si>
    <t>LAVADORA DE ESCADAS EUREKA - EC51 (/) (/)</t>
  </si>
  <si>
    <t xml:space="preserve">lavadora de escadas eureka - ec51 </t>
  </si>
  <si>
    <t>LAVADORA PISO ALFAMAT B70 (/) (/)</t>
  </si>
  <si>
    <t xml:space="preserve">lavadora piso alfamat b70 </t>
  </si>
  <si>
    <t>LAVADORA PISO ALFAMAT BRAVA (/) (/)</t>
  </si>
  <si>
    <t xml:space="preserve">lavadora piso alfamat brava </t>
  </si>
  <si>
    <t>VARREDEIRA DE PISO TENNANT S20 (/) (/)</t>
  </si>
  <si>
    <t xml:space="preserve">varredeira de piso tennant s20 </t>
  </si>
  <si>
    <t>SOPRADOR MAKITA A BATERIA DUB362Z (/) (/)</t>
  </si>
  <si>
    <t xml:space="preserve">soprador makita a bateria dub362z </t>
  </si>
  <si>
    <t>CARREGADOR DE BATERIA DC18RD (/) (/)</t>
  </si>
  <si>
    <t xml:space="preserve">carregador de bateria dc18rd </t>
  </si>
  <si>
    <t>ALLOS - Boulevard Bauru</t>
  </si>
  <si>
    <t>Carrinho Coletor de Lixo (/)</t>
  </si>
  <si>
    <t xml:space="preserve">carrinho coletor de lixo </t>
  </si>
  <si>
    <t>Lavadora Manual - Piso (Bateria) (/)</t>
  </si>
  <si>
    <t xml:space="preserve">lavadora manual - piso bateria </t>
  </si>
  <si>
    <t>Armário de Aço (/)</t>
  </si>
  <si>
    <t>Espanador Eletrostatico (/)</t>
  </si>
  <si>
    <t xml:space="preserve">espanador eletrostatico </t>
  </si>
  <si>
    <t>Estação de Trabalho (Computador, Teclado, Monitor, Mouse ou notebook) (/)</t>
  </si>
  <si>
    <t xml:space="preserve">estacao de trabalho computador, teclado, monitor, mouse ou notebook </t>
  </si>
  <si>
    <t>Suporte MOP Pó (/)</t>
  </si>
  <si>
    <t>Tanquinho (/)</t>
  </si>
  <si>
    <t xml:space="preserve">tanquinho </t>
  </si>
  <si>
    <t>tanquinho</t>
  </si>
  <si>
    <t>Lavadora de escada rolante (/)</t>
  </si>
  <si>
    <t>SPSP</t>
  </si>
  <si>
    <t>CABO DE ALUMÍNIO 1,40 X 22MM C/ ROSCA ACME (/)</t>
  </si>
  <si>
    <t xml:space="preserve">cabo de aluminio 1,40 x 22mm c/ rosca acme </t>
  </si>
  <si>
    <t>PÁ BITUQUEIRA (/)</t>
  </si>
  <si>
    <t xml:space="preserve">pa bituqueira </t>
  </si>
  <si>
    <t>RASPADOR RM 150 MULTIUSO (CHICLETEIRA) (/)</t>
  </si>
  <si>
    <t xml:space="preserve">raspador rm 150 multiuso chicleteira </t>
  </si>
  <si>
    <t>REFIL MOP ÁGUA AZUL (/)</t>
  </si>
  <si>
    <t xml:space="preserve">refil mop agua azul </t>
  </si>
  <si>
    <t>MANGUEIRA COMPRIDA (/)</t>
  </si>
  <si>
    <t xml:space="preserve">mangueira comprida </t>
  </si>
  <si>
    <t>ESCADA DE ALUMÍNIO (/)</t>
  </si>
  <si>
    <t xml:space="preserve">escada de aluminio </t>
  </si>
  <si>
    <t>PLACAS DE SINALIZAÇÃO (/)</t>
  </si>
  <si>
    <t xml:space="preserve">placas de sinalizacao </t>
  </si>
  <si>
    <t>MESA COM 3 GAVETAS (/)</t>
  </si>
  <si>
    <t xml:space="preserve">mesa com 3 gavetas </t>
  </si>
  <si>
    <t>CADEIRAS FIXAS (/)</t>
  </si>
  <si>
    <t xml:space="preserve">cadeiras fixas </t>
  </si>
  <si>
    <t>ROUPEIRO 12 PORTAS (/)</t>
  </si>
  <si>
    <t xml:space="preserve">roupeiro 12 portas </t>
  </si>
  <si>
    <t>armário roupeiro de aço com 12 portas / vãos</t>
  </si>
  <si>
    <t>GELADEIRA (/)</t>
  </si>
  <si>
    <t xml:space="preserve">geladeira </t>
  </si>
  <si>
    <t>geladeira</t>
  </si>
  <si>
    <t>EXTENSÃO ELÉTRICA 30 M (/)</t>
  </si>
  <si>
    <t xml:space="preserve">extensao eletrica 30 m </t>
  </si>
  <si>
    <t>ARMÁRIO DE AÇO (/)</t>
  </si>
  <si>
    <t>EXTENSOR DE LIMPEZA EM ALTURA (/)</t>
  </si>
  <si>
    <t xml:space="preserve">extensor de limpeza em altura </t>
  </si>
  <si>
    <t>CONTAINER DE LIXO 660L (/)</t>
  </si>
  <si>
    <t xml:space="preserve">container de lixo 660l </t>
  </si>
  <si>
    <t>RÁDIO HT (/)</t>
  </si>
  <si>
    <t>LAPELA (/)</t>
  </si>
  <si>
    <t>POLIDORA ELÉTRICA CERTEC (/)</t>
  </si>
  <si>
    <t xml:space="preserve">polidora eletrica certec </t>
  </si>
  <si>
    <t>ENCERADEIRA 510 (/)</t>
  </si>
  <si>
    <t xml:space="preserve">enceradeira 510 </t>
  </si>
  <si>
    <t>ENCERADEIRA 410 (/)</t>
  </si>
  <si>
    <t xml:space="preserve">enceradeira 410 </t>
  </si>
  <si>
    <t>HIDROJATEADORA HD 585 (/)</t>
  </si>
  <si>
    <t xml:space="preserve">hidrojateadora hd 585 </t>
  </si>
  <si>
    <t>LAVADORA DE ROUPA (/)</t>
  </si>
  <si>
    <t xml:space="preserve">lavadora de roupa </t>
  </si>
  <si>
    <t>SECADORA DE ROUPA (/)</t>
  </si>
  <si>
    <t xml:space="preserve">secadora de roupa </t>
  </si>
  <si>
    <t>secadora de roupas</t>
  </si>
  <si>
    <t>ALLOS - Praça Nova Araçatuba</t>
  </si>
  <si>
    <t>Grupo JLR</t>
  </si>
  <si>
    <t>Carrinho Coletor de Lixo (Carrinho coletor de lixo - 120 litros/)</t>
  </si>
  <si>
    <t>carrinho coletor de lixo carrinho coletor de lixo - 120 litros</t>
  </si>
  <si>
    <t>Escada de Abrir - Alumínio (5 degraus/)</t>
  </si>
  <si>
    <t>escada de abrir - aluminio 5 degraus</t>
  </si>
  <si>
    <t>Lavadora de Alta Pressão (Lavadora de Alta Pressão Karcher 7/15 - 4 Max/)</t>
  </si>
  <si>
    <t>lavadora de alta pressao lavadora de alta pressao karcher 7/15 - 4 max</t>
  </si>
  <si>
    <t>Aspirador de Água e Pó (Karcher NT 90/)</t>
  </si>
  <si>
    <t>aspirador de agua e po karcher nt 90</t>
  </si>
  <si>
    <t>Kit Completo de Limpa Vidro (SUPORTE E LUVA 35CM/)</t>
  </si>
  <si>
    <t>kit completo de limpa vidro suporte e luva 35cm</t>
  </si>
  <si>
    <t>Polidora de Piso - Alta Rotação (Speed/)</t>
  </si>
  <si>
    <t>polidora de piso - alta rotacao speed</t>
  </si>
  <si>
    <t>Enceradeira Industrial (Bandeirante Certec 510/)</t>
  </si>
  <si>
    <t>enceradeira industrial bandeirante certec 510</t>
  </si>
  <si>
    <t>Lavadora Tripulada - Piso (Bateria) (LAVADORA BRAVA 120L (2 BATERIAS)/)</t>
  </si>
  <si>
    <t>lavadora tripulada - piso bateria lavadora brava 120l 2 baterias</t>
  </si>
  <si>
    <t>Polidora de Piso - Alta Rotação (/)</t>
  </si>
  <si>
    <t xml:space="preserve">polidora de piso - alta rotacao </t>
  </si>
  <si>
    <t>Carrinho Container (400 Litros/)</t>
  </si>
  <si>
    <t>carrinho container 400 litros</t>
  </si>
  <si>
    <t>carrinho container 400 l</t>
  </si>
  <si>
    <t>Carrinho Container (660 Litros/)</t>
  </si>
  <si>
    <t>carrinho container 660 litros</t>
  </si>
  <si>
    <t>Lavadora Manual - Piso (Bateria) (LAVADOR DE PISO ALPHA (BATERIA)/)</t>
  </si>
  <si>
    <t>lavadora manual - piso bateria lavador de piso alpha bateria</t>
  </si>
  <si>
    <t>Carrinho Funcional Completo (Carro Funcional completo TTS/)</t>
  </si>
  <si>
    <t>carrinho funcional completo carro funcional completo tts</t>
  </si>
  <si>
    <t>Carrinho Bandeja - Fechamento Lateral (Carro de Serviço TTS Magic Art/)</t>
  </si>
  <si>
    <t>carrinho bandeja - fechamento lateral carro de servico tts magic art</t>
  </si>
  <si>
    <t>Mangueira Trançada (MANGUEIRA COM CARRINHO VERDE/)</t>
  </si>
  <si>
    <t>mangueira trancada mangueira com carrinho verde</t>
  </si>
  <si>
    <t>Carrinho Container (CARRO CONTAINER 1000LTS/)</t>
  </si>
  <si>
    <t>carrinho container carro container 1000lts</t>
  </si>
  <si>
    <t>Enceradeira Industrial (ENCERADEIRA BANDEIRANTE (CERTEC 510)/)</t>
  </si>
  <si>
    <t>enceradeira industrial enceradeira bandeirante certec 510</t>
  </si>
  <si>
    <t>Escada de Telescópica - Alumínio/Fibra (/)</t>
  </si>
  <si>
    <t xml:space="preserve">escada de telescopica - aluminio/fibra </t>
  </si>
  <si>
    <t>Mão Mecânica (Lixo) (Mão Mecânica Para Pegar Objetos C/ Garra/)</t>
  </si>
  <si>
    <t>mao mecanica lixo mao mecanica para pegar objetos c/ garra</t>
  </si>
  <si>
    <t>Varredeira Manual (VARREDEIRA MECANIZADA MANUAL KARCHER/)</t>
  </si>
  <si>
    <t>varredeira manual varredeira mecanizada manual karcher</t>
  </si>
  <si>
    <t>TELHANORTE -  Anhanguera - São Paulo / SP</t>
  </si>
  <si>
    <t>CABO EXTENSOR (/)</t>
  </si>
  <si>
    <t xml:space="preserve">cabo extensor </t>
  </si>
  <si>
    <t>ENCERADEIRAS (/)</t>
  </si>
  <si>
    <t>HIDROJATEADORA (/)</t>
  </si>
  <si>
    <t xml:space="preserve">hidrojateadora </t>
  </si>
  <si>
    <t>LAVADORA PISO AUTOMÁTICA (/)</t>
  </si>
  <si>
    <t xml:space="preserve">lavadora piso automatica </t>
  </si>
  <si>
    <t>MANGUEIRA DE BORRACHA (/)</t>
  </si>
  <si>
    <t xml:space="preserve">mangueira de borracha </t>
  </si>
  <si>
    <t>MOP PÓ 60 CM COMPLETO (/)</t>
  </si>
  <si>
    <t xml:space="preserve">mop po 60 cm completo </t>
  </si>
  <si>
    <t>PLACAS SINALIZADORAS (/)</t>
  </si>
  <si>
    <t xml:space="preserve">placas sinalizadoras </t>
  </si>
  <si>
    <t>SOPRADOR (/)</t>
  </si>
  <si>
    <t>TELHANORTE - Bragança Paulista / SP</t>
  </si>
  <si>
    <t>TELHANORTE - CLA e ADM - São Paulo / SP</t>
  </si>
  <si>
    <t>ASPIRADOR DE PÓ E ÁGUA (/)</t>
  </si>
  <si>
    <t>MOP ÁGUA (/)</t>
  </si>
  <si>
    <t>MOPITA (/)</t>
  </si>
  <si>
    <t xml:space="preserve">mopita </t>
  </si>
  <si>
    <t>TELHANORTE - DEPÓSITO CDP - São Paulo / SP</t>
  </si>
  <si>
    <t>AUTO LAVADORA TRIPULADA (/)</t>
  </si>
  <si>
    <t xml:space="preserve">auto lavadora tripulada </t>
  </si>
  <si>
    <t>TELHANORTE - Dom Pedro - São Paulo / SP</t>
  </si>
  <si>
    <t>TELHANORTE - GUARULHOS - Guarulhos / SP</t>
  </si>
  <si>
    <t>TELHANORTE -  IMIGRANTES - São Paulo / SP</t>
  </si>
  <si>
    <t>TELHANORTE - JUNDIAÍ - Jundiaí / SP</t>
  </si>
  <si>
    <t>TELHANORTE - Marginal - São Paulo / SP</t>
  </si>
  <si>
    <t>DOSADOR (/)</t>
  </si>
  <si>
    <t xml:space="preserve">dosador </t>
  </si>
  <si>
    <t>TELHANORTE - Marginal Adm Sede - São Paulo / SP</t>
  </si>
  <si>
    <t>TELHANORTE - MARINGÁ - Maringá / PRx</t>
  </si>
  <si>
    <t>Catálogos dos Fabricantes</t>
  </si>
  <si>
    <t>Carros funcional - Hamper (Com e Sem Fechamentos) Bralimpia</t>
  </si>
  <si>
    <t>Carro funcional - Guard Bralimpia</t>
  </si>
  <si>
    <t>Carro funcional - América Bralimpia</t>
  </si>
  <si>
    <t>Carro funcional - Black Bralimpia</t>
  </si>
  <si>
    <t>Carro funcional - América PAN Bralimpia</t>
  </si>
  <si>
    <t>Carro Funcional - Tubular Master e Compaq Bralimpia</t>
  </si>
  <si>
    <t>CARRO FUNCIONAL Romher</t>
  </si>
  <si>
    <t>C.X305 - Lavadora de alta pressão (OERTZEN) Hako do Brasil</t>
  </si>
  <si>
    <t>C170-9 E - Lavadora de alta pressão (OERTZEN) Hako do Brasil</t>
  </si>
  <si>
    <t>C.X322 - Lavadora de alta pressão (OERTZEN) Hako do Brasil</t>
  </si>
  <si>
    <t>C230-15 E - Lavadora de alta pressão (OERTZEN) Hako do Brasil</t>
  </si>
  <si>
    <t>C310-21 E - Lavadora de alta pressão (OERTZEN) Hako do Brasil</t>
  </si>
  <si>
    <t>C500-16 E - Lavadora de alta pressão (OERTZEN) Hako do Brasil</t>
  </si>
  <si>
    <t>HD 4/13 (127V) - Lavadora de alta pressão de água fria (Linha Compacta) Karcher</t>
  </si>
  <si>
    <t>HD 4/13 (220V) - Lavadora de alta pressão de água fria (Linha Compacta) Karcher</t>
  </si>
  <si>
    <t>HD 6/15 Cage Plus (220V) - Lavadora de alta pressão de água fria (Linha Compacta) Karcher</t>
  </si>
  <si>
    <t>HD 6/15 C (220V) - Lavadora de alta pressão de água fria (Linha Compacta) Karcher</t>
  </si>
  <si>
    <t>HD 4/8 Classic 127V - Lavadora de alta pressão de água fria (Linha Compacta) Karcher</t>
  </si>
  <si>
    <t>HD 4/8 Classic 220V - Lavadora de alta pressão de água fria (Linha Compacta) Karcher</t>
  </si>
  <si>
    <t>HD 4/10 X Classic 127V - Lavadora de alta pressão de água fria (Linha Compacta) Karcher</t>
  </si>
  <si>
    <t>HD 4/10 X Classic 220V - Lavadora de alta pressão de água fria (Linha Compacta) Karcher</t>
  </si>
  <si>
    <t>HD 6/11 Classic - Lavadora de alta pressão de água fria (Linha Compacta) Karcher</t>
  </si>
  <si>
    <t>HD 585 Profi 127V - Lavadora de alta pressão de água fria (Linha Compacta) Karcher</t>
  </si>
  <si>
    <t>HD 585 Profi 220V - Lavadora de alta pressão de água fria (Linha Compacta) Karcher</t>
  </si>
  <si>
    <t>HD 585 Profi Black 127V - Lavadora de alta pressão de água fria (Linha Compacta) Karcher</t>
  </si>
  <si>
    <t>HD 585 Profi Black 220V - Lavadora de alta pressão de água fria (Linha Compacta) Karcher</t>
  </si>
  <si>
    <t>HD 585 Profi Plus 220V - Lavadora de alta pressão de água fria (Linha Compacta) Karcher</t>
  </si>
  <si>
    <t>HD 585 Profi Plus 127V - Lavadora de alta pressão de água fria (Linha Compacta) Karcher</t>
  </si>
  <si>
    <t>HD 10/18 - 4 MAXI (220V) - Lavadora de alta pressão de água fria (Linha Média) Karcher</t>
  </si>
  <si>
    <t>HD 10/18 - 4 MAXI 380V - Lavadora de alta pressão de água fria (Linha Média) Karcher</t>
  </si>
  <si>
    <t>HD 10/18 - 4 MAXI 440V - Lavadora de alta pressão de água fria (Linha Média) Karcher</t>
  </si>
  <si>
    <t>HD 12/15 MAXI (220V) - Lavadora de alta pressão de água fria (Linha Média) Karcher</t>
  </si>
  <si>
    <t>HD 12/15 MAXI (380V) - Lavadora de alta pressão de água fria (Linha Média) Karcher</t>
  </si>
  <si>
    <t>HD 12/15 MAXI (440V) - Lavadora de alta pressão de água fria (Linha Média) Karcher</t>
  </si>
  <si>
    <t>HD 10/25 MAXI 220V - Lavadora de alta pressão de água fria (Linha Média) Karcher</t>
  </si>
  <si>
    <t>HD 10/25 MAXI 380V - Lavadora de alta pressão de água fria (Linha Média) Karcher</t>
  </si>
  <si>
    <t>HD 10/25 MAXI 440V - Lavadora de alta pressão de água fria (Linha Média) Karcher</t>
  </si>
  <si>
    <t>HD 10/25 MAXI (440V/60Hz) - Lavadora de alta pressão de água fria (Linha Média) Karcher</t>
  </si>
  <si>
    <t>HD 7/16 MAXI - Lavadora de alta pressão de água fria (Linha Média) Karcher</t>
  </si>
  <si>
    <t>HD 7/18 MAXI 220V - Lavadora de alta pressão de água fria (Linha Média) Karcher</t>
  </si>
  <si>
    <t>HD 7/18 MAXI 380V - Lavadora de alta pressão de água fria (Linha Média) Karcher</t>
  </si>
  <si>
    <t>HD 8/15 S 220V - Lavadora de alta pressão de água fria (Linha Pesada) Karcher</t>
  </si>
  <si>
    <t>HD 8/15 S 380V - Lavadora de alta pressão de água fria (Linha Pesada) Karcher</t>
  </si>
  <si>
    <t>HD 8/15 S 440V - Lavadora de alta pressão de água fria (Linha Pesada) Karcher</t>
  </si>
  <si>
    <t>HD 12/15 S 220V - Lavadora de alta pressão de água fria (Linha Pesada) Karcher</t>
  </si>
  <si>
    <t>HD 12/15 S 380V - Lavadora de alta pressão de água fria (Linha Pesada) Karcher</t>
  </si>
  <si>
    <t>HD 12/15 S 440V - Lavadora de alta pressão de água fria (Linha Pesada) Karcher</t>
  </si>
  <si>
    <t>G 2900 E - Lavadora de alta pressão de água fria (Linha com motor a combustão) Karcher</t>
  </si>
  <si>
    <t>HD 6/15 G - Lavadora de alta pressão de água fria (Linha com motor a combustão) Karcher</t>
  </si>
  <si>
    <t>HD 9/25 G - Lavadora de alta pressão de água fria (Linha com motor a combustão) Karcher</t>
  </si>
  <si>
    <t>HD 10/20-4 Cage F (380V) - Lavadora de alta pressão de água fria (Linha especial) Karcher</t>
  </si>
  <si>
    <t>HD 10/20 - 4 Cage F (220V) - Lavadora de alta pressão de água fria (Linha especial) Karcher</t>
  </si>
  <si>
    <t>LAV. AP HD 10/20-4 CAGE FOOD 440V - Lavadora de alta pressão de água fria (Linha especial) Karcher</t>
  </si>
  <si>
    <t>HDS 7/16-E CAGE 440V - Lavadora de alta pressão de água quente (Linha com aquecimento Elétrico) Karcher</t>
  </si>
  <si>
    <t>HDS 7/16-E CAGE 380V- Lavadora de alta pressão de água quente (Linha com aquecimento Elétrico) Karcher</t>
  </si>
  <si>
    <t>HDS 1000 Diesel - Lavadora de alta pressão de água quente (Linha com motor a combustão) Karcher</t>
  </si>
  <si>
    <t>HDS 12/15 CAGE 220V - Lavadora de alta pressão de água quente (Middle) Karcher</t>
  </si>
  <si>
    <t>HDS 12/15 CAGE (380V) - Lavadora de alta pressão de água quente (Middle) Karcher</t>
  </si>
  <si>
    <t>HDS 12/15 CAGE (440V) - Lavadora de alta pressão de água quente (Middle) Karcher</t>
  </si>
  <si>
    <t>HDS 8/15 CAGE (220V) - Lavadora de alta pressão de água quente (Middle) Karcher</t>
  </si>
  <si>
    <t>HD 13/35 Pe (Gasolina) - Lavadora de ultra pressão (Linha de compacta) Karcher</t>
  </si>
  <si>
    <t>HG 64 (220V) - Lavadora de alta pressão (Gerador de água quente) Karcher</t>
  </si>
  <si>
    <t>MC 2C 150/600 - Lavadora de alta pressão de água fria Nilfisk</t>
  </si>
  <si>
    <t>MC 3C 130/660 - Lavadora de alta pressão de água fria Nilfisk</t>
  </si>
  <si>
    <t>MC 4M 150/620 - Lavadora de alta pressão de água fria Nilfisk</t>
  </si>
  <si>
    <t>MC 4M 180/740 - Lavadora de alta pressão de água fria Nilfisk</t>
  </si>
  <si>
    <t>MC 5M 200/1050 - Lavadora de alta pressão de água fria Nilfisk</t>
  </si>
  <si>
    <t>MC 6P 180/1300 - Lavadora de alta pressão de água fria Nilfisk</t>
  </si>
  <si>
    <t>MC 6P- 250/1100 - Lavadora de alta pressão de água fria Nilfisk</t>
  </si>
  <si>
    <t>MC 7P 195/1280 - Lavadora de alta pressão de água fria Nilfisk</t>
  </si>
  <si>
    <t>MH 4M 200/960 - Lavadora de alta pressão de água quente Nilfisk</t>
  </si>
  <si>
    <t>MH 5M 210/1100 - Lavadora de alta pressão de água quente Nilfisk</t>
  </si>
  <si>
    <t>MH 6P 195/1350 - Lavadora de alta pressão de água quente Nilfisk</t>
  </si>
  <si>
    <t>MC 5C -240/940 PE - Alta pressão à combustão (Água Fria) Nilfisk</t>
  </si>
  <si>
    <t>MC 5M-280/1100 PE - Alta pressão à combustão (Água Fria) Nilfisk</t>
  </si>
  <si>
    <t>MC 5M-195/1000 DE - Alta pressão à combustão (Água Fria) Nilfisk</t>
  </si>
  <si>
    <t>MH 5M-200/1000 DE - Alta pressão à combustão (Água Quente) Nilfisk</t>
  </si>
  <si>
    <t>SC DELTA 6P - Lavadora estacionárias de alta pressão (Água Fria) Nilfisk</t>
  </si>
  <si>
    <t>SC UNO 7P e 8P - Lavadora estacionárias de alta pressão (Água Fria) Nilfisk</t>
  </si>
  <si>
    <t>SC DUO 7P e 8P - Lavadora estacionárias de alta pressão (Água Fria) Nilfisk</t>
  </si>
  <si>
    <t>SH SOLAR E - Lavadora estacionárias de alta pressão (Água Quente) Nilfisk</t>
  </si>
  <si>
    <t>C-200AIR - Lavadora de ultra pressão Nilfisk</t>
  </si>
  <si>
    <t>MERLION PLUS E-360 BR - Lavadora de ultra pressão Nilfisk</t>
  </si>
  <si>
    <t>MERLION PLUS E-500 - Lavadora de ultra pressão Nilfisk</t>
  </si>
  <si>
    <t>MERMAID E-500/30 - Lavadora de ultra pressão Nilfisk</t>
  </si>
  <si>
    <t>MERMAID E-800/20 - Lavadora de ultra pressão Nilfisk</t>
  </si>
  <si>
    <t>MERMAID E-1100/16 - Lavadora de ultra pressão Nilfisk</t>
  </si>
  <si>
    <t>JACTO J6000 - Lavadora de alta pressão Romher</t>
  </si>
  <si>
    <t>JACTO J6200 - Lavadora de alta pressão Romher</t>
  </si>
  <si>
    <t>JACTO J6800 - Lavadora de alta pressão Romher</t>
  </si>
  <si>
    <t>JACTO J7000 - Lavadora de alta pressão Romher</t>
  </si>
  <si>
    <t>JACTO J8000 - Lavadora de alta pressão Romher</t>
  </si>
  <si>
    <t>JACTO J9800 - Lavadora de alta pressão Romher</t>
  </si>
  <si>
    <t>A135L - Lavadora de piso a bateria Alfa Tennant</t>
  </si>
  <si>
    <t>A260C - Lavadora a cabo de operação a pé Alfa Tennant</t>
  </si>
  <si>
    <t>Fox - Lavadora Automática a Cabo e Operação a Pé Alfa Tennant</t>
  </si>
  <si>
    <t>ECO - Lavadora a Cabo de Operação a Pé Alfa Tennant</t>
  </si>
  <si>
    <t>A650 - Lavadora compacta de operação a bordo Alfa Tennant</t>
  </si>
  <si>
    <t>A140 - Lavadora compacta de operação a pé Alfa Tennant</t>
  </si>
  <si>
    <t>B70 - Lavadora de operação a pé Alfa Tennant</t>
  </si>
  <si>
    <t>Alfa Mini - Lavadora compacta de operação a pé Alfa Tennant</t>
  </si>
  <si>
    <t>Brava - Lavadora de Piso de Operação a Bordo Alfa Tennant</t>
  </si>
  <si>
    <t>T16 - Lavadora de operação a bordo e acionamento a bateria Alfa Tennant</t>
  </si>
  <si>
    <t>T7AMR - Lavadora de piso autônoma Alfa Tennant</t>
  </si>
  <si>
    <t>A750 - Lavadora de piso de operação a bordo Alfa Tennant</t>
  </si>
  <si>
    <t>T7 - Lavadora de piso de operação a bordo Alfa Tennant</t>
  </si>
  <si>
    <t>A135 - Lavadora de piso de operação a pé Alfa Tennant</t>
  </si>
  <si>
    <t>A260 - Lavadora de piso de operação a pé Alfa Tennant</t>
  </si>
  <si>
    <t>A300 - Lavadora de piso de operação a pé Alfa Tennant</t>
  </si>
  <si>
    <t>A500 - Lavadora de piso de operação a pé Alfa Tennant</t>
  </si>
  <si>
    <t>T600e - Lavadora de piso de operação a pé Alfa Tennant</t>
  </si>
  <si>
    <t>i-mop Lite - Lavadora de piso de operação a pé Alfa Tennant</t>
  </si>
  <si>
    <t>T17 - Lavadora de pisos de operação a bordo à bateria Alfa Tennant</t>
  </si>
  <si>
    <t>T16AMR - Lavadora industrial de piso autônoma Alfa Tennant</t>
  </si>
  <si>
    <t>Scrubmaster B5 - Lavadora de operador em pé Hako do Brasil</t>
  </si>
  <si>
    <t>Scrubmaster B25R - Lavadora de operador em pé Hako do Brasil</t>
  </si>
  <si>
    <t>Scrubmaster B45 - Lavadora de operador em pé Hako do Brasil</t>
  </si>
  <si>
    <t>Scrubmaster B70 - Lavadora de operador em pé Hako do Brasil</t>
  </si>
  <si>
    <t>Scrubmaster B75R- Lavadora a bordo Hako do Brasil</t>
  </si>
  <si>
    <t>SC100 - Lavadora de operação a pé Nilfisk</t>
  </si>
  <si>
    <t>SC250 - Lavadora de operação a pé Nilfisk</t>
  </si>
  <si>
    <t>SC351 - Lavadora de operação a pé Nilfisk</t>
  </si>
  <si>
    <t>SC450 - Lavadora de operação a pé Nilfisk</t>
  </si>
  <si>
    <t>SC901 - Lavadora de operação a pé Nilfisk</t>
  </si>
  <si>
    <t>AUTÔNOMA SC50 - Lavadora de operação de bordo Nilfisk</t>
  </si>
  <si>
    <t>SC2000 - Lavadora de operação de bordo Nilfisk</t>
  </si>
  <si>
    <t>ADVENGER 3400 - Lavadora de operação de bordo Nilfisk</t>
  </si>
  <si>
    <t>SC6000 - Lavadora de operação de bordo Nilfisk</t>
  </si>
  <si>
    <t>SC6500 - Lavadora de operação de bordo Nilfisk</t>
  </si>
  <si>
    <t>SC8000 - Lavadora de operação de bordo Nilfisk</t>
  </si>
  <si>
    <t>CS7010 - Lavadora de operação de bordo Nilfisk</t>
  </si>
  <si>
    <t>AS380B - Lavadora de operação a pé (Linha Viper) Nilfisk</t>
  </si>
  <si>
    <t>AS380C - Lavadora de operação a pé (Linha Viper) Nilfisk</t>
  </si>
  <si>
    <t>AS430 - Lavadora de operação a pé (Linha Viper) Nilfisk</t>
  </si>
  <si>
    <t>AS510 - Lavadora de operação a pé (Linha Viper) Nilfisk</t>
  </si>
  <si>
    <t>AS4325B - Lavadora de operação a pé (Linha Viper) Nilfisk</t>
  </si>
  <si>
    <t>AS4335C - Lavadora de operação a pé (Linha Viper) Nilfisk</t>
  </si>
  <si>
    <t>AS5160 - Lavadora de operação a pé (Linha Viper) Nilfisk</t>
  </si>
  <si>
    <t>AS5160TO - Lavadora de operação a pé (Linha Viper) Nilfisk</t>
  </si>
  <si>
    <t>AS7690T - Lavadora de operação a pé (Linha Viper) Nilfisk</t>
  </si>
  <si>
    <t>AS530R - Lavadora de operação de bordo (Linha Viper) Nilfisk</t>
  </si>
  <si>
    <t>AS850R - Lavadora de operação de bordo (Linha Viper) Nilfisk</t>
  </si>
  <si>
    <t>AS1050R - Lavadora de operação de bordo (Linha Viper) Nilfisk</t>
  </si>
  <si>
    <t>IPC CT15 - Lavadora de piso Romher</t>
  </si>
  <si>
    <t>IPC CT30 - Lavadora de piso Romher</t>
  </si>
  <si>
    <t>IPC A115 - Lavadora de piso Romher</t>
  </si>
  <si>
    <t>NT 585 127V *BR - Aspirador de sólidos e líquidos Karcher</t>
  </si>
  <si>
    <t>NT 585 220V *BR - Aspirador de sólidos e líquidos Karcher</t>
  </si>
  <si>
    <t>NT 2000 127V *BR - Aspirador de sólidos e líquidos Karcher</t>
  </si>
  <si>
    <t>NT 2000 220V *BR - Aspirador de sólidos e líquidos Karcher</t>
  </si>
  <si>
    <t>NT 3000 127V *BR - Aspirador de sólidos e líquidos Karcher</t>
  </si>
  <si>
    <t>NT 3000 220V *BR - Aspirador de sólidos e líquidos Karcher</t>
  </si>
  <si>
    <t>T 14/1 (127V) - Aspirador de sólidos Karcher</t>
  </si>
  <si>
    <t>T 14/1 (220V) - Aspirador de sólidos Karcher</t>
  </si>
  <si>
    <t>T 15/1 (127V) - Aspirador de sólidos Karcher</t>
  </si>
  <si>
    <t>T 15/1 (220V) - Aspirador de sólidos Karcher</t>
  </si>
  <si>
    <t>ASPIRADOR IVM 40/24-2 - Aspirador industrial para sólidos Karcher</t>
  </si>
  <si>
    <t>ASPIRADOR IVM 100/36-3 - Aspirador industrial para sólidos Karcher</t>
  </si>
  <si>
    <t>Aspirador IVS 80/35 220V 60Hz - Aspirador industrial para sólidos Karcher</t>
  </si>
  <si>
    <t>Aspirador IVS 80/35 380V 60Hz - Aspirador industrial para sólidos Karcher</t>
  </si>
  <si>
    <t>Aspirador IVS 80/35 440V 60Hz - Aspirador industrial para sólidos Karcher</t>
  </si>
  <si>
    <t>Aspirador IVS 80/75 220V 60Hz - Aspirador industrial para sólidos Karcher</t>
  </si>
  <si>
    <t>Aspirador IVS 80/75 380V 60Hz - Aspirador industrial para sólidos Karcher</t>
  </si>
  <si>
    <t>Aspirador IVS 80/75 440V 60Hz - Aspirador industrial para sólidos Karcher</t>
  </si>
  <si>
    <t>Aspirador IVS 80/150 380V 60Hz - Aspirador industrial para sólidos Karcher</t>
  </si>
  <si>
    <t>Aspirador IVS 80/150 440V 60Hz - Aspirador industrial para sólidos Karcher</t>
  </si>
  <si>
    <t>ASPIRADOR IVR 100/75-Pp Ef - Aspirador industrial para sólidos Karcher</t>
  </si>
  <si>
    <t>ASPIRADOR IVR 100/40-Pp Sc - Aspirador industrial para sólidos Karcher</t>
  </si>
  <si>
    <t>IPC A135 - Aspirador para sólidos e liquídos Romher</t>
  </si>
  <si>
    <t>IPC A135 EXT - Aspirador para sólidos e liquídos Romher</t>
  </si>
  <si>
    <t>IPC A162 - Aspirador para sólidos e liquídos Romher</t>
  </si>
  <si>
    <t>IPC A162 EXT - Aspirador para sólidos e liquídos Romher</t>
  </si>
  <si>
    <t>IPC A262 - Aspirador para sólidos e liquídos Romher</t>
  </si>
  <si>
    <t>IPC A262 EXT - Aspirador para sólidos e liquídos Romher</t>
  </si>
  <si>
    <t>IPC A390 - Aspirador para sólidos e liquídos Romher</t>
  </si>
  <si>
    <t>IPC ASPIRACAR 50 - Aspirador para sólidos e liquídos Romher</t>
  </si>
  <si>
    <t>IPC ASPIRACAR 80 - Aspirador para sólidos e liquídos Romher</t>
  </si>
  <si>
    <t>IPC P150 - Aspirador/extrador para sólidos e liquídos Romher</t>
  </si>
  <si>
    <t>IPC A115 - Aspirador para sólidos Romher</t>
  </si>
  <si>
    <t>IPC SPEEDY SILÊNCIO - Aspirador para sólidos Romher</t>
  </si>
  <si>
    <t>IPC P150 EXT - Aspirador para sólidos e liquídos Romher</t>
  </si>
  <si>
    <t>Alfa Pro 62 - Aspirador Alfa Tennant</t>
  </si>
  <si>
    <t>Alfa Pro 52 - Aspirador Alfa Tennant</t>
  </si>
  <si>
    <t>Alfa Pro 18 - Aspirador Alfa Tennant</t>
  </si>
  <si>
    <t>Alfa Pro 89 - Aspirador Alfa Tennant</t>
  </si>
  <si>
    <t>Tsunami - Aspirador e extrator Hako do Brasil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</si>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</sst>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1"/>
      <color rgb="FF0CA5A0"/>
      <name val="Aptos Narrow"/>
      <family val="2"/>
      <scheme val="minor"/>
    </font>
    <font>
      <b/>
      <sz val="12"/>
      <color rgb="FF0CA5A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3"/>
      <color rgb="FF0CA5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CA5A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5">
    <xf numFmtId="0" fontId="0" fillId="0" borderId="0"/>
    <xf numFmtId="44" fontId="1" fillId="0" borderId="0"/>
    <xf numFmtId="9" fontId="1" fillId="0" borderId="0"/>
    <xf numFmtId="0" fontId="2" fillId="0" borderId="0"/>
    <xf numFmtId="43" fontId="1" fillId="0" borderId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44" fontId="3" fillId="0" borderId="0" xfId="1" applyFont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4" applyNumberFormat="1" applyFont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4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44" fontId="6" fillId="0" borderId="1" xfId="1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44" fontId="0" fillId="3" borderId="3" xfId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3" fillId="0" borderId="0" xfId="0" quotePrefix="1" applyFont="1" applyAlignment="1">
      <alignment vertical="center" wrapText="1"/>
    </xf>
    <xf numFmtId="0" fontId="3" fillId="0" borderId="0" xfId="0" quotePrefix="1" applyFont="1"/>
    <xf numFmtId="0" fontId="0" fillId="6" borderId="3" xfId="0" applyFill="1" applyBorder="1" applyAlignment="1">
      <alignment vertical="center"/>
    </xf>
    <xf numFmtId="44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0" fillId="3" borderId="3" xfId="2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10" fontId="0" fillId="6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10" fontId="0" fillId="0" borderId="3" xfId="2" applyNumberFormat="1" applyFont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</cellXfs>
  <cellStyles count="5">
    <cellStyle name="Moeda" xfId="1" builtinId="4"/>
    <cellStyle name="Normal" xfId="0" builtinId="0"/>
    <cellStyle name="Normal 2" xfId="3" xr:uid="{00000000-0005-0000-0000-000003000000}"/>
    <cellStyle name="Porcentagem" xfId="2" builtinId="5"/>
    <cellStyle name="Vírgula" xfId="4" builtinId="3"/>
  </cellStyles>
  <dxfs count="11">
    <dxf>
      <fill>
        <patternFill patternType="gray0625"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Calibri"/>
        <family val="2"/>
      </font>
      <fill>
        <patternFill>
          <fgColor indexed="64"/>
          <bgColor indexed="6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Dados" displayName="tabDados" ref="A1:H4115" totalsRowShown="0" headerRowDxfId="10" dataDxfId="9">
  <autoFilter ref="A1:H4115" xr:uid="{00000000-0009-0000-0100-000001000000}"/>
  <tableColumns count="8">
    <tableColumn id="1" xr3:uid="{00000000-0010-0000-0000-000001000000}" name="Bid ou Fonte" dataDxfId="8"/>
    <tableColumn id="2" xr3:uid="{00000000-0010-0000-0000-000002000000}" name="Fornecedor" dataDxfId="7"/>
    <tableColumn id="3" xr3:uid="{00000000-0010-0000-0000-000003000000}" name="Descrição" dataDxfId="6"/>
    <tableColumn id="4" xr3:uid="{00000000-0010-0000-0000-000004000000}" name="Descrição Saneada" dataDxfId="5">
      <calculatedColumnFormula>SUBSTITUTE(SUBSTITUTE(SUBSTITUTE(SUBSTITUTE(SUBSTITUTE(SUBSTITUTE(LOWER(C2),"(/)",""),"(/",""),"/)",""),"(",""),")",""),"  "," ")</calculatedColumnFormula>
    </tableColumn>
    <tableColumn id="5" xr3:uid="{00000000-0010-0000-0000-000005000000}" name="Descrição Padronizada" dataDxfId="4"/>
    <tableColumn id="6" xr3:uid="{00000000-0010-0000-0000-000006000000}" name="Valor Unitário" dataDxfId="3"/>
    <tableColumn id="7" xr3:uid="{00000000-0010-0000-0000-000007000000}" name="Vida Útil (meses)" dataDxfId="2"/>
    <tableColumn id="8" xr3:uid="{00000000-0010-0000-0000-000008000000}" name="Manutenção (%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2:H26"/>
  <sheetViews>
    <sheetView showGridLines="0" zoomScale="90" zoomScaleNormal="90" workbookViewId="0">
      <selection activeCell="B7" sqref="B7"/>
    </sheetView>
  </sheetViews>
  <sheetFormatPr defaultColWidth="8.7265625" defaultRowHeight="14.5" x14ac:dyDescent="0.35"/>
  <cols>
    <col min="1" max="1" width="3.54296875" style="1" bestFit="1" customWidth="1"/>
    <col min="2" max="2" width="51.453125" style="1" bestFit="1" customWidth="1"/>
    <col min="3" max="3" width="40.54296875" style="1" customWidth="1"/>
    <col min="4" max="6" width="15" style="1" customWidth="1"/>
    <col min="7" max="7" width="15.81640625" style="1" bestFit="1" customWidth="1"/>
    <col min="8" max="8" width="40.54296875" style="1" customWidth="1"/>
    <col min="9" max="9" width="8.7265625" style="1" customWidth="1"/>
    <col min="10" max="16384" width="8.7265625" style="1"/>
  </cols>
  <sheetData>
    <row r="2" spans="1:8" ht="35.15" customHeight="1" x14ac:dyDescent="0.35">
      <c r="B2" s="36" t="s">
        <v>0</v>
      </c>
    </row>
    <row r="3" spans="1:8" ht="16" customHeight="1" x14ac:dyDescent="0.35">
      <c r="B3" s="34"/>
      <c r="G3" s="35" t="s">
        <v>1</v>
      </c>
    </row>
    <row r="4" spans="1:8" x14ac:dyDescent="0.35">
      <c r="B4" s="35" t="s">
        <v>2</v>
      </c>
      <c r="H4" s="35" t="s">
        <v>3</v>
      </c>
    </row>
    <row r="5" spans="1:8" ht="5.15" customHeight="1" x14ac:dyDescent="0.35">
      <c r="B5" s="35"/>
      <c r="G5" s="35"/>
    </row>
    <row r="6" spans="1:8" ht="29" customHeight="1" x14ac:dyDescent="0.35">
      <c r="B6" s="37" t="s">
        <v>4</v>
      </c>
      <c r="C6" s="38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8" t="s">
        <v>10</v>
      </c>
    </row>
    <row r="7" spans="1:8" x14ac:dyDescent="0.35">
      <c r="A7" s="25">
        <v>1</v>
      </c>
      <c r="B7" s="27"/>
      <c r="C7" s="31" t="str">
        <f t="array" ref="C7">IF(B7="","---",
   IF(TextosSeContem(B7,NaiveBayesClasse(B7,Treinamento)),NaiveBayesClasse(B7,Treinamento),
    IF(NaiveBayesProbabilidade(B7,Treinamento)&gt;PercMinNB,NaiveBayesClasse(B7,Treinamento),"---")))</f>
        <v>---</v>
      </c>
      <c r="D7" s="32" t="str">
        <f t="shared" ref="D7:D26" si="0">IF(C7="---","---",_xlfn.XLOOKUP(C7,colDescrPadr,colPrecoMedio,,0))</f>
        <v>---</v>
      </c>
      <c r="E7" s="33" t="str">
        <f t="shared" ref="E7:E26" si="1">IF(C7="---","---",_xlfn.XLOOKUP(C7,colDescrPadr,colVidaUtil,,0))</f>
        <v>---</v>
      </c>
      <c r="F7" s="47" t="str">
        <f t="shared" ref="F7:F26" si="2">IF(C7="---","---",_xlfn.XLOOKUP(C7,colDescrPadr,colPercManut,,0))</f>
        <v>---</v>
      </c>
      <c r="G7" s="48" t="b">
        <v>0</v>
      </c>
      <c r="H7" s="48"/>
    </row>
    <row r="8" spans="1:8" x14ac:dyDescent="0.35">
      <c r="A8" s="25">
        <v>2</v>
      </c>
      <c r="B8" s="26"/>
      <c r="C8" s="42" t="str">
        <f t="array" ref="C8">IF(B8="","---",
   IF(TextosSeContem(B8,NaiveBayesClasse(B8,Treinamento)),NaiveBayesClasse(B8,Treinamento),
    IF(NaiveBayesProbabilidade(B8,Treinamento)&gt;PercMinNB,NaiveBayesClasse(B8,Treinamento),"---")))</f>
        <v>---</v>
      </c>
      <c r="D8" s="43" t="str">
        <f t="shared" si="0"/>
        <v>---</v>
      </c>
      <c r="E8" s="44" t="str">
        <f t="shared" si="1"/>
        <v>---</v>
      </c>
      <c r="F8" s="49" t="str">
        <f t="shared" si="2"/>
        <v>---</v>
      </c>
      <c r="G8" s="50" t="b">
        <v>0</v>
      </c>
      <c r="H8" s="50"/>
    </row>
    <row r="9" spans="1:8" x14ac:dyDescent="0.35">
      <c r="A9" s="25">
        <v>3</v>
      </c>
      <c r="B9" s="27"/>
      <c r="C9" s="28" t="str">
        <f t="array" ref="C9">IF(B9="","---",
   IF(TextosSeContem(B9,NaiveBayesClasse(B9,Treinamento)),NaiveBayesClasse(B9,Treinamento),
    IF(NaiveBayesProbabilidade(B9,Treinamento)&gt;PercMinNB,NaiveBayesClasse(B9,Treinamento),"---")))</f>
        <v>---</v>
      </c>
      <c r="D9" s="30" t="str">
        <f t="shared" si="0"/>
        <v>---</v>
      </c>
      <c r="E9" s="29" t="str">
        <f t="shared" si="1"/>
        <v>---</v>
      </c>
      <c r="F9" s="51" t="str">
        <f t="shared" si="2"/>
        <v>---</v>
      </c>
      <c r="G9" s="48" t="b">
        <v>0</v>
      </c>
      <c r="H9" s="48"/>
    </row>
    <row r="10" spans="1:8" x14ac:dyDescent="0.35">
      <c r="A10" s="25">
        <v>4</v>
      </c>
      <c r="B10" s="26"/>
      <c r="C10" s="42" t="str">
        <f t="array" ref="C10">IF(B10="","---",
   IF(TextosSeContem(B10,NaiveBayesClasse(B10,Treinamento)),NaiveBayesClasse(B10,Treinamento),
    IF(NaiveBayesProbabilidade(B10,Treinamento)&gt;PercMinNB,NaiveBayesClasse(B10,Treinamento),"---")))</f>
        <v>---</v>
      </c>
      <c r="D10" s="43" t="str">
        <f t="shared" si="0"/>
        <v>---</v>
      </c>
      <c r="E10" s="44" t="str">
        <f t="shared" si="1"/>
        <v>---</v>
      </c>
      <c r="F10" s="49" t="str">
        <f t="shared" si="2"/>
        <v>---</v>
      </c>
      <c r="G10" s="50" t="b">
        <v>0</v>
      </c>
      <c r="H10" s="50"/>
    </row>
    <row r="11" spans="1:8" x14ac:dyDescent="0.35">
      <c r="A11" s="25">
        <v>5</v>
      </c>
      <c r="B11" s="27"/>
      <c r="C11" s="28" t="str">
        <f t="array" ref="C11">IF(B11="","---",
   IF(TextosSeContem(B11,NaiveBayesClasse(B11,Treinamento)),NaiveBayesClasse(B11,Treinamento),
    IF(NaiveBayesProbabilidade(B11,Treinamento)&gt;PercMinNB,NaiveBayesClasse(B11,Treinamento),"---")))</f>
        <v>---</v>
      </c>
      <c r="D11" s="30" t="str">
        <f t="shared" si="0"/>
        <v>---</v>
      </c>
      <c r="E11" s="29" t="str">
        <f t="shared" si="1"/>
        <v>---</v>
      </c>
      <c r="F11" s="51" t="str">
        <f t="shared" si="2"/>
        <v>---</v>
      </c>
      <c r="G11" s="48" t="b">
        <v>0</v>
      </c>
      <c r="H11" s="48"/>
    </row>
    <row r="12" spans="1:8" x14ac:dyDescent="0.35">
      <c r="A12" s="25">
        <v>6</v>
      </c>
      <c r="B12" s="26"/>
      <c r="C12" s="42" t="str">
        <f t="array" ref="C12">IF(B12="","---",
   IF(TextosSeContem(B12,NaiveBayesClasse(B12,Treinamento)),NaiveBayesClasse(B12,Treinamento),
    IF(NaiveBayesProbabilidade(B12,Treinamento)&gt;PercMinNB,NaiveBayesClasse(B12,Treinamento),"---")))</f>
        <v>---</v>
      </c>
      <c r="D12" s="43" t="str">
        <f t="shared" si="0"/>
        <v>---</v>
      </c>
      <c r="E12" s="44" t="str">
        <f t="shared" si="1"/>
        <v>---</v>
      </c>
      <c r="F12" s="49" t="str">
        <f t="shared" si="2"/>
        <v>---</v>
      </c>
      <c r="G12" s="50" t="b">
        <v>0</v>
      </c>
      <c r="H12" s="50"/>
    </row>
    <row r="13" spans="1:8" x14ac:dyDescent="0.35">
      <c r="A13" s="25">
        <v>7</v>
      </c>
      <c r="B13" s="27"/>
      <c r="C13" s="28" t="str">
        <f t="array" ref="C13">IF(B13="","---",
   IF(TextosSeContem(B13,NaiveBayesClasse(B13,Treinamento)),NaiveBayesClasse(B13,Treinamento),
    IF(NaiveBayesProbabilidade(B13,Treinamento)&gt;PercMinNB,NaiveBayesClasse(B13,Treinamento),"---")))</f>
        <v>---</v>
      </c>
      <c r="D13" s="30" t="str">
        <f t="shared" si="0"/>
        <v>---</v>
      </c>
      <c r="E13" s="29" t="str">
        <f t="shared" si="1"/>
        <v>---</v>
      </c>
      <c r="F13" s="51" t="str">
        <f t="shared" si="2"/>
        <v>---</v>
      </c>
      <c r="G13" s="48" t="b">
        <v>0</v>
      </c>
      <c r="H13" s="48"/>
    </row>
    <row r="14" spans="1:8" x14ac:dyDescent="0.35">
      <c r="A14" s="25">
        <v>8</v>
      </c>
      <c r="B14" s="26"/>
      <c r="C14" s="42" t="str">
        <f t="array" ref="C14">IF(B14="","---",
   IF(TextosSeContem(B14,NaiveBayesClasse(B14,Treinamento)),NaiveBayesClasse(B14,Treinamento),
    IF(NaiveBayesProbabilidade(B14,Treinamento)&gt;PercMinNB,NaiveBayesClasse(B14,Treinamento),"---")))</f>
        <v>---</v>
      </c>
      <c r="D14" s="43" t="str">
        <f t="shared" si="0"/>
        <v>---</v>
      </c>
      <c r="E14" s="44" t="str">
        <f t="shared" si="1"/>
        <v>---</v>
      </c>
      <c r="F14" s="49" t="str">
        <f t="shared" si="2"/>
        <v>---</v>
      </c>
      <c r="G14" s="50" t="b">
        <v>0</v>
      </c>
      <c r="H14" s="50"/>
    </row>
    <row r="15" spans="1:8" x14ac:dyDescent="0.35">
      <c r="A15" s="25">
        <v>9</v>
      </c>
      <c r="B15" s="27"/>
      <c r="C15" s="28" t="str">
        <f t="array" ref="C15">IF(B15="","---",
   IF(TextosSeContem(B15,NaiveBayesClasse(B15,Treinamento)),NaiveBayesClasse(B15,Treinamento),
    IF(NaiveBayesProbabilidade(B15,Treinamento)&gt;PercMinNB,NaiveBayesClasse(B15,Treinamento),"---")))</f>
        <v>---</v>
      </c>
      <c r="D15" s="30" t="str">
        <f t="shared" si="0"/>
        <v>---</v>
      </c>
      <c r="E15" s="29" t="str">
        <f t="shared" si="1"/>
        <v>---</v>
      </c>
      <c r="F15" s="51" t="str">
        <f t="shared" si="2"/>
        <v>---</v>
      </c>
      <c r="G15" s="48" t="b">
        <v>0</v>
      </c>
      <c r="H15" s="48"/>
    </row>
    <row r="16" spans="1:8" x14ac:dyDescent="0.35">
      <c r="A16" s="25">
        <v>10</v>
      </c>
      <c r="B16" s="26"/>
      <c r="C16" s="42" t="str">
        <f t="array" ref="C16">IF(B16="","---",
   IF(TextosSeContem(B16,NaiveBayesClasse(B16,Treinamento)),NaiveBayesClasse(B16,Treinamento),
    IF(NaiveBayesProbabilidade(B16,Treinamento)&gt;PercMinNB,NaiveBayesClasse(B16,Treinamento),"---")))</f>
        <v>---</v>
      </c>
      <c r="D16" s="43" t="str">
        <f t="shared" si="0"/>
        <v>---</v>
      </c>
      <c r="E16" s="44" t="str">
        <f t="shared" si="1"/>
        <v>---</v>
      </c>
      <c r="F16" s="49" t="str">
        <f t="shared" si="2"/>
        <v>---</v>
      </c>
      <c r="G16" s="50" t="b">
        <v>0</v>
      </c>
      <c r="H16" s="50"/>
    </row>
    <row r="17" spans="1:8" x14ac:dyDescent="0.35">
      <c r="A17" s="25">
        <v>11</v>
      </c>
      <c r="B17" s="27"/>
      <c r="C17" s="28" t="str">
        <f t="array" ref="C17">IF(B17="","---",
   IF(TextosSeContem(B17,NaiveBayesClasse(B17,Treinamento)),NaiveBayesClasse(B17,Treinamento),
    IF(NaiveBayesProbabilidade(B17,Treinamento)&gt;PercMinNB,NaiveBayesClasse(B17,Treinamento),"---")))</f>
        <v>---</v>
      </c>
      <c r="D17" s="30" t="str">
        <f t="shared" si="0"/>
        <v>---</v>
      </c>
      <c r="E17" s="29" t="str">
        <f t="shared" si="1"/>
        <v>---</v>
      </c>
      <c r="F17" s="51" t="str">
        <f t="shared" si="2"/>
        <v>---</v>
      </c>
      <c r="G17" s="48" t="b">
        <v>0</v>
      </c>
      <c r="H17" s="48"/>
    </row>
    <row r="18" spans="1:8" x14ac:dyDescent="0.35">
      <c r="A18" s="25">
        <v>12</v>
      </c>
      <c r="B18" s="26"/>
      <c r="C18" s="42" t="str">
        <f t="array" ref="C18">IF(B18="","---",
   IF(TextosSeContem(B18,NaiveBayesClasse(B18,Treinamento)),NaiveBayesClasse(B18,Treinamento),
    IF(NaiveBayesProbabilidade(B18,Treinamento)&gt;PercMinNB,NaiveBayesClasse(B18,Treinamento),"---")))</f>
        <v>---</v>
      </c>
      <c r="D18" s="43" t="str">
        <f t="shared" si="0"/>
        <v>---</v>
      </c>
      <c r="E18" s="44" t="str">
        <f t="shared" si="1"/>
        <v>---</v>
      </c>
      <c r="F18" s="49" t="str">
        <f t="shared" si="2"/>
        <v>---</v>
      </c>
      <c r="G18" s="50" t="b">
        <v>0</v>
      </c>
      <c r="H18" s="50"/>
    </row>
    <row r="19" spans="1:8" x14ac:dyDescent="0.35">
      <c r="A19" s="25">
        <v>13</v>
      </c>
      <c r="B19" s="27"/>
      <c r="C19" s="28" t="str">
        <f t="array" ref="C19">IF(B19="","---",
   IF(TextosSeContem(B19,NaiveBayesClasse(B19,Treinamento)),NaiveBayesClasse(B19,Treinamento),
    IF(NaiveBayesProbabilidade(B19,Treinamento)&gt;PercMinNB,NaiveBayesClasse(B19,Treinamento),"---")))</f>
        <v>---</v>
      </c>
      <c r="D19" s="30" t="str">
        <f t="shared" si="0"/>
        <v>---</v>
      </c>
      <c r="E19" s="29" t="str">
        <f t="shared" si="1"/>
        <v>---</v>
      </c>
      <c r="F19" s="51" t="str">
        <f t="shared" si="2"/>
        <v>---</v>
      </c>
      <c r="G19" s="48" t="b">
        <v>0</v>
      </c>
      <c r="H19" s="48"/>
    </row>
    <row r="20" spans="1:8" x14ac:dyDescent="0.35">
      <c r="A20" s="25">
        <v>14</v>
      </c>
      <c r="B20" s="26"/>
      <c r="C20" s="42" t="str">
        <f t="array" ref="C20">IF(B20="","---",
   IF(TextosSeContem(B20,NaiveBayesClasse(B20,Treinamento)),NaiveBayesClasse(B20,Treinamento),
    IF(NaiveBayesProbabilidade(B20,Treinamento)&gt;PercMinNB,NaiveBayesClasse(B20,Treinamento),"---")))</f>
        <v>---</v>
      </c>
      <c r="D20" s="43" t="str">
        <f t="shared" si="0"/>
        <v>---</v>
      </c>
      <c r="E20" s="44" t="str">
        <f t="shared" si="1"/>
        <v>---</v>
      </c>
      <c r="F20" s="49" t="str">
        <f t="shared" si="2"/>
        <v>---</v>
      </c>
      <c r="G20" s="50" t="b">
        <v>0</v>
      </c>
      <c r="H20" s="50"/>
    </row>
    <row r="21" spans="1:8" x14ac:dyDescent="0.35">
      <c r="A21" s="25">
        <v>15</v>
      </c>
      <c r="B21" s="27"/>
      <c r="C21" s="28" t="str">
        <f t="array" ref="C21">IF(B21="","---",
   IF(TextosSeContem(B21,NaiveBayesClasse(B21,Treinamento)),NaiveBayesClasse(B21,Treinamento),
    IF(NaiveBayesProbabilidade(B21,Treinamento)&gt;PercMinNB,NaiveBayesClasse(B21,Treinamento),"---")))</f>
        <v>---</v>
      </c>
      <c r="D21" s="30" t="str">
        <f t="shared" si="0"/>
        <v>---</v>
      </c>
      <c r="E21" s="29" t="str">
        <f t="shared" si="1"/>
        <v>---</v>
      </c>
      <c r="F21" s="51" t="str">
        <f t="shared" si="2"/>
        <v>---</v>
      </c>
      <c r="G21" s="48" t="b">
        <v>0</v>
      </c>
      <c r="H21" s="48"/>
    </row>
    <row r="22" spans="1:8" x14ac:dyDescent="0.35">
      <c r="A22" s="25">
        <v>16</v>
      </c>
      <c r="B22" s="26"/>
      <c r="C22" s="42" t="str">
        <f t="array" ref="C22">IF(B22="","---",
   IF(TextosSeContem(B22,NaiveBayesClasse(B22,Treinamento)),NaiveBayesClasse(B22,Treinamento),
    IF(NaiveBayesProbabilidade(B22,Treinamento)&gt;PercMinNB,NaiveBayesClasse(B22,Treinamento),"---")))</f>
        <v>---</v>
      </c>
      <c r="D22" s="43" t="str">
        <f t="shared" si="0"/>
        <v>---</v>
      </c>
      <c r="E22" s="44" t="str">
        <f t="shared" si="1"/>
        <v>---</v>
      </c>
      <c r="F22" s="49" t="str">
        <f t="shared" si="2"/>
        <v>---</v>
      </c>
      <c r="G22" s="50" t="b">
        <v>0</v>
      </c>
      <c r="H22" s="50"/>
    </row>
    <row r="23" spans="1:8" x14ac:dyDescent="0.35">
      <c r="A23" s="25">
        <v>17</v>
      </c>
      <c r="B23" s="27"/>
      <c r="C23" s="28" t="str">
        <f t="array" ref="C23">IF(B23="","---",
   IF(TextosSeContem(B23,NaiveBayesClasse(B23,Treinamento)),NaiveBayesClasse(B23,Treinamento),
    IF(NaiveBayesProbabilidade(B23,Treinamento)&gt;PercMinNB,NaiveBayesClasse(B23,Treinamento),"---")))</f>
        <v>---</v>
      </c>
      <c r="D23" s="30" t="str">
        <f t="shared" si="0"/>
        <v>---</v>
      </c>
      <c r="E23" s="29" t="str">
        <f t="shared" si="1"/>
        <v>---</v>
      </c>
      <c r="F23" s="51" t="str">
        <f t="shared" si="2"/>
        <v>---</v>
      </c>
      <c r="G23" s="48" t="b">
        <v>0</v>
      </c>
      <c r="H23" s="48"/>
    </row>
    <row r="24" spans="1:8" x14ac:dyDescent="0.35">
      <c r="A24" s="25">
        <v>18</v>
      </c>
      <c r="B24" s="26"/>
      <c r="C24" s="42" t="str">
        <f t="array" ref="C24">IF(B24="","---",
   IF(TextosSeContem(B24,NaiveBayesClasse(B24,Treinamento)),NaiveBayesClasse(B24,Treinamento),
    IF(NaiveBayesProbabilidade(B24,Treinamento)&gt;PercMinNB,NaiveBayesClasse(B24,Treinamento),"---")))</f>
        <v>---</v>
      </c>
      <c r="D24" s="43" t="str">
        <f t="shared" si="0"/>
        <v>---</v>
      </c>
      <c r="E24" s="44" t="str">
        <f t="shared" si="1"/>
        <v>---</v>
      </c>
      <c r="F24" s="49" t="str">
        <f t="shared" si="2"/>
        <v>---</v>
      </c>
      <c r="G24" s="50" t="b">
        <v>0</v>
      </c>
      <c r="H24" s="50"/>
    </row>
    <row r="25" spans="1:8" x14ac:dyDescent="0.35">
      <c r="A25" s="25">
        <v>19</v>
      </c>
      <c r="B25" s="27"/>
      <c r="C25" s="28" t="str">
        <f t="array" ref="C25">IF(B25="","---",
   IF(TextosSeContem(B25,NaiveBayesClasse(B25,Treinamento)),NaiveBayesClasse(B25,Treinamento),
    IF(NaiveBayesProbabilidade(B25,Treinamento)&gt;PercMinNB,NaiveBayesClasse(B25,Treinamento),"---")))</f>
        <v>---</v>
      </c>
      <c r="D25" s="30" t="str">
        <f t="shared" si="0"/>
        <v>---</v>
      </c>
      <c r="E25" s="29" t="str">
        <f t="shared" si="1"/>
        <v>---</v>
      </c>
      <c r="F25" s="51" t="str">
        <f t="shared" si="2"/>
        <v>---</v>
      </c>
      <c r="G25" s="48" t="b">
        <v>0</v>
      </c>
      <c r="H25" s="48"/>
    </row>
    <row r="26" spans="1:8" x14ac:dyDescent="0.35">
      <c r="A26" s="25">
        <v>20</v>
      </c>
      <c r="B26" s="26"/>
      <c r="C26" s="42" t="str">
        <f t="array" ref="C26">IF(B26="","---",
   IF(TextosSeContem(B26,NaiveBayesClasse(B26,Treinamento)),NaiveBayesClasse(B26,Treinamento),
    IF(NaiveBayesProbabilidade(B26,Treinamento)&gt;PercMinNB,NaiveBayesClasse(B26,Treinamento),"---")))</f>
        <v>---</v>
      </c>
      <c r="D26" s="43" t="str">
        <f t="shared" si="0"/>
        <v>---</v>
      </c>
      <c r="E26" s="44" t="str">
        <f t="shared" si="1"/>
        <v>---</v>
      </c>
      <c r="F26" s="49" t="str">
        <f t="shared" si="2"/>
        <v>---</v>
      </c>
      <c r="G26" s="50" t="b">
        <v>0</v>
      </c>
      <c r="H26" s="50"/>
    </row>
  </sheetData>
  <conditionalFormatting sqref="H7:H26">
    <cfRule type="expression" dxfId="0" priority="1">
      <formula>$G7=FALSE</formula>
    </cfRule>
  </conditionalFormatting>
  <dataValidations count="1">
    <dataValidation type="list" allowBlank="1" showInputMessage="1" showErrorMessage="1" sqref="H7:H26" xr:uid="{00000000-0002-0000-0000-000000000000}">
      <formula1>lstDescrPadr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/>
  <dimension ref="A1:J503"/>
  <sheetViews>
    <sheetView showGridLines="0" topLeftCell="A503" zoomScale="90" zoomScaleNormal="90" workbookViewId="0">
      <selection activeCell="B113" sqref="B113"/>
    </sheetView>
  </sheetViews>
  <sheetFormatPr defaultColWidth="8.7265625" defaultRowHeight="13" x14ac:dyDescent="0.35"/>
  <cols>
    <col min="1" max="1" width="3.81640625" style="11" bestFit="1" customWidth="1"/>
    <col min="2" max="2" width="39.54296875" style="11" bestFit="1" customWidth="1"/>
    <col min="3" max="4" width="12.81640625" style="11" customWidth="1"/>
    <col min="5" max="9" width="12.81640625" style="11" bestFit="1" customWidth="1"/>
    <col min="10" max="10" width="8.7265625" style="11" customWidth="1"/>
    <col min="11" max="16384" width="8.7265625" style="11"/>
  </cols>
  <sheetData>
    <row r="1" spans="1:10" x14ac:dyDescent="0.35">
      <c r="C1" s="23">
        <v>0.25</v>
      </c>
      <c r="D1" s="23">
        <v>0.75</v>
      </c>
    </row>
    <row r="2" spans="1:10" ht="26" customHeight="1" x14ac:dyDescent="0.35">
      <c r="A2" s="14" t="s">
        <v>11</v>
      </c>
      <c r="B2" s="10" t="s">
        <v>12</v>
      </c>
      <c r="C2" s="17" t="s">
        <v>13</v>
      </c>
      <c r="D2" s="17" t="s">
        <v>14</v>
      </c>
      <c r="E2" s="17" t="s">
        <v>15</v>
      </c>
      <c r="F2" s="17" t="s">
        <v>16</v>
      </c>
      <c r="G2" s="17" t="s">
        <v>17</v>
      </c>
      <c r="H2" s="17" t="s">
        <v>18</v>
      </c>
      <c r="I2" s="17" t="s">
        <v>19</v>
      </c>
    </row>
    <row r="3" spans="1:10" hidden="1" x14ac:dyDescent="0.35">
      <c r="A3" s="15">
        <v>1</v>
      </c>
      <c r="B3" s="11" t="str">
        <f t="array" ref="B3:B169">_xlfn._xlws.SORT(_xlfn.UNIQUE(tabDados[Descrição Padronizada]))</f>
        <v>---</v>
      </c>
      <c r="C3" s="16">
        <f t="array" ref="C3">IF(B3="","---",IFERROR(
   _xlfn.PERCENTILE.INC(
      IF((tabDados[Descrição Padronizada]=B3)*(tabDados[Valor Unitário]&lt;&gt;""),
         tabDados[Valor Unitário],""
      ),
   C$1),
   _xlfn.MINIFS(tabDados[Valor Unitário],tabDados[Descrição Padronizada],B3)
))</f>
        <v>0</v>
      </c>
      <c r="D3" s="16">
        <f t="array" ref="D3">IF(B3="","---",IFERROR(
   _xlfn.PERCENTILE.INC(
      IF((tabDados[Descrição Padronizada]=B3)*(tabDados[Valor Unitário]&lt;&gt;""),
         tabDados[Valor Unitário],""
      ),
   D$1),
   _xlfn.MAXIFS(tabDados[Valor Unitário],tabDados[Descrição Padronizada],B3)
))</f>
        <v>0</v>
      </c>
      <c r="E3" s="16" t="str">
        <f>IF(OR(B3="",B3="---"),"---",
   IFERROR(AVERAGEIFS(tabDados[Valor Unitário],tabDados[Descrição Padronizada],B3,tabDados[Valor Unitário],"&gt;="&amp;C3,tabDados[Valor Unitário],"&lt;="&amp;D3),AVERAGE(C3,D3))
)</f>
        <v>---</v>
      </c>
      <c r="F3" s="12" t="str">
        <f t="array" ref="F3">IF(OR(B3="",B3="---"),"---",TRUNC(IFERROR(MODE(IF((tabDados[Descrição Padronizada]=B3)*(tabDados[Vida Útil (meses)]&lt;&gt;""),tabDados[Vida Útil (meses)],"-")),AVERAGEIFS(tabDados[Vida Útil (meses)],tabDados[Descrição Padronizada],B3))+0.5))</f>
        <v>---</v>
      </c>
      <c r="G3" s="13" t="str">
        <f>IF(OR(B3="",B3="---"),"---",TRUNC(IFERROR(AVERAGEIFS(tabDados[Manutenção (%)],tabDados[Descrição Padronizada],B3,tabDados[Manutenção (%)],"&gt;"&amp;0),0)*10000)/10000)</f>
        <v>---</v>
      </c>
      <c r="H3" s="45" t="str">
        <f>IF(OR(B3="---",B3=""),"---",COUNTIF(tabDados[[#All],[Descrição Padronizada]],B3))</f>
        <v>---</v>
      </c>
      <c r="I3" s="24" t="s">
        <v>20</v>
      </c>
      <c r="J3" s="24"/>
    </row>
    <row r="4" spans="1:10" hidden="1" x14ac:dyDescent="0.35">
      <c r="A4" s="15">
        <v>2</v>
      </c>
      <c r="B4" s="11" t="str">
        <v>ancinho com cabo</v>
      </c>
      <c r="C4" s="16">
        <f t="array" ref="C4">IF(B4="","---",IFERROR(
   _xlfn.PERCENTILE.INC(
      IF((tabDados[Descrição Padronizada]=B4)*(tabDados[Valor Unitário]&lt;&gt;""),
         tabDados[Valor Unitário],""
      ),
   C$1),
   _xlfn.MINIFS(tabDados[Valor Unitário],tabDados[Descrição Padronizada],B4)
))</f>
        <v>42.82</v>
      </c>
      <c r="D4" s="16">
        <f t="array" ref="D4">IF(B4="","---",IFERROR(
   _xlfn.PERCENTILE.INC(
      IF((tabDados[Descrição Padronizada]=B4)*(tabDados[Valor Unitário]&lt;&gt;""),
         tabDados[Valor Unitário],""
      ),
   D$1),
   _xlfn.MAXIFS(tabDados[Valor Unitário],tabDados[Descrição Padronizada],B4)
))</f>
        <v>48.75</v>
      </c>
      <c r="E4" s="16">
        <f>IF(OR(B4="",B4="---"),"---",
   IFERROR(AVERAGEIFS(tabDados[Valor Unitário],tabDados[Descrição Padronizada],B4,tabDados[Valor Unitário],"&gt;="&amp;C4,tabDados[Valor Unitário],"&lt;="&amp;D4),AVERAGE(C4,D4))
)</f>
        <v>43.18333333333333</v>
      </c>
      <c r="F4" s="12">
        <f t="array" ref="F4">IF(OR(B4="",B4="---"),"---",TRUNC(IFERROR(MODE(IF((tabDados[Descrição Padronizada]=B4)*(tabDados[Vida Útil (meses)]&lt;&gt;""),tabDados[Vida Útil (meses)],"-")),AVERAGEIFS(tabDados[Vida Útil (meses)],tabDados[Descrição Padronizada],B4))+0.5))</f>
        <v>60</v>
      </c>
      <c r="G4" s="13">
        <f>IF(OR(B4="",B4="---"),"---",TRUNC(IFERROR(AVERAGEIFS(tabDados[Manutenção (%)],tabDados[Descrição Padronizada],B4,tabDados[Manutenção (%)],"&gt;"&amp;0),0)*10000)/10000)</f>
        <v>0</v>
      </c>
      <c r="H4" s="24">
        <f>IF(OR(B4="---",B4=""),"---",COUNTIF(tabDados[[#All],[Descrição Padronizada]],B4))</f>
        <v>10</v>
      </c>
      <c r="I4" s="24" t="s">
        <v>20</v>
      </c>
    </row>
    <row r="5" spans="1:10" hidden="1" x14ac:dyDescent="0.35">
      <c r="A5" s="15">
        <v>3</v>
      </c>
      <c r="B5" s="11" t="str">
        <v>aparelho gerador de ozônio</v>
      </c>
      <c r="C5" s="16">
        <f t="array" ref="C5">IF(B5="","---",IFERROR(
   _xlfn.PERCENTILE.INC(
      IF((tabDados[Descrição Padronizada]=B5)*(tabDados[Valor Unitário]&lt;&gt;""),
         tabDados[Valor Unitário],""
      ),
   C$1),
   _xlfn.MINIFS(tabDados[Valor Unitário],tabDados[Descrição Padronizada],B5)
))</f>
        <v>281.26</v>
      </c>
      <c r="D5" s="16">
        <f t="array" ref="D5">IF(B5="","---",IFERROR(
   _xlfn.PERCENTILE.INC(
      IF((tabDados[Descrição Padronizada]=B5)*(tabDados[Valor Unitário]&lt;&gt;""),
         tabDados[Valor Unitário],""
      ),
   D$1),
   _xlfn.MAXIFS(tabDados[Valor Unitário],tabDados[Descrição Padronizada],B5)
))</f>
        <v>1507.5</v>
      </c>
      <c r="E5" s="16">
        <f>IF(OR(B5="",B5="---"),"---",
   IFERROR(AVERAGEIFS(tabDados[Valor Unitário],tabDados[Descrição Padronizada],B5,tabDados[Valor Unitário],"&gt;="&amp;C5,tabDados[Valor Unitário],"&lt;="&amp;D5),AVERAGE(C5,D5))
)</f>
        <v>347.50666666666666</v>
      </c>
      <c r="F5" s="12">
        <f t="array" ref="F5">IF(OR(B5="",B5="---"),"---",TRUNC(IFERROR(MODE(IF((tabDados[Descrição Padronizada]=B5)*(tabDados[Vida Útil (meses)]&lt;&gt;""),tabDados[Vida Útil (meses)],"-")),AVERAGEIFS(tabDados[Vida Útil (meses)],tabDados[Descrição Padronizada],B5))+0.5))</f>
        <v>12</v>
      </c>
      <c r="G5" s="13">
        <f>IF(OR(B5="",B5="---"),"---",TRUNC(IFERROR(AVERAGEIFS(tabDados[Manutenção (%)],tabDados[Descrição Padronizada],B5,tabDados[Manutenção (%)],"&gt;"&amp;0),0)*10000)/10000)</f>
        <v>0.01</v>
      </c>
      <c r="H5" s="24">
        <f>IF(OR(B5="---",B5=""),"---",COUNTIF(tabDados[[#All],[Descrição Padronizada]],B5))</f>
        <v>4</v>
      </c>
      <c r="I5" s="24" t="s">
        <v>20</v>
      </c>
    </row>
    <row r="6" spans="1:10" hidden="1" x14ac:dyDescent="0.35">
      <c r="A6" s="15">
        <v>4</v>
      </c>
      <c r="B6" s="11" t="str">
        <v>aplicador costal de granulados</v>
      </c>
      <c r="C6" s="16">
        <f t="array" ref="C6">IF(B6="","---",IFERROR(
   _xlfn.PERCENTILE.INC(
      IF((tabDados[Descrição Padronizada]=B6)*(tabDados[Valor Unitário]&lt;&gt;""),
         tabDados[Valor Unitário],""
      ),
   C$1),
   _xlfn.MINIFS(tabDados[Valor Unitário],tabDados[Descrição Padronizada],B6)
))</f>
        <v>462.5</v>
      </c>
      <c r="D6" s="16">
        <f t="array" ref="D6">IF(B6="","---",IFERROR(
   _xlfn.PERCENTILE.INC(
      IF((tabDados[Descrição Padronizada]=B6)*(tabDados[Valor Unitário]&lt;&gt;""),
         tabDados[Valor Unitário],""
      ),
   D$1),
   _xlfn.MAXIFS(tabDados[Valor Unitário],tabDados[Descrição Padronizada],B6)
))</f>
        <v>747.5</v>
      </c>
      <c r="E6" s="16">
        <f>IF(OR(B6="",B6="---"),"---",
   IFERROR(AVERAGEIFS(tabDados[Valor Unitário],tabDados[Descrição Padronizada],B6,tabDados[Valor Unitário],"&gt;="&amp;C6,tabDados[Valor Unitário],"&lt;="&amp;D6),AVERAGE(C6,D6))
)</f>
        <v>650</v>
      </c>
      <c r="F6" s="12">
        <f t="array" ref="F6">IF(OR(B6="",B6="---"),"---",TRUNC(IFERROR(MODE(IF((tabDados[Descrição Padronizada]=B6)*(tabDados[Vida Útil (meses)]&lt;&gt;""),tabDados[Vida Útil (meses)],"-")),AVERAGEIFS(tabDados[Vida Útil (meses)],tabDados[Descrição Padronizada],B6))+0.5))</f>
        <v>60</v>
      </c>
      <c r="G6" s="13">
        <f>IF(OR(B6="",B6="---"),"---",TRUNC(IFERROR(AVERAGEIFS(tabDados[Manutenção (%)],tabDados[Descrição Padronizada],B6,tabDados[Manutenção (%)],"&gt;"&amp;0),0)*10000)/10000)</f>
        <v>0</v>
      </c>
      <c r="H6" s="24">
        <f>IF(OR(B6="---",B6=""),"---",COUNTIF(tabDados[[#All],[Descrição Padronizada]],B6))</f>
        <v>10</v>
      </c>
      <c r="I6" s="24" t="s">
        <v>20</v>
      </c>
    </row>
    <row r="7" spans="1:10" x14ac:dyDescent="0.35">
      <c r="A7" s="15">
        <v>5</v>
      </c>
      <c r="B7" s="11" t="str">
        <v>aplicador de cera</v>
      </c>
      <c r="C7" s="16">
        <f t="array" ref="C7">IF(B7="","---",IFERROR(
   _xlfn.PERCENTILE.INC(
      IF((tabDados[Descrição Padronizada]=B7)*(tabDados[Valor Unitário]&lt;&gt;""),
         tabDados[Valor Unitário],""
      ),
   C$1),
   _xlfn.MINIFS(tabDados[Valor Unitário],tabDados[Descrição Padronizada],B7)
))</f>
        <v>250</v>
      </c>
      <c r="D7" s="16">
        <f t="array" ref="D7">IF(B7="","---",IFERROR(
   _xlfn.PERCENTILE.INC(
      IF((tabDados[Descrição Padronizada]=B7)*(tabDados[Valor Unitário]&lt;&gt;""),
         tabDados[Valor Unitário],""
      ),
   D$1),
   _xlfn.MAXIFS(tabDados[Valor Unitário],tabDados[Descrição Padronizada],B7)
))</f>
        <v>393.58499999999998</v>
      </c>
      <c r="E7" s="16">
        <f>IF(OR(B7="",B7="---"),"---",
   IFERROR(AVERAGEIFS(tabDados[Valor Unitário],tabDados[Descrição Padronizada],B7,tabDados[Valor Unitário],"&gt;="&amp;C7,tabDados[Valor Unitário],"&lt;="&amp;D7),AVERAGE(C7,D7))
)</f>
        <v>289.94307692307694</v>
      </c>
      <c r="F7" s="12">
        <f t="array" ref="F7">IF(OR(B7="",B7="---"),"---",TRUNC(IFERROR(MODE(IF((tabDados[Descrição Padronizada]=B7)*(tabDados[Vida Útil (meses)]&lt;&gt;""),tabDados[Vida Útil (meses)],"-")),AVERAGEIFS(tabDados[Vida Útil (meses)],tabDados[Descrição Padronizada],B7))+0.5))</f>
        <v>12</v>
      </c>
      <c r="G7" s="13">
        <f>IF(OR(B7="",B7="---"),"---",TRUNC(IFERROR(AVERAGEIFS(tabDados[Manutenção (%)],tabDados[Descrição Padronizada],B7,tabDados[Manutenção (%)],"&gt;"&amp;0),0)*10000)/10000)</f>
        <v>1.2500000000000001E-2</v>
      </c>
      <c r="H7" s="24">
        <f>IF(OR(B7="---",B7=""),"---",COUNTIF(tabDados[[#All],[Descrição Padronizada]],B7))</f>
        <v>26</v>
      </c>
      <c r="I7" s="24" t="s">
        <v>19</v>
      </c>
    </row>
    <row r="8" spans="1:10" hidden="1" x14ac:dyDescent="0.35">
      <c r="A8" s="15">
        <v>6</v>
      </c>
      <c r="B8" s="11" t="str">
        <v>aplicador universal</v>
      </c>
      <c r="C8" s="16">
        <f t="array" ref="C8">IF(B8="","---",IFERROR(
   _xlfn.PERCENTILE.INC(
      IF((tabDados[Descrição Padronizada]=B8)*(tabDados[Valor Unitário]&lt;&gt;""),
         tabDados[Valor Unitário],""
      ),
   C$1),
   _xlfn.MINIFS(tabDados[Valor Unitário],tabDados[Descrição Padronizada],B8)
))</f>
        <v>59</v>
      </c>
      <c r="D8" s="16">
        <f t="array" ref="D8">IF(B8="","---",IFERROR(
   _xlfn.PERCENTILE.INC(
      IF((tabDados[Descrição Padronizada]=B8)*(tabDados[Valor Unitário]&lt;&gt;""),
         tabDados[Valor Unitário],""
      ),
   D$1),
   _xlfn.MAXIFS(tabDados[Valor Unitário],tabDados[Descrição Padronizada],B8)
))</f>
        <v>88.012499999999989</v>
      </c>
      <c r="E8" s="16">
        <f>IF(OR(B8="",B8="---"),"---",
   IFERROR(AVERAGEIFS(tabDados[Valor Unitário],tabDados[Descrição Padronizada],B8,tabDados[Valor Unitário],"&gt;="&amp;C8,tabDados[Valor Unitário],"&lt;="&amp;D8),AVERAGE(C8,D8))
)</f>
        <v>59.166666666666664</v>
      </c>
      <c r="F8" s="12">
        <f t="array" ref="F8">IF(OR(B8="",B8="---"),"---",TRUNC(IFERROR(MODE(IF((tabDados[Descrição Padronizada]=B8)*(tabDados[Vida Útil (meses)]&lt;&gt;""),tabDados[Vida Útil (meses)],"-")),AVERAGEIFS(tabDados[Vida Útil (meses)],tabDados[Descrição Padronizada],B8))+0.5))</f>
        <v>60</v>
      </c>
      <c r="G8" s="13">
        <f>IF(OR(B8="",B8="---"),"---",TRUNC(IFERROR(AVERAGEIFS(tabDados[Manutenção (%)],tabDados[Descrição Padronizada],B8,tabDados[Manutenção (%)],"&gt;"&amp;0),0)*10000)/10000)</f>
        <v>0.01</v>
      </c>
      <c r="H8" s="24">
        <f>IF(OR(B8="---",B8=""),"---",COUNTIF(tabDados[[#All],[Descrição Padronizada]],B8))</f>
        <v>10</v>
      </c>
      <c r="I8" s="24" t="s">
        <v>20</v>
      </c>
    </row>
    <row r="9" spans="1:10" hidden="1" x14ac:dyDescent="0.35">
      <c r="A9" s="15">
        <v>7</v>
      </c>
      <c r="B9" s="11" t="str">
        <v>ar condicionado</v>
      </c>
      <c r="C9" s="16">
        <f t="array" ref="C9">IF(B9="","---",IFERROR(
   _xlfn.PERCENTILE.INC(
      IF((tabDados[Descrição Padronizada]=B9)*(tabDados[Valor Unitário]&lt;&gt;""),
         tabDados[Valor Unitário],""
      ),
   C$1),
   _xlfn.MINIFS(tabDados[Valor Unitário],tabDados[Descrição Padronizada],B9)
))</f>
        <v>1100</v>
      </c>
      <c r="D9" s="16">
        <f t="array" ref="D9">IF(B9="","---",IFERROR(
   _xlfn.PERCENTILE.INC(
      IF((tabDados[Descrição Padronizada]=B9)*(tabDados[Valor Unitário]&lt;&gt;""),
         tabDados[Valor Unitário],""
      ),
   D$1),
   _xlfn.MAXIFS(tabDados[Valor Unitário],tabDados[Descrição Padronizada],B9)
))</f>
        <v>1929</v>
      </c>
      <c r="E9" s="16">
        <f>IF(OR(B9="",B9="---"),"---",
   IFERROR(AVERAGEIFS(tabDados[Valor Unitário],tabDados[Descrição Padronizada],B9,tabDados[Valor Unitário],"&gt;="&amp;C9,tabDados[Valor Unitário],"&lt;="&amp;D9),AVERAGE(C9,D9))
)</f>
        <v>1482.25</v>
      </c>
      <c r="F9" s="12">
        <f t="array" ref="F9">IF(OR(B9="",B9="---"),"---",TRUNC(IFERROR(MODE(IF((tabDados[Descrição Padronizada]=B9)*(tabDados[Vida Útil (meses)]&lt;&gt;""),tabDados[Vida Útil (meses)],"-")),AVERAGEIFS(tabDados[Vida Útil (meses)],tabDados[Descrição Padronizada],B9))+0.5))</f>
        <v>60</v>
      </c>
      <c r="G9" s="13">
        <f>IF(OR(B9="",B9="---"),"---",TRUNC(IFERROR(AVERAGEIFS(tabDados[Manutenção (%)],tabDados[Descrição Padronizada],B9,tabDados[Manutenção (%)],"&gt;"&amp;0),0)*10000)/10000)</f>
        <v>9.7999999999999997E-3</v>
      </c>
      <c r="H9" s="24">
        <f>IF(OR(B9="---",B9=""),"---",COUNTIF(tabDados[[#All],[Descrição Padronizada]],B9))</f>
        <v>5</v>
      </c>
      <c r="I9" s="24" t="s">
        <v>20</v>
      </c>
    </row>
    <row r="10" spans="1:10" hidden="1" x14ac:dyDescent="0.35">
      <c r="A10" s="15">
        <v>8</v>
      </c>
      <c r="B10" s="11" t="str">
        <v>armação bendy bit 60 cm</v>
      </c>
      <c r="C10" s="16">
        <f t="array" ref="C10">IF(B10="","---",IFERROR(
   _xlfn.PERCENTILE.INC(
      IF((tabDados[Descrição Padronizada]=B10)*(tabDados[Valor Unitário]&lt;&gt;""),
         tabDados[Valor Unitário],""
      ),
   C$1),
   _xlfn.MINIFS(tabDados[Valor Unitário],tabDados[Descrição Padronizada],B10)
))</f>
        <v>120</v>
      </c>
      <c r="D10" s="16">
        <f t="array" ref="D10">IF(B10="","---",IFERROR(
   _xlfn.PERCENTILE.INC(
      IF((tabDados[Descrição Padronizada]=B10)*(tabDados[Valor Unitário]&lt;&gt;""),
         tabDados[Valor Unitário],""
      ),
   D$1),
   _xlfn.MAXIFS(tabDados[Valor Unitário],tabDados[Descrição Padronizada],B10)
))</f>
        <v>120</v>
      </c>
      <c r="E10" s="16">
        <f>IF(OR(B10="",B10="---"),"---",
   IFERROR(AVERAGEIFS(tabDados[Valor Unitário],tabDados[Descrição Padronizada],B10,tabDados[Valor Unitário],"&gt;="&amp;C10,tabDados[Valor Unitário],"&lt;="&amp;D10),AVERAGE(C10,D10))
)</f>
        <v>120</v>
      </c>
      <c r="F10" s="12">
        <f t="array" ref="F10">IF(OR(B10="",B10="---"),"---",TRUNC(IFERROR(MODE(IF((tabDados[Descrição Padronizada]=B10)*(tabDados[Vida Útil (meses)]&lt;&gt;""),tabDados[Vida Útil (meses)],"-")),AVERAGEIFS(tabDados[Vida Útil (meses)],tabDados[Descrição Padronizada],B10))+0.5))</f>
        <v>60</v>
      </c>
      <c r="G10" s="13">
        <f>IF(OR(B10="",B10="---"),"---",TRUNC(IFERROR(AVERAGEIFS(tabDados[Manutenção (%)],tabDados[Descrição Padronizada],B10,tabDados[Manutenção (%)],"&gt;"&amp;0),0)*10000)/10000)</f>
        <v>0.01</v>
      </c>
      <c r="H10" s="24">
        <f>IF(OR(B10="---",B10=""),"---",COUNTIF(tabDados[[#All],[Descrição Padronizada]],B10))</f>
        <v>10</v>
      </c>
      <c r="I10" s="24" t="s">
        <v>20</v>
      </c>
    </row>
    <row r="11" spans="1:10" hidden="1" x14ac:dyDescent="0.35">
      <c r="A11" s="15">
        <v>9</v>
      </c>
      <c r="B11" s="11" t="str">
        <v>armário para escritório com 2 portas</v>
      </c>
      <c r="C11" s="16">
        <f t="array" ref="C11">IF(B11="","---",IFERROR(
   _xlfn.PERCENTILE.INC(
      IF((tabDados[Descrição Padronizada]=B11)*(tabDados[Valor Unitário]&lt;&gt;""),
         tabDados[Valor Unitário],""
      ),
   C$1),
   _xlfn.MINIFS(tabDados[Valor Unitário],tabDados[Descrição Padronizada],B11)
))</f>
        <v>699</v>
      </c>
      <c r="D11" s="16">
        <f t="array" ref="D11">IF(B11="","---",IFERROR(
   _xlfn.PERCENTILE.INC(
      IF((tabDados[Descrição Padronizada]=B11)*(tabDados[Valor Unitário]&lt;&gt;""),
         tabDados[Valor Unitário],""
      ),
   D$1),
   _xlfn.MAXIFS(tabDados[Valor Unitário],tabDados[Descrição Padronizada],B11)
))</f>
        <v>714.75</v>
      </c>
      <c r="E11" s="16">
        <f>IF(OR(B11="",B11="---"),"---",
   IFERROR(AVERAGEIFS(tabDados[Valor Unitário],tabDados[Descrição Padronizada],B11,tabDados[Valor Unitário],"&gt;="&amp;C11,tabDados[Valor Unitário],"&lt;="&amp;D11),AVERAGE(C11,D11))
)</f>
        <v>699</v>
      </c>
      <c r="F11" s="12">
        <f t="array" ref="F11">IF(OR(B11="",B11="---"),"---",TRUNC(IFERROR(MODE(IF((tabDados[Descrição Padronizada]=B11)*(tabDados[Vida Útil (meses)]&lt;&gt;""),tabDados[Vida Útil (meses)],"-")),AVERAGEIFS(tabDados[Vida Útil (meses)],tabDados[Descrição Padronizada],B11))+0.5))</f>
        <v>60</v>
      </c>
      <c r="G11" s="13">
        <f>IF(OR(B11="",B11="---"),"---",TRUNC(IFERROR(AVERAGEIFS(tabDados[Manutenção (%)],tabDados[Descrição Padronizada],B11,tabDados[Manutenção (%)],"&gt;"&amp;0),0)*10000)/10000)</f>
        <v>1.67E-2</v>
      </c>
      <c r="H11" s="24">
        <f>IF(OR(B11="---",B11=""),"---",COUNTIF(tabDados[[#All],[Descrição Padronizada]],B11))</f>
        <v>6</v>
      </c>
      <c r="I11" s="24" t="s">
        <v>20</v>
      </c>
    </row>
    <row r="12" spans="1:10" hidden="1" x14ac:dyDescent="0.35">
      <c r="A12" s="15">
        <v>10</v>
      </c>
      <c r="B12" s="11" t="str">
        <v>armário roupeiro de aço com 12 portas / vãos</v>
      </c>
      <c r="C12" s="16">
        <f t="array" ref="C12">IF(B12="","---",IFERROR(
   _xlfn.PERCENTILE.INC(
      IF((tabDados[Descrição Padronizada]=B12)*(tabDados[Valor Unitário]&lt;&gt;""),
         tabDados[Valor Unitário],""
      ),
   C$1),
   _xlfn.MINIFS(tabDados[Valor Unitário],tabDados[Descrição Padronizada],B12)
))</f>
        <v>875</v>
      </c>
      <c r="D12" s="16">
        <f t="array" ref="D12">IF(B12="","---",IFERROR(
   _xlfn.PERCENTILE.INC(
      IF((tabDados[Descrição Padronizada]=B12)*(tabDados[Valor Unitário]&lt;&gt;""),
         tabDados[Valor Unitário],""
      ),
   D$1),
   _xlfn.MAXIFS(tabDados[Valor Unitário],tabDados[Descrição Padronizada],B12)
))</f>
        <v>1775</v>
      </c>
      <c r="E12" s="16">
        <f>IF(OR(B12="",B12="---"),"---",
   IFERROR(AVERAGEIFS(tabDados[Valor Unitário],tabDados[Descrição Padronizada],B12,tabDados[Valor Unitário],"&gt;="&amp;C12,tabDados[Valor Unitário],"&lt;="&amp;D12),AVERAGE(C12,D12))
)</f>
        <v>950</v>
      </c>
      <c r="F12" s="12">
        <f t="array" ref="F12">IF(OR(B12="",B12="---"),"---",TRUNC(IFERROR(MODE(IF((tabDados[Descrição Padronizada]=B12)*(tabDados[Vida Útil (meses)]&lt;&gt;""),tabDados[Vida Útil (meses)],"-")),AVERAGEIFS(tabDados[Vida Útil (meses)],tabDados[Descrição Padronizada],B12))+0.5))</f>
        <v>60</v>
      </c>
      <c r="G12" s="13">
        <f>IF(OR(B12="",B12="---"),"---",TRUNC(IFERROR(AVERAGEIFS(tabDados[Manutenção (%)],tabDados[Descrição Padronizada],B12,tabDados[Manutenção (%)],"&gt;"&amp;0),0)*10000)/10000)</f>
        <v>1.67E-2</v>
      </c>
      <c r="H12" s="24">
        <f>IF(OR(B12="---",B12=""),"---",COUNTIF(tabDados[[#All],[Descrição Padronizada]],B12))</f>
        <v>3</v>
      </c>
      <c r="I12" s="24" t="s">
        <v>20</v>
      </c>
    </row>
    <row r="13" spans="1:10" hidden="1" x14ac:dyDescent="0.35">
      <c r="A13" s="15">
        <v>11</v>
      </c>
      <c r="B13" s="11" t="str">
        <v>armário roupeiro de aço com 2 portas / vãos</v>
      </c>
      <c r="C13" s="16">
        <f t="array" ref="C13">IF(B13="","---",IFERROR(
   _xlfn.PERCENTILE.INC(
      IF((tabDados[Descrição Padronizada]=B13)*(tabDados[Valor Unitário]&lt;&gt;""),
         tabDados[Valor Unitário],""
      ),
   C$1),
   _xlfn.MINIFS(tabDados[Valor Unitário],tabDados[Descrição Padronizada],B13)
))</f>
        <v>804.21</v>
      </c>
      <c r="D13" s="16">
        <f t="array" ref="D13">IF(B13="","---",IFERROR(
   _xlfn.PERCENTILE.INC(
      IF((tabDados[Descrição Padronizada]=B13)*(tabDados[Valor Unitário]&lt;&gt;""),
         tabDados[Valor Unitário],""
      ),
   D$1),
   _xlfn.MAXIFS(tabDados[Valor Unitário],tabDados[Descrição Padronizada],B13)
))</f>
        <v>1212.125</v>
      </c>
      <c r="E13" s="16">
        <f>IF(OR(B13="",B13="---"),"---",
   IFERROR(AVERAGEIFS(tabDados[Valor Unitário],tabDados[Descrição Padronizada],B13,tabDados[Valor Unitário],"&gt;="&amp;C13,tabDados[Valor Unitário],"&lt;="&amp;D13),AVERAGE(C13,D13))
)</f>
        <v>940.19599999999991</v>
      </c>
      <c r="F13" s="12">
        <f t="array" ref="F13">IF(OR(B13="",B13="---"),"---",TRUNC(IFERROR(MODE(IF((tabDados[Descrição Padronizada]=B13)*(tabDados[Vida Útil (meses)]&lt;&gt;""),tabDados[Vida Útil (meses)],"-")),AVERAGEIFS(tabDados[Vida Útil (meses)],tabDados[Descrição Padronizada],B13))+0.5))</f>
        <v>36</v>
      </c>
      <c r="G13" s="13">
        <f>IF(OR(B13="",B13="---"),"---",TRUNC(IFERROR(AVERAGEIFS(tabDados[Manutenção (%)],tabDados[Descrição Padronizada],B13,tabDados[Manutenção (%)],"&gt;"&amp;0),0)*10000)/10000)</f>
        <v>1.44E-2</v>
      </c>
      <c r="H13" s="24">
        <f>IF(OR(B13="---",B13=""),"---",COUNTIF(tabDados[[#All],[Descrição Padronizada]],B13))</f>
        <v>8</v>
      </c>
      <c r="I13" s="24" t="s">
        <v>20</v>
      </c>
    </row>
    <row r="14" spans="1:10" hidden="1" x14ac:dyDescent="0.35">
      <c r="A14" s="15">
        <v>12</v>
      </c>
      <c r="B14" s="11" t="str">
        <v>armário roupeiro de aço com 20 portas / vãos</v>
      </c>
      <c r="C14" s="16">
        <f t="array" ref="C14">IF(B14="","---",IFERROR(
   _xlfn.PERCENTILE.INC(
      IF((tabDados[Descrição Padronizada]=B14)*(tabDados[Valor Unitário]&lt;&gt;""),
         tabDados[Valor Unitário],""
      ),
   C$1),
   _xlfn.MINIFS(tabDados[Valor Unitário],tabDados[Descrição Padronizada],B14)
))</f>
        <v>1407</v>
      </c>
      <c r="D14" s="16">
        <f t="array" ref="D14">IF(B14="","---",IFERROR(
   _xlfn.PERCENTILE.INC(
      IF((tabDados[Descrição Padronizada]=B14)*(tabDados[Valor Unitário]&lt;&gt;""),
         tabDados[Valor Unitário],""
      ),
   D$1),
   _xlfn.MAXIFS(tabDados[Valor Unitário],tabDados[Descrição Padronizada],B14)
))</f>
        <v>1407</v>
      </c>
      <c r="E14" s="16">
        <f>IF(OR(B14="",B14="---"),"---",
   IFERROR(AVERAGEIFS(tabDados[Valor Unitário],tabDados[Descrição Padronizada],B14,tabDados[Valor Unitário],"&gt;="&amp;C14,tabDados[Valor Unitário],"&lt;="&amp;D14),AVERAGE(C14,D14))
)</f>
        <v>1407</v>
      </c>
      <c r="F14" s="12">
        <f t="array" ref="F14">IF(OR(B14="",B14="---"),"---",TRUNC(IFERROR(MODE(IF((tabDados[Descrição Padronizada]=B14)*(tabDados[Vida Útil (meses)]&lt;&gt;""),tabDados[Vida Útil (meses)],"-")),AVERAGEIFS(tabDados[Vida Útil (meses)],tabDados[Descrição Padronizada],B14))+0.5))</f>
        <v>60</v>
      </c>
      <c r="G14" s="13">
        <f>IF(OR(B14="",B14="---"),"---",TRUNC(IFERROR(AVERAGEIFS(tabDados[Manutenção (%)],tabDados[Descrição Padronizada],B14,tabDados[Manutenção (%)],"&gt;"&amp;0),0)*10000)/10000)</f>
        <v>1.67E-2</v>
      </c>
      <c r="H14" s="24">
        <f>IF(OR(B14="---",B14=""),"---",COUNTIF(tabDados[[#All],[Descrição Padronizada]],B14))</f>
        <v>1</v>
      </c>
      <c r="I14" s="24" t="s">
        <v>20</v>
      </c>
    </row>
    <row r="15" spans="1:10" hidden="1" x14ac:dyDescent="0.35">
      <c r="A15" s="15">
        <v>13</v>
      </c>
      <c r="B15" s="11" t="str">
        <v>armário roupeiro de aço com 4 portas / vãos</v>
      </c>
      <c r="C15" s="16">
        <f t="array" ref="C15">IF(B15="","---",IFERROR(
   _xlfn.PERCENTILE.INC(
      IF((tabDados[Descrição Padronizada]=B15)*(tabDados[Valor Unitário]&lt;&gt;""),
         tabDados[Valor Unitário],""
      ),
   C$1),
   _xlfn.MINIFS(tabDados[Valor Unitário],tabDados[Descrição Padronizada],B15)
))</f>
        <v>725.495</v>
      </c>
      <c r="D15" s="16">
        <f t="array" ref="D15">IF(B15="","---",IFERROR(
   _xlfn.PERCENTILE.INC(
      IF((tabDados[Descrição Padronizada]=B15)*(tabDados[Valor Unitário]&lt;&gt;""),
         tabDados[Valor Unitário],""
      ),
   D$1),
   _xlfn.MAXIFS(tabDados[Valor Unitário],tabDados[Descrição Padronizada],B15)
))</f>
        <v>1169.4099999999999</v>
      </c>
      <c r="E15" s="16">
        <f>IF(OR(B15="",B15="---"),"---",
   IFERROR(AVERAGEIFS(tabDados[Valor Unitário],tabDados[Descrição Padronizada],B15,tabDados[Valor Unitário],"&gt;="&amp;C15,tabDados[Valor Unitário],"&lt;="&amp;D15),AVERAGE(C15,D15))
)</f>
        <v>951</v>
      </c>
      <c r="F15" s="12">
        <f t="array" ref="F15">IF(OR(B15="",B15="---"),"---",TRUNC(IFERROR(MODE(IF((tabDados[Descrição Padronizada]=B15)*(tabDados[Vida Útil (meses)]&lt;&gt;""),tabDados[Vida Útil (meses)],"-")),AVERAGEIFS(tabDados[Vida Útil (meses)],tabDados[Descrição Padronizada],B15))+0.5))</f>
        <v>60</v>
      </c>
      <c r="G15" s="13">
        <f>IF(OR(B15="",B15="---"),"---",TRUNC(IFERROR(AVERAGEIFS(tabDados[Manutenção (%)],tabDados[Descrição Padronizada],B15,tabDados[Manutenção (%)],"&gt;"&amp;0),0)*10000)/10000)</f>
        <v>1.67E-2</v>
      </c>
      <c r="H15" s="24">
        <f>IF(OR(B15="---",B15=""),"---",COUNTIF(tabDados[[#All],[Descrição Padronizada]],B15))</f>
        <v>3</v>
      </c>
      <c r="I15" s="24" t="s">
        <v>20</v>
      </c>
    </row>
    <row r="16" spans="1:10" x14ac:dyDescent="0.35">
      <c r="A16" s="15">
        <v>14</v>
      </c>
      <c r="B16" s="11" t="str">
        <v>armário roupeiro de aço com 8 portas / vãos</v>
      </c>
      <c r="C16" s="16">
        <f t="array" ref="C16">IF(B16="","---",IFERROR(
   _xlfn.PERCENTILE.INC(
      IF((tabDados[Descrição Padronizada]=B16)*(tabDados[Valor Unitário]&lt;&gt;""),
         tabDados[Valor Unitário],""
      ),
   C$1),
   _xlfn.MINIFS(tabDados[Valor Unitário],tabDados[Descrição Padronizada],B16)
))</f>
        <v>622.5</v>
      </c>
      <c r="D16" s="16">
        <f t="array" ref="D16">IF(B16="","---",IFERROR(
   _xlfn.PERCENTILE.INC(
      IF((tabDados[Descrição Padronizada]=B16)*(tabDados[Valor Unitário]&lt;&gt;""),
         tabDados[Valor Unitário],""
      ),
   D$1),
   _xlfn.MAXIFS(tabDados[Valor Unitário],tabDados[Descrição Padronizada],B16)
))</f>
        <v>1300</v>
      </c>
      <c r="E16" s="16">
        <f>IF(OR(B16="",B16="---"),"---",
   IFERROR(AVERAGEIFS(tabDados[Valor Unitário],tabDados[Descrição Padronizada],B16,tabDados[Valor Unitário],"&gt;="&amp;C16,tabDados[Valor Unitário],"&lt;="&amp;D16),AVERAGE(C16,D16))
)</f>
        <v>967.26071428571413</v>
      </c>
      <c r="F16" s="12">
        <f t="array" ref="F16">IF(OR(B16="",B16="---"),"---",TRUNC(IFERROR(MODE(IF((tabDados[Descrição Padronizada]=B16)*(tabDados[Vida Útil (meses)]&lt;&gt;""),tabDados[Vida Útil (meses)],"-")),AVERAGEIFS(tabDados[Vida Útil (meses)],tabDados[Descrição Padronizada],B16))+0.5))</f>
        <v>60</v>
      </c>
      <c r="G16" s="13">
        <f>IF(OR(B16="",B16="---"),"---",TRUNC(IFERROR(AVERAGEIFS(tabDados[Manutenção (%)],tabDados[Descrição Padronizada],B16,tabDados[Manutenção (%)],"&gt;"&amp;0),0)*10000)/10000)</f>
        <v>1.5100000000000001E-2</v>
      </c>
      <c r="H16" s="24">
        <f>IF(OR(B16="---",B16=""),"---",COUNTIF(tabDados[[#All],[Descrição Padronizada]],B16))</f>
        <v>50</v>
      </c>
      <c r="I16" s="24" t="s">
        <v>19</v>
      </c>
    </row>
    <row r="17" spans="1:9" hidden="1" x14ac:dyDescent="0.35">
      <c r="A17" s="15">
        <v>15</v>
      </c>
      <c r="B17" s="11" t="str">
        <v>arquivo de aço com 4 gavetas</v>
      </c>
      <c r="C17" s="16">
        <f t="array" ref="C17">IF(B17="","---",IFERROR(
   _xlfn.PERCENTILE.INC(
      IF((tabDados[Descrição Padronizada]=B17)*(tabDados[Valor Unitário]&lt;&gt;""),
         tabDados[Valor Unitário],""
      ),
   C$1),
   _xlfn.MINIFS(tabDados[Valor Unitário],tabDados[Descrição Padronizada],B17)
))</f>
        <v>572.49749999999995</v>
      </c>
      <c r="D17" s="16">
        <f t="array" ref="D17">IF(B17="","---",IFERROR(
   _xlfn.PERCENTILE.INC(
      IF((tabDados[Descrição Padronizada]=B17)*(tabDados[Valor Unitário]&lt;&gt;""),
         tabDados[Valor Unitário],""
      ),
   D$1),
   _xlfn.MAXIFS(tabDados[Valor Unitário],tabDados[Descrição Padronizada],B17)
))</f>
        <v>808.1</v>
      </c>
      <c r="E17" s="16">
        <f>IF(OR(B17="",B17="---"),"---",
   IFERROR(AVERAGEIFS(tabDados[Valor Unitário],tabDados[Descrição Padronizada],B17,tabDados[Valor Unitário],"&gt;="&amp;C17,tabDados[Valor Unitário],"&lt;="&amp;D17),AVERAGE(C17,D17))
)</f>
        <v>637.75250000000005</v>
      </c>
      <c r="F17" s="12">
        <f t="array" ref="F17">IF(OR(B17="",B17="---"),"---",TRUNC(IFERROR(MODE(IF((tabDados[Descrição Padronizada]=B17)*(tabDados[Vida Útil (meses)]&lt;&gt;""),tabDados[Vida Útil (meses)],"-")),AVERAGEIFS(tabDados[Vida Útil (meses)],tabDados[Descrição Padronizada],B17))+0.5))</f>
        <v>36</v>
      </c>
      <c r="G17" s="13">
        <f>IF(OR(B17="",B17="---"),"---",TRUNC(IFERROR(AVERAGEIFS(tabDados[Manutenção (%)],tabDados[Descrição Padronizada],B17,tabDados[Manutenção (%)],"&gt;"&amp;0),0)*10000)/10000)</f>
        <v>1.44E-2</v>
      </c>
      <c r="H17" s="24">
        <f>IF(OR(B17="---",B17=""),"---",COUNTIF(tabDados[[#All],[Descrição Padronizada]],B17))</f>
        <v>8</v>
      </c>
      <c r="I17" s="24" t="s">
        <v>20</v>
      </c>
    </row>
    <row r="18" spans="1:9" x14ac:dyDescent="0.35">
      <c r="A18" s="15">
        <v>16</v>
      </c>
      <c r="B18" s="11" t="str">
        <v>aspirador de pó</v>
      </c>
      <c r="C18" s="16">
        <f t="array" ref="C18">IF(B18="","---",IFERROR(
   _xlfn.PERCENTILE.INC(
      IF((tabDados[Descrição Padronizada]=B18)*(tabDados[Valor Unitário]&lt;&gt;""),
         tabDados[Valor Unitário],""
      ),
   C$1),
   _xlfn.MINIFS(tabDados[Valor Unitário],tabDados[Descrição Padronizada],B18)
))</f>
        <v>600</v>
      </c>
      <c r="D18" s="16">
        <f t="array" ref="D18">IF(B18="","---",IFERROR(
   _xlfn.PERCENTILE.INC(
      IF((tabDados[Descrição Padronizada]=B18)*(tabDados[Valor Unitário]&lt;&gt;""),
         tabDados[Valor Unitário],""
      ),
   D$1),
   _xlfn.MAXIFS(tabDados[Valor Unitário],tabDados[Descrição Padronizada],B18)
))</f>
        <v>1828.095</v>
      </c>
      <c r="E18" s="16">
        <f>IF(OR(B18="",B18="---"),"---",
   IFERROR(AVERAGEIFS(tabDados[Valor Unitário],tabDados[Descrição Padronizada],B18,tabDados[Valor Unitário],"&gt;="&amp;C18,tabDados[Valor Unitário],"&lt;="&amp;D18),AVERAGE(C18,D18))
)</f>
        <v>912.89478260869578</v>
      </c>
      <c r="F18" s="12">
        <f t="array" ref="F18">IF(OR(B18="",B18="---"),"---",TRUNC(IFERROR(MODE(IF((tabDados[Descrição Padronizada]=B18)*(tabDados[Vida Útil (meses)]&lt;&gt;""),tabDados[Vida Útil (meses)],"-")),AVERAGEIFS(tabDados[Vida Útil (meses)],tabDados[Descrição Padronizada],B18))+0.5))</f>
        <v>60</v>
      </c>
      <c r="G18" s="13">
        <f>IF(OR(B18="",B18="---"),"---",TRUNC(IFERROR(AVERAGEIFS(tabDados[Manutenção (%)],tabDados[Descrição Padronizada],B18,tabDados[Manutenção (%)],"&gt;"&amp;0),0)*10000)/10000)</f>
        <v>1.0699999999999999E-2</v>
      </c>
      <c r="H18" s="24">
        <f>IF(OR(B18="---",B18=""),"---",COUNTIF(tabDados[[#All],[Descrição Padronizada]],B18))</f>
        <v>54</v>
      </c>
      <c r="I18" s="24" t="s">
        <v>19</v>
      </c>
    </row>
    <row r="19" spans="1:9" x14ac:dyDescent="0.35">
      <c r="A19" s="15">
        <v>17</v>
      </c>
      <c r="B19" s="11" t="str">
        <v>aspirador de pó e água</v>
      </c>
      <c r="C19" s="16">
        <f t="array" ref="C19">IF(B19="","---",IFERROR(
   _xlfn.PERCENTILE.INC(
      IF((tabDados[Descrição Padronizada]=B19)*(tabDados[Valor Unitário]&lt;&gt;""),
         tabDados[Valor Unitário],""
      ),
   C$1),
   _xlfn.MINIFS(tabDados[Valor Unitário],tabDados[Descrição Padronizada],B19)
))</f>
        <v>376</v>
      </c>
      <c r="D19" s="16">
        <f t="array" ref="D19">IF(B19="","---",IFERROR(
   _xlfn.PERCENTILE.INC(
      IF((tabDados[Descrição Padronizada]=B19)*(tabDados[Valor Unitário]&lt;&gt;""),
         tabDados[Valor Unitário],""
      ),
   D$1),
   _xlfn.MAXIFS(tabDados[Valor Unitário],tabDados[Descrição Padronizada],B19)
))</f>
        <v>2508.9324999999999</v>
      </c>
      <c r="E19" s="16">
        <f>IF(OR(B19="",B19="---"),"---",
   IFERROR(AVERAGEIFS(tabDados[Valor Unitário],tabDados[Descrição Padronizada],B19,tabDados[Valor Unitário],"&gt;="&amp;C19,tabDados[Valor Unitário],"&lt;="&amp;D19),AVERAGE(C19,D19))
)</f>
        <v>1442.3150000000003</v>
      </c>
      <c r="F19" s="12">
        <f t="array" ref="F19">IF(OR(B19="",B19="---"),"---",TRUNC(IFERROR(MODE(IF((tabDados[Descrição Padronizada]=B19)*(tabDados[Vida Útil (meses)]&lt;&gt;""),tabDados[Vida Útil (meses)],"-")),AVERAGEIFS(tabDados[Vida Útil (meses)],tabDados[Descrição Padronizada],B19))+0.5))</f>
        <v>60</v>
      </c>
      <c r="G19" s="13">
        <f>IF(OR(B19="",B19="---"),"---",TRUNC(IFERROR(AVERAGEIFS(tabDados[Manutenção (%)],tabDados[Descrição Padronizada],B19,tabDados[Manutenção (%)],"&gt;"&amp;0),0)*10000)/10000)</f>
        <v>2.2800000000000001E-2</v>
      </c>
      <c r="H19" s="24">
        <f>IF(OR(B19="---",B19=""),"---",COUNTIF(tabDados[[#All],[Descrição Padronizada]],B19))</f>
        <v>144</v>
      </c>
      <c r="I19" s="24" t="s">
        <v>19</v>
      </c>
    </row>
    <row r="20" spans="1:9" hidden="1" x14ac:dyDescent="0.35">
      <c r="A20" s="15">
        <v>18</v>
      </c>
      <c r="B20" s="11" t="str">
        <v>balde de 10 l</v>
      </c>
      <c r="C20" s="16">
        <f t="array" ref="C20">IF(B20="","---",IFERROR(
   _xlfn.PERCENTILE.INC(
      IF((tabDados[Descrição Padronizada]=B20)*(tabDados[Valor Unitário]&lt;&gt;""),
         tabDados[Valor Unitário],""
      ),
   C$1),
   _xlfn.MINIFS(tabDados[Valor Unitário],tabDados[Descrição Padronizada],B20)
))</f>
        <v>10</v>
      </c>
      <c r="D20" s="16">
        <f t="array" ref="D20">IF(B20="","---",IFERROR(
   _xlfn.PERCENTILE.INC(
      IF((tabDados[Descrição Padronizada]=B20)*(tabDados[Valor Unitário]&lt;&gt;""),
         tabDados[Valor Unitário],""
      ),
   D$1),
   _xlfn.MAXIFS(tabDados[Valor Unitário],tabDados[Descrição Padronizada],B20)
))</f>
        <v>15.575000000000001</v>
      </c>
      <c r="E20" s="16">
        <f>IF(OR(B20="",B20="---"),"---",
   IFERROR(AVERAGEIFS(tabDados[Valor Unitário],tabDados[Descrição Padronizada],B20,tabDados[Valor Unitário],"&gt;="&amp;C20,tabDados[Valor Unitário],"&lt;="&amp;D20),AVERAGE(C20,D20))
)</f>
        <v>10.485714285714286</v>
      </c>
      <c r="F20" s="12">
        <f t="array" ref="F20">IF(OR(B20="",B20="---"),"---",TRUNC(IFERROR(MODE(IF((tabDados[Descrição Padronizada]=B20)*(tabDados[Vida Útil (meses)]&lt;&gt;""),tabDados[Vida Útil (meses)],"-")),AVERAGEIFS(tabDados[Vida Útil (meses)],tabDados[Descrição Padronizada],B20))+0.5))</f>
        <v>36</v>
      </c>
      <c r="G20" s="13">
        <f>IF(OR(B20="",B20="---"),"---",TRUNC(IFERROR(AVERAGEIFS(tabDados[Manutenção (%)],tabDados[Descrição Padronizada],B20,tabDados[Manutenção (%)],"&gt;"&amp;0),0)*10000)/10000)</f>
        <v>1.3299999999999999E-2</v>
      </c>
      <c r="H20" s="24">
        <f>IF(OR(B20="---",B20=""),"---",COUNTIF(tabDados[[#All],[Descrição Padronizada]],B20))</f>
        <v>10</v>
      </c>
      <c r="I20" s="24" t="s">
        <v>20</v>
      </c>
    </row>
    <row r="21" spans="1:9" x14ac:dyDescent="0.35">
      <c r="A21" s="15">
        <v>19</v>
      </c>
      <c r="B21" s="11" t="str">
        <v>balde de 15 l</v>
      </c>
      <c r="C21" s="16">
        <f t="array" ref="C21">IF(B21="","---",IFERROR(
   _xlfn.PERCENTILE.INC(
      IF((tabDados[Descrição Padronizada]=B21)*(tabDados[Valor Unitário]&lt;&gt;""),
         tabDados[Valor Unitário],""
      ),
   C$1),
   _xlfn.MINIFS(tabDados[Valor Unitário],tabDados[Descrição Padronizada],B21)
))</f>
        <v>11</v>
      </c>
      <c r="D21" s="16">
        <f t="array" ref="D21">IF(B21="","---",IFERROR(
   _xlfn.PERCENTILE.INC(
      IF((tabDados[Descrição Padronizada]=B21)*(tabDados[Valor Unitário]&lt;&gt;""),
         tabDados[Valor Unitário],""
      ),
   D$1),
   _xlfn.MAXIFS(tabDados[Valor Unitário],tabDados[Descrição Padronizada],B21)
))</f>
        <v>50.875</v>
      </c>
      <c r="E21" s="16">
        <f>IF(OR(B21="",B21="---"),"---",
   IFERROR(AVERAGEIFS(tabDados[Valor Unitário],tabDados[Descrição Padronizada],B21,tabDados[Valor Unitário],"&gt;="&amp;C21,tabDados[Valor Unitário],"&lt;="&amp;D21),AVERAGE(C21,D21))
)</f>
        <v>14.372941176470588</v>
      </c>
      <c r="F21" s="12">
        <f t="array" ref="F21">IF(OR(B21="",B21="---"),"---",TRUNC(IFERROR(MODE(IF((tabDados[Descrição Padronizada]=B21)*(tabDados[Vida Útil (meses)]&lt;&gt;""),tabDados[Vida Útil (meses)],"-")),AVERAGEIFS(tabDados[Vida Útil (meses)],tabDados[Descrição Padronizada],B21))+0.5))</f>
        <v>12</v>
      </c>
      <c r="G21" s="13">
        <f>IF(OR(B21="",B21="---"),"---",TRUNC(IFERROR(AVERAGEIFS(tabDados[Manutenção (%)],tabDados[Descrição Padronizada],B21,tabDados[Manutenção (%)],"&gt;"&amp;0),0)*10000)/10000)</f>
        <v>0</v>
      </c>
      <c r="H21" s="24">
        <f>IF(OR(B21="---",B21=""),"---",COUNTIF(tabDados[[#All],[Descrição Padronizada]],B21))</f>
        <v>46</v>
      </c>
      <c r="I21" s="24" t="s">
        <v>19</v>
      </c>
    </row>
    <row r="22" spans="1:9" hidden="1" x14ac:dyDescent="0.35">
      <c r="A22" s="15">
        <v>20</v>
      </c>
      <c r="B22" s="11" t="str">
        <v>balde de 20 l</v>
      </c>
      <c r="C22" s="16">
        <f t="array" ref="C22">IF(B22="","---",IFERROR(
   _xlfn.PERCENTILE.INC(
      IF((tabDados[Descrição Padronizada]=B22)*(tabDados[Valor Unitário]&lt;&gt;""),
         tabDados[Valor Unitário],""
      ),
   C$1),
   _xlfn.MINIFS(tabDados[Valor Unitário],tabDados[Descrição Padronizada],B22)
))</f>
        <v>18</v>
      </c>
      <c r="D22" s="16">
        <f t="array" ref="D22">IF(B22="","---",IFERROR(
   _xlfn.PERCENTILE.INC(
      IF((tabDados[Descrição Padronizada]=B22)*(tabDados[Valor Unitário]&lt;&gt;""),
         tabDados[Valor Unitário],""
      ),
   D$1),
   _xlfn.MAXIFS(tabDados[Valor Unitário],tabDados[Descrição Padronizada],B22)
))</f>
        <v>20.524999999999999</v>
      </c>
      <c r="E22" s="16">
        <f>IF(OR(B22="",B22="---"),"---",
   IFERROR(AVERAGEIFS(tabDados[Valor Unitário],tabDados[Descrição Padronizada],B22,tabDados[Valor Unitário],"&gt;="&amp;C22,tabDados[Valor Unitário],"&lt;="&amp;D22),AVERAGE(C22,D22))
)</f>
        <v>18.285714285714285</v>
      </c>
      <c r="F22" s="12">
        <f t="array" ref="F22">IF(OR(B22="",B22="---"),"---",TRUNC(IFERROR(MODE(IF((tabDados[Descrição Padronizada]=B22)*(tabDados[Vida Útil (meses)]&lt;&gt;""),tabDados[Vida Útil (meses)],"-")),AVERAGEIFS(tabDados[Vida Útil (meses)],tabDados[Descrição Padronizada],B22))+0.5))</f>
        <v>36</v>
      </c>
      <c r="G22" s="13">
        <f>IF(OR(B22="",B22="---"),"---",TRUNC(IFERROR(AVERAGEIFS(tabDados[Manutenção (%)],tabDados[Descrição Padronizada],B22,tabDados[Manutenção (%)],"&gt;"&amp;0),0)*10000)/10000)</f>
        <v>1.3299999999999999E-2</v>
      </c>
      <c r="H22" s="24">
        <f>IF(OR(B22="---",B22=""),"---",COUNTIF(tabDados[[#All],[Descrição Padronizada]],B22))</f>
        <v>10</v>
      </c>
      <c r="I22" s="24" t="s">
        <v>20</v>
      </c>
    </row>
    <row r="23" spans="1:9" hidden="1" x14ac:dyDescent="0.35">
      <c r="A23" s="15">
        <v>21</v>
      </c>
      <c r="B23" s="11" t="str">
        <v>balde de 4 l</v>
      </c>
      <c r="C23" s="16">
        <f t="array" ref="C23">IF(B23="","---",IFERROR(
   _xlfn.PERCENTILE.INC(
      IF((tabDados[Descrição Padronizada]=B23)*(tabDados[Valor Unitário]&lt;&gt;""),
         tabDados[Valor Unitário],""
      ),
   C$1),
   _xlfn.MINIFS(tabDados[Valor Unitário],tabDados[Descrição Padronizada],B23)
))</f>
        <v>26.9</v>
      </c>
      <c r="D23" s="16">
        <f t="array" ref="D23">IF(B23="","---",IFERROR(
   _xlfn.PERCENTILE.INC(
      IF((tabDados[Descrição Padronizada]=B23)*(tabDados[Valor Unitário]&lt;&gt;""),
         tabDados[Valor Unitário],""
      ),
   D$1),
   _xlfn.MAXIFS(tabDados[Valor Unitário],tabDados[Descrição Padronizada],B23)
))</f>
        <v>29.59</v>
      </c>
      <c r="E23" s="16">
        <f>IF(OR(B23="",B23="---"),"---",
   IFERROR(AVERAGEIFS(tabDados[Valor Unitário],tabDados[Descrição Padronizada],B23,tabDados[Valor Unitário],"&gt;="&amp;C23,tabDados[Valor Unitário],"&lt;="&amp;D23),AVERAGE(C23,D23))
)</f>
        <v>26.900000000000002</v>
      </c>
      <c r="F23" s="12">
        <f t="array" ref="F23">IF(OR(B23="",B23="---"),"---",TRUNC(IFERROR(MODE(IF((tabDados[Descrição Padronizada]=B23)*(tabDados[Vida Útil (meses)]&lt;&gt;""),tabDados[Vida Útil (meses)],"-")),AVERAGEIFS(tabDados[Vida Útil (meses)],tabDados[Descrição Padronizada],B23))+0.5))</f>
        <v>12</v>
      </c>
      <c r="G23" s="13">
        <f>IF(OR(B23="",B23="---"),"---",TRUNC(IFERROR(AVERAGEIFS(tabDados[Manutenção (%)],tabDados[Descrição Padronizada],B23,tabDados[Manutenção (%)],"&gt;"&amp;0),0)*10000)/10000)</f>
        <v>0</v>
      </c>
      <c r="H23" s="24">
        <f>IF(OR(B23="---",B23=""),"---",COUNTIF(tabDados[[#All],[Descrição Padronizada]],B23))</f>
        <v>11</v>
      </c>
      <c r="I23" s="24" t="s">
        <v>20</v>
      </c>
    </row>
    <row r="24" spans="1:9" hidden="1" x14ac:dyDescent="0.35">
      <c r="A24" s="15">
        <v>22</v>
      </c>
      <c r="B24" s="11" t="str">
        <v>balde espremedor</v>
      </c>
      <c r="C24" s="16">
        <f t="array" ref="C24">IF(B24="","---",IFERROR(
   _xlfn.PERCENTILE.INC(
      IF((tabDados[Descrição Padronizada]=B24)*(tabDados[Valor Unitário]&lt;&gt;""),
         tabDados[Valor Unitário],""
      ),
   C$1),
   _xlfn.MINIFS(tabDados[Valor Unitário],tabDados[Descrição Padronizada],B24)
))</f>
        <v>217.2</v>
      </c>
      <c r="D24" s="16">
        <f t="array" ref="D24">IF(B24="","---",IFERROR(
   _xlfn.PERCENTILE.INC(
      IF((tabDados[Descrição Padronizada]=B24)*(tabDados[Valor Unitário]&lt;&gt;""),
         tabDados[Valor Unitário],""
      ),
   D$1),
   _xlfn.MAXIFS(tabDados[Valor Unitário],tabDados[Descrição Padronizada],B24)
))</f>
        <v>272.5</v>
      </c>
      <c r="E24" s="16">
        <f>IF(OR(B24="",B24="---"),"---",
   IFERROR(AVERAGEIFS(tabDados[Valor Unitário],tabDados[Descrição Padronizada],B24,tabDados[Valor Unitário],"&gt;="&amp;C24,tabDados[Valor Unitário],"&lt;="&amp;D24),AVERAGE(C24,D24))
)</f>
        <v>232.36222222222224</v>
      </c>
      <c r="F24" s="12">
        <f t="array" ref="F24">IF(OR(B24="",B24="---"),"---",TRUNC(IFERROR(MODE(IF((tabDados[Descrição Padronizada]=B24)*(tabDados[Vida Útil (meses)]&lt;&gt;""),tabDados[Vida Útil (meses)],"-")),AVERAGEIFS(tabDados[Vida Útil (meses)],tabDados[Descrição Padronizada],B24))+0.5))</f>
        <v>60</v>
      </c>
      <c r="G24" s="13">
        <f>IF(OR(B24="",B24="---"),"---",TRUNC(IFERROR(AVERAGEIFS(tabDados[Manutenção (%)],tabDados[Descrição Padronizada],B24,tabDados[Manutenção (%)],"&gt;"&amp;0),0)*10000)/10000)</f>
        <v>1.4999999999999999E-2</v>
      </c>
      <c r="H24" s="24">
        <f>IF(OR(B24="---",B24=""),"---",COUNTIF(tabDados[[#All],[Descrição Padronizada]],B24))</f>
        <v>18</v>
      </c>
      <c r="I24" s="24" t="s">
        <v>20</v>
      </c>
    </row>
    <row r="25" spans="1:9" x14ac:dyDescent="0.35">
      <c r="A25" s="15">
        <v>23</v>
      </c>
      <c r="B25" s="11" t="str">
        <v>balde espremedor duplo</v>
      </c>
      <c r="C25" s="16">
        <f t="array" ref="C25">IF(B25="","---",IFERROR(
   _xlfn.PERCENTILE.INC(
      IF((tabDados[Descrição Padronizada]=B25)*(tabDados[Valor Unitário]&lt;&gt;""),
         tabDados[Valor Unitário],""
      ),
   C$1),
   _xlfn.MINIFS(tabDados[Valor Unitário],tabDados[Descrição Padronizada],B25)
))</f>
        <v>250</v>
      </c>
      <c r="D25" s="16">
        <f t="array" ref="D25">IF(B25="","---",IFERROR(
   _xlfn.PERCENTILE.INC(
      IF((tabDados[Descrição Padronizada]=B25)*(tabDados[Valor Unitário]&lt;&gt;""),
         tabDados[Valor Unitário],""
      ),
   D$1),
   _xlfn.MAXIFS(tabDados[Valor Unitário],tabDados[Descrição Padronizada],B25)
))</f>
        <v>510</v>
      </c>
      <c r="E25" s="16">
        <f>IF(OR(B25="",B25="---"),"---",
   IFERROR(AVERAGEIFS(tabDados[Valor Unitário],tabDados[Descrição Padronizada],B25,tabDados[Valor Unitário],"&gt;="&amp;C25,tabDados[Valor Unitário],"&lt;="&amp;D25),AVERAGE(C25,D25))
)</f>
        <v>392.96386363636361</v>
      </c>
      <c r="F25" s="12">
        <f t="array" ref="F25">IF(OR(B25="",B25="---"),"---",TRUNC(IFERROR(MODE(IF((tabDados[Descrição Padronizada]=B25)*(tabDados[Vida Útil (meses)]&lt;&gt;""),tabDados[Vida Útil (meses)],"-")),AVERAGEIFS(tabDados[Vida Útil (meses)],tabDados[Descrição Padronizada],B25))+0.5))</f>
        <v>60</v>
      </c>
      <c r="G25" s="13">
        <f>IF(OR(B25="",B25="---"),"---",TRUNC(IFERROR(AVERAGEIFS(tabDados[Manutenção (%)],tabDados[Descrição Padronizada],B25,tabDados[Manutenção (%)],"&gt;"&amp;0),0)*10000)/10000)</f>
        <v>1.4999999999999999E-2</v>
      </c>
      <c r="H25" s="24">
        <f>IF(OR(B25="---",B25=""),"---",COUNTIF(tabDados[[#All],[Descrição Padronizada]],B25))</f>
        <v>73</v>
      </c>
      <c r="I25" s="24" t="s">
        <v>19</v>
      </c>
    </row>
    <row r="26" spans="1:9" hidden="1" x14ac:dyDescent="0.35">
      <c r="A26" s="15">
        <v>24</v>
      </c>
      <c r="B26" s="11" t="str">
        <v>cabo 1,40 m com rosca</v>
      </c>
      <c r="C26" s="16">
        <f t="array" ref="C26">IF(B26="","---",IFERROR(
   _xlfn.PERCENTILE.INC(
      IF((tabDados[Descrição Padronizada]=B26)*(tabDados[Valor Unitário]&lt;&gt;""),
         tabDados[Valor Unitário],""
      ),
   C$1),
   _xlfn.MINIFS(tabDados[Valor Unitário],tabDados[Descrição Padronizada],B26)
))</f>
        <v>43.16</v>
      </c>
      <c r="D26" s="16">
        <f t="array" ref="D26">IF(B26="","---",IFERROR(
   _xlfn.PERCENTILE.INC(
      IF((tabDados[Descrição Padronizada]=B26)*(tabDados[Valor Unitário]&lt;&gt;""),
         tabDados[Valor Unitário],""
      ),
   D$1),
   _xlfn.MAXIFS(tabDados[Valor Unitário],tabDados[Descrição Padronizada],B26)
))</f>
        <v>50.64</v>
      </c>
      <c r="E26" s="16">
        <f>IF(OR(B26="",B26="---"),"---",
   IFERROR(AVERAGEIFS(tabDados[Valor Unitário],tabDados[Descrição Padronizada],B26,tabDados[Valor Unitário],"&gt;="&amp;C26,tabDados[Valor Unitário],"&lt;="&amp;D26),AVERAGE(C26,D26))
)</f>
        <v>45.466249999999988</v>
      </c>
      <c r="F26" s="12">
        <f t="array" ref="F26">IF(OR(B26="",B26="---"),"---",TRUNC(IFERROR(MODE(IF((tabDados[Descrição Padronizada]=B26)*(tabDados[Vida Útil (meses)]&lt;&gt;""),tabDados[Vida Útil (meses)],"-")),AVERAGEIFS(tabDados[Vida Útil (meses)],tabDados[Descrição Padronizada],B26))+0.5))</f>
        <v>60</v>
      </c>
      <c r="G26" s="13">
        <f>IF(OR(B26="",B26="---"),"---",TRUNC(IFERROR(AVERAGEIFS(tabDados[Manutenção (%)],tabDados[Descrição Padronizada],B26,tabDados[Manutenção (%)],"&gt;"&amp;0),0)*10000)/10000)</f>
        <v>1.67E-2</v>
      </c>
      <c r="H26" s="24">
        <f>IF(OR(B26="---",B26=""),"---",COUNTIF(tabDados[[#All],[Descrição Padronizada]],B26))</f>
        <v>13</v>
      </c>
      <c r="I26" s="24" t="s">
        <v>20</v>
      </c>
    </row>
    <row r="27" spans="1:9" hidden="1" x14ac:dyDescent="0.35">
      <c r="A27" s="15">
        <v>25</v>
      </c>
      <c r="B27" s="11" t="str">
        <v>cabo de mop seco 120 cm com pinça</v>
      </c>
      <c r="C27" s="16">
        <f t="array" ref="C27">IF(B27="","---",IFERROR(
   _xlfn.PERCENTILE.INC(
      IF((tabDados[Descrição Padronizada]=B27)*(tabDados[Valor Unitário]&lt;&gt;""),
         tabDados[Valor Unitário],""
      ),
   C$1),
   _xlfn.MINIFS(tabDados[Valor Unitário],tabDados[Descrição Padronizada],B27)
))</f>
        <v>60</v>
      </c>
      <c r="D27" s="16">
        <f t="array" ref="D27">IF(B27="","---",IFERROR(
   _xlfn.PERCENTILE.INC(
      IF((tabDados[Descrição Padronizada]=B27)*(tabDados[Valor Unitário]&lt;&gt;""),
         tabDados[Valor Unitário],""
      ),
   D$1),
   _xlfn.MAXIFS(tabDados[Valor Unitário],tabDados[Descrição Padronizada],B27)
))</f>
        <v>89.875</v>
      </c>
      <c r="E27" s="16">
        <f>IF(OR(B27="",B27="---"),"---",
   IFERROR(AVERAGEIFS(tabDados[Valor Unitário],tabDados[Descrição Padronizada],B27,tabDados[Valor Unitário],"&gt;="&amp;C27,tabDados[Valor Unitário],"&lt;="&amp;D27),AVERAGE(C27,D27))
)</f>
        <v>65.642857142857139</v>
      </c>
      <c r="F27" s="12">
        <f t="array" ref="F27">IF(OR(B27="",B27="---"),"---",TRUNC(IFERROR(MODE(IF((tabDados[Descrição Padronizada]=B27)*(tabDados[Vida Útil (meses)]&lt;&gt;""),tabDados[Vida Útil (meses)],"-")),AVERAGEIFS(tabDados[Vida Útil (meses)],tabDados[Descrição Padronizada],B27))+0.5))</f>
        <v>36</v>
      </c>
      <c r="G27" s="13">
        <f>IF(OR(B27="",B27="---"),"---",TRUNC(IFERROR(AVERAGEIFS(tabDados[Manutenção (%)],tabDados[Descrição Padronizada],B27,tabDados[Manutenção (%)],"&gt;"&amp;0),0)*10000)/10000)</f>
        <v>1.67E-2</v>
      </c>
      <c r="H27" s="24">
        <f>IF(OR(B27="---",B27=""),"---",COUNTIF(tabDados[[#All],[Descrição Padronizada]],B27))</f>
        <v>10</v>
      </c>
      <c r="I27" s="24" t="s">
        <v>20</v>
      </c>
    </row>
    <row r="28" spans="1:9" hidden="1" x14ac:dyDescent="0.35">
      <c r="A28" s="15">
        <v>26</v>
      </c>
      <c r="B28" s="11" t="str">
        <v>cabo de mop seco 80 cm com pinça</v>
      </c>
      <c r="C28" s="16">
        <f t="array" ref="C28">IF(B28="","---",IFERROR(
   _xlfn.PERCENTILE.INC(
      IF((tabDados[Descrição Padronizada]=B28)*(tabDados[Valor Unitário]&lt;&gt;""),
         tabDados[Valor Unitário],""
      ),
   C$1),
   _xlfn.MINIFS(tabDados[Valor Unitário],tabDados[Descrição Padronizada],B28)
))</f>
        <v>70</v>
      </c>
      <c r="D28" s="16">
        <f t="array" ref="D28">IF(B28="","---",IFERROR(
   _xlfn.PERCENTILE.INC(
      IF((tabDados[Descrição Padronizada]=B28)*(tabDados[Valor Unitário]&lt;&gt;""),
         tabDados[Valor Unitário],""
      ),
   D$1),
   _xlfn.MAXIFS(tabDados[Valor Unitário],tabDados[Descrição Padronizada],B28)
))</f>
        <v>96.25</v>
      </c>
      <c r="E28" s="16">
        <f>IF(OR(B28="",B28="---"),"---",
   IFERROR(AVERAGEIFS(tabDados[Valor Unitário],tabDados[Descrição Padronizada],B28,tabDados[Valor Unitário],"&gt;="&amp;C28,tabDados[Valor Unitário],"&lt;="&amp;D28),AVERAGE(C28,D28))
)</f>
        <v>70</v>
      </c>
      <c r="F28" s="12">
        <f t="array" ref="F28">IF(OR(B28="",B28="---"),"---",TRUNC(IFERROR(MODE(IF((tabDados[Descrição Padronizada]=B28)*(tabDados[Vida Útil (meses)]&lt;&gt;""),tabDados[Vida Útil (meses)],"-")),AVERAGEIFS(tabDados[Vida Útil (meses)],tabDados[Descrição Padronizada],B28))+0.5))</f>
        <v>36</v>
      </c>
      <c r="G28" s="13">
        <f>IF(OR(B28="",B28="---"),"---",TRUNC(IFERROR(AVERAGEIFS(tabDados[Manutenção (%)],tabDados[Descrição Padronizada],B28,tabDados[Manutenção (%)],"&gt;"&amp;0),0)*10000)/10000)</f>
        <v>1.67E-2</v>
      </c>
      <c r="H28" s="24">
        <f>IF(OR(B28="---",B28=""),"---",COUNTIF(tabDados[[#All],[Descrição Padronizada]],B28))</f>
        <v>10</v>
      </c>
      <c r="I28" s="24" t="s">
        <v>20</v>
      </c>
    </row>
    <row r="29" spans="1:9" hidden="1" x14ac:dyDescent="0.35">
      <c r="A29" s="15">
        <v>27</v>
      </c>
      <c r="B29" s="11" t="str">
        <v>cabo de mop úmido com pinça</v>
      </c>
      <c r="C29" s="16">
        <f t="array" ref="C29">IF(B29="","---",IFERROR(
   _xlfn.PERCENTILE.INC(
      IF((tabDados[Descrição Padronizada]=B29)*(tabDados[Valor Unitário]&lt;&gt;""),
         tabDados[Valor Unitário],""
      ),
   C$1),
   _xlfn.MINIFS(tabDados[Valor Unitário],tabDados[Descrição Padronizada],B29)
))</f>
        <v>45</v>
      </c>
      <c r="D29" s="16">
        <f t="array" ref="D29">IF(B29="","---",IFERROR(
   _xlfn.PERCENTILE.INC(
      IF((tabDados[Descrição Padronizada]=B29)*(tabDados[Valor Unitário]&lt;&gt;""),
         tabDados[Valor Unitário],""
      ),
   D$1),
   _xlfn.MAXIFS(tabDados[Valor Unitário],tabDados[Descrição Padronizada],B29)
))</f>
        <v>66.887500000000003</v>
      </c>
      <c r="E29" s="16">
        <f>IF(OR(B29="",B29="---"),"---",
   IFERROR(AVERAGEIFS(tabDados[Valor Unitário],tabDados[Descrição Padronizada],B29,tabDados[Valor Unitário],"&gt;="&amp;C29,tabDados[Valor Unitário],"&lt;="&amp;D29),AVERAGE(C29,D29))
)</f>
        <v>49.175000000000004</v>
      </c>
      <c r="F29" s="12">
        <f t="array" ref="F29">IF(OR(B29="",B29="---"),"---",TRUNC(IFERROR(MODE(IF((tabDados[Descrição Padronizada]=B29)*(tabDados[Vida Útil (meses)]&lt;&gt;""),tabDados[Vida Útil (meses)],"-")),AVERAGEIFS(tabDados[Vida Útil (meses)],tabDados[Descrição Padronizada],B29))+0.5))</f>
        <v>36</v>
      </c>
      <c r="G29" s="13">
        <f>IF(OR(B29="",B29="---"),"---",TRUNC(IFERROR(AVERAGEIFS(tabDados[Manutenção (%)],tabDados[Descrição Padronizada],B29,tabDados[Manutenção (%)],"&gt;"&amp;0),0)*10000)/10000)</f>
        <v>1.67E-2</v>
      </c>
      <c r="H29" s="24">
        <f>IF(OR(B29="---",B29=""),"---",COUNTIF(tabDados[[#All],[Descrição Padronizada]],B29))</f>
        <v>10</v>
      </c>
      <c r="I29" s="24" t="s">
        <v>20</v>
      </c>
    </row>
    <row r="30" spans="1:9" hidden="1" x14ac:dyDescent="0.35">
      <c r="A30" s="15">
        <v>28</v>
      </c>
      <c r="B30" s="11" t="str">
        <v>cabo extensor 30 m</v>
      </c>
      <c r="C30" s="16">
        <f t="array" ref="C30">IF(B30="","---",IFERROR(
   _xlfn.PERCENTILE.INC(
      IF((tabDados[Descrição Padronizada]=B30)*(tabDados[Valor Unitário]&lt;&gt;""),
         tabDados[Valor Unitário],""
      ),
   C$1),
   _xlfn.MINIFS(tabDados[Valor Unitário],tabDados[Descrição Padronizada],B30)
))</f>
        <v>80</v>
      </c>
      <c r="D30" s="16">
        <f t="array" ref="D30">IF(B30="","---",IFERROR(
   _xlfn.PERCENTILE.INC(
      IF((tabDados[Descrição Padronizada]=B30)*(tabDados[Valor Unitário]&lt;&gt;""),
         tabDados[Valor Unitário],""
      ),
   D$1),
   _xlfn.MAXIFS(tabDados[Valor Unitário],tabDados[Descrição Padronizada],B30)
))</f>
        <v>256</v>
      </c>
      <c r="E30" s="16">
        <f>IF(OR(B30="",B30="---"),"---",
   IFERROR(AVERAGEIFS(tabDados[Valor Unitário],tabDados[Descrição Padronizada],B30,tabDados[Valor Unitário],"&gt;="&amp;C30,tabDados[Valor Unitário],"&lt;="&amp;D30),AVERAGE(C30,D30))
)</f>
        <v>164.565</v>
      </c>
      <c r="F30" s="12">
        <f t="array" ref="F30">IF(OR(B30="",B30="---"),"---",TRUNC(IFERROR(MODE(IF((tabDados[Descrição Padronizada]=B30)*(tabDados[Vida Útil (meses)]&lt;&gt;""),tabDados[Vida Útil (meses)],"-")),AVERAGEIFS(tabDados[Vida Útil (meses)],tabDados[Descrição Padronizada],B30))+0.5))</f>
        <v>60</v>
      </c>
      <c r="G30" s="13">
        <f>IF(OR(B30="",B30="---"),"---",TRUNC(IFERROR(AVERAGEIFS(tabDados[Manutenção (%)],tabDados[Descrição Padronizada],B30,tabDados[Manutenção (%)],"&gt;"&amp;0),0)*10000)/10000)</f>
        <v>1.3299999999999999E-2</v>
      </c>
      <c r="H30" s="24">
        <f>IF(OR(B30="---",B30=""),"---",COUNTIF(tabDados[[#All],[Descrição Padronizada]],B30))</f>
        <v>5</v>
      </c>
      <c r="I30" s="24" t="s">
        <v>20</v>
      </c>
    </row>
    <row r="31" spans="1:9" hidden="1" x14ac:dyDescent="0.35">
      <c r="A31" s="15">
        <v>29</v>
      </c>
      <c r="B31" s="11" t="str">
        <v>cabo extensor 9 m</v>
      </c>
      <c r="C31" s="16">
        <f t="array" ref="C31">IF(B31="","---",IFERROR(
   _xlfn.PERCENTILE.INC(
      IF((tabDados[Descrição Padronizada]=B31)*(tabDados[Valor Unitário]&lt;&gt;""),
         tabDados[Valor Unitário],""
      ),
   C$1),
   _xlfn.MINIFS(tabDados[Valor Unitário],tabDados[Descrição Padronizada],B31)
))</f>
        <v>290.745</v>
      </c>
      <c r="D31" s="16">
        <f t="array" ref="D31">IF(B31="","---",IFERROR(
   _xlfn.PERCENTILE.INC(
      IF((tabDados[Descrição Padronizada]=B31)*(tabDados[Valor Unitário]&lt;&gt;""),
         tabDados[Valor Unitário],""
      ),
   D$1),
   _xlfn.MAXIFS(tabDados[Valor Unitário],tabDados[Descrição Padronizada],B31)
))</f>
        <v>714</v>
      </c>
      <c r="E31" s="16">
        <f>IF(OR(B31="",B31="---"),"---",
   IFERROR(AVERAGEIFS(tabDados[Valor Unitário],tabDados[Descrição Padronizada],B31,tabDados[Valor Unitário],"&gt;="&amp;C31,tabDados[Valor Unitário],"&lt;="&amp;D31),AVERAGE(C31,D31))
)</f>
        <v>365.83000000000004</v>
      </c>
      <c r="F31" s="12">
        <f t="array" ref="F31">IF(OR(B31="",B31="---"),"---",TRUNC(IFERROR(MODE(IF((tabDados[Descrição Padronizada]=B31)*(tabDados[Vida Útil (meses)]&lt;&gt;""),tabDados[Vida Útil (meses)],"-")),AVERAGEIFS(tabDados[Vida Útil (meses)],tabDados[Descrição Padronizada],B31))+0.5))</f>
        <v>36</v>
      </c>
      <c r="G31" s="13">
        <f>IF(OR(B31="",B31="---"),"---",TRUNC(IFERROR(AVERAGEIFS(tabDados[Manutenção (%)],tabDados[Descrição Padronizada],B31,tabDados[Manutenção (%)],"&gt;"&amp;0),0)*10000)/10000)</f>
        <v>0</v>
      </c>
      <c r="H31" s="24">
        <f>IF(OR(B31="---",B31=""),"---",COUNTIF(tabDados[[#All],[Descrição Padronizada]],B31))</f>
        <v>4</v>
      </c>
      <c r="I31" s="24" t="s">
        <v>20</v>
      </c>
    </row>
    <row r="32" spans="1:9" hidden="1" x14ac:dyDescent="0.35">
      <c r="A32" s="15">
        <v>30</v>
      </c>
      <c r="B32" s="11" t="str">
        <v>cabo extensor telescópico 6 m</v>
      </c>
      <c r="C32" s="16">
        <f t="array" ref="C32">IF(B32="","---",IFERROR(
   _xlfn.PERCENTILE.INC(
      IF((tabDados[Descrição Padronizada]=B32)*(tabDados[Valor Unitário]&lt;&gt;""),
         tabDados[Valor Unitário],""
      ),
   C$1),
   _xlfn.MINIFS(tabDados[Valor Unitário],tabDados[Descrição Padronizada],B32)
))</f>
        <v>186.52500000000001</v>
      </c>
      <c r="D32" s="16">
        <f t="array" ref="D32">IF(B32="","---",IFERROR(
   _xlfn.PERCENTILE.INC(
      IF((tabDados[Descrição Padronizada]=B32)*(tabDados[Valor Unitário]&lt;&gt;""),
         tabDados[Valor Unitário],""
      ),
   D$1),
   _xlfn.MAXIFS(tabDados[Valor Unitário],tabDados[Descrição Padronizada],B32)
))</f>
        <v>225.89500000000001</v>
      </c>
      <c r="E32" s="16">
        <f>IF(OR(B32="",B32="---"),"---",
   IFERROR(AVERAGEIFS(tabDados[Valor Unitário],tabDados[Descrição Padronizada],B32,tabDados[Valor Unitário],"&gt;="&amp;C32,tabDados[Valor Unitário],"&lt;="&amp;D32),AVERAGE(C32,D32))
)</f>
        <v>206.21</v>
      </c>
      <c r="F32" s="12">
        <f t="array" ref="F32">IF(OR(B32="",B32="---"),"---",TRUNC(IFERROR(MODE(IF((tabDados[Descrição Padronizada]=B32)*(tabDados[Vida Útil (meses)]&lt;&gt;""),tabDados[Vida Útil (meses)],"-")),AVERAGEIFS(tabDados[Vida Útil (meses)],tabDados[Descrição Padronizada],B32))+0.5))</f>
        <v>9</v>
      </c>
      <c r="G32" s="13">
        <f>IF(OR(B32="",B32="---"),"---",TRUNC(IFERROR(AVERAGEIFS(tabDados[Manutenção (%)],tabDados[Descrição Padronizada],B32,tabDados[Manutenção (%)],"&gt;"&amp;0),0)*10000)/10000)</f>
        <v>1.67E-2</v>
      </c>
      <c r="H32" s="24">
        <f>IF(OR(B32="---",B32=""),"---",COUNTIF(tabDados[[#All],[Descrição Padronizada]],B32))</f>
        <v>2</v>
      </c>
      <c r="I32" s="24" t="s">
        <v>20</v>
      </c>
    </row>
    <row r="33" spans="1:9" x14ac:dyDescent="0.35">
      <c r="A33" s="15">
        <v>31</v>
      </c>
      <c r="B33" s="11" t="str">
        <v>cabo extensor telescópico 7,5 m</v>
      </c>
      <c r="C33" s="16">
        <f t="array" ref="C33">IF(B33="","---",IFERROR(
   _xlfn.PERCENTILE.INC(
      IF((tabDados[Descrição Padronizada]=B33)*(tabDados[Valor Unitário]&lt;&gt;""),
         tabDados[Valor Unitário],""
      ),
   C$1),
   _xlfn.MINIFS(tabDados[Valor Unitário],tabDados[Descrição Padronizada],B33)
))</f>
        <v>64.335000000000008</v>
      </c>
      <c r="D33" s="16">
        <f t="array" ref="D33">IF(B33="","---",IFERROR(
   _xlfn.PERCENTILE.INC(
      IF((tabDados[Descrição Padronizada]=B33)*(tabDados[Valor Unitário]&lt;&gt;""),
         tabDados[Valor Unitário],""
      ),
   D$1),
   _xlfn.MAXIFS(tabDados[Valor Unitário],tabDados[Descrição Padronizada],B33)
))</f>
        <v>237.5</v>
      </c>
      <c r="E33" s="16">
        <f>IF(OR(B33="",B33="---"),"---",
   IFERROR(AVERAGEIFS(tabDados[Valor Unitário],tabDados[Descrição Padronizada],B33,tabDados[Valor Unitário],"&gt;="&amp;C33,tabDados[Valor Unitário],"&lt;="&amp;D33),AVERAGE(C33,D33))
)</f>
        <v>156.58689655172415</v>
      </c>
      <c r="F33" s="12">
        <f t="array" ref="F33">IF(OR(B33="",B33="---"),"---",TRUNC(IFERROR(MODE(IF((tabDados[Descrição Padronizada]=B33)*(tabDados[Vida Útil (meses)]&lt;&gt;""),tabDados[Vida Útil (meses)],"-")),AVERAGEIFS(tabDados[Vida Útil (meses)],tabDados[Descrição Padronizada],B33))+0.5))</f>
        <v>60</v>
      </c>
      <c r="G33" s="13">
        <f>IF(OR(B33="",B33="---"),"---",TRUNC(IFERROR(AVERAGEIFS(tabDados[Manutenção (%)],tabDados[Descrição Padronizada],B33,tabDados[Manutenção (%)],"&gt;"&amp;0),0)*10000)/10000)</f>
        <v>1.4200000000000001E-2</v>
      </c>
      <c r="H33" s="24">
        <f>IF(OR(B33="---",B33=""),"---",COUNTIF(tabDados[[#All],[Descrição Padronizada]],B33))</f>
        <v>58</v>
      </c>
      <c r="I33" s="24" t="s">
        <v>19</v>
      </c>
    </row>
    <row r="34" spans="1:9" hidden="1" x14ac:dyDescent="0.35">
      <c r="A34" s="15">
        <v>32</v>
      </c>
      <c r="B34" s="11" t="str">
        <v>cadeira fixa</v>
      </c>
      <c r="C34" s="16">
        <f t="array" ref="C34">IF(B34="","---",IFERROR(
   _xlfn.PERCENTILE.INC(
      IF((tabDados[Descrição Padronizada]=B34)*(tabDados[Valor Unitário]&lt;&gt;""),
         tabDados[Valor Unitário],""
      ),
   C$1),
   _xlfn.MINIFS(tabDados[Valor Unitário],tabDados[Descrição Padronizada],B34)
))</f>
        <v>172.91749999999999</v>
      </c>
      <c r="D34" s="16">
        <f t="array" ref="D34">IF(B34="","---",IFERROR(
   _xlfn.PERCENTILE.INC(
      IF((tabDados[Descrição Padronizada]=B34)*(tabDados[Valor Unitário]&lt;&gt;""),
         tabDados[Valor Unitário],""
      ),
   D$1),
   _xlfn.MAXIFS(tabDados[Valor Unitário],tabDados[Descrição Padronizada],B34)
))</f>
        <v>224</v>
      </c>
      <c r="E34" s="16">
        <f>IF(OR(B34="",B34="---"),"---",
   IFERROR(AVERAGEIFS(tabDados[Valor Unitário],tabDados[Descrição Padronizada],B34,tabDados[Valor Unitário],"&gt;="&amp;C34,tabDados[Valor Unitário],"&lt;="&amp;D34),AVERAGE(C34,D34))
)</f>
        <v>205.55555555555554</v>
      </c>
      <c r="F34" s="12">
        <f t="array" ref="F34">IF(OR(B34="",B34="---"),"---",TRUNC(IFERROR(MODE(IF((tabDados[Descrição Padronizada]=B34)*(tabDados[Vida Útil (meses)]&lt;&gt;""),tabDados[Vida Útil (meses)],"-")),AVERAGEIFS(tabDados[Vida Útil (meses)],tabDados[Descrição Padronizada],B34))+0.5))</f>
        <v>60</v>
      </c>
      <c r="G34" s="13">
        <f>IF(OR(B34="",B34="---"),"---",TRUNC(IFERROR(AVERAGEIFS(tabDados[Manutenção (%)],tabDados[Descrição Padronizada],B34,tabDados[Manutenção (%)],"&gt;"&amp;0),0)*10000)/10000)</f>
        <v>1.67E-2</v>
      </c>
      <c r="H34" s="24">
        <f>IF(OR(B34="---",B34=""),"---",COUNTIF(tabDados[[#All],[Descrição Padronizada]],B34))</f>
        <v>18</v>
      </c>
      <c r="I34" s="24" t="s">
        <v>20</v>
      </c>
    </row>
    <row r="35" spans="1:9" hidden="1" x14ac:dyDescent="0.35">
      <c r="A35" s="15">
        <v>33</v>
      </c>
      <c r="B35" s="11" t="str">
        <v>cadeira giratória</v>
      </c>
      <c r="C35" s="16">
        <f t="array" ref="C35">IF(B35="","---",IFERROR(
   _xlfn.PERCENTILE.INC(
      IF((tabDados[Descrição Padronizada]=B35)*(tabDados[Valor Unitário]&lt;&gt;""),
         tabDados[Valor Unitário],""
      ),
   C$1),
   _xlfn.MINIFS(tabDados[Valor Unitário],tabDados[Descrição Padronizada],B35)
))</f>
        <v>320</v>
      </c>
      <c r="D35" s="16">
        <f t="array" ref="D35">IF(B35="","---",IFERROR(
   _xlfn.PERCENTILE.INC(
      IF((tabDados[Descrição Padronizada]=B35)*(tabDados[Valor Unitário]&lt;&gt;""),
         tabDados[Valor Unitário],""
      ),
   D$1),
   _xlfn.MAXIFS(tabDados[Valor Unitário],tabDados[Descrição Padronizada],B35)
))</f>
        <v>452</v>
      </c>
      <c r="E35" s="16">
        <f>IF(OR(B35="",B35="---"),"---",
   IFERROR(AVERAGEIFS(tabDados[Valor Unitário],tabDados[Descrição Padronizada],B35,tabDados[Valor Unitário],"&gt;="&amp;C35,tabDados[Valor Unitário],"&lt;="&amp;D35),AVERAGE(C35,D35))
)</f>
        <v>398.8416666666667</v>
      </c>
      <c r="F35" s="12">
        <f t="array" ref="F35">IF(OR(B35="",B35="---"),"---",TRUNC(IFERROR(MODE(IF((tabDados[Descrição Padronizada]=B35)*(tabDados[Vida Útil (meses)]&lt;&gt;""),tabDados[Vida Útil (meses)],"-")),AVERAGEIFS(tabDados[Vida Útil (meses)],tabDados[Descrição Padronizada],B35))+0.5))</f>
        <v>48</v>
      </c>
      <c r="G35" s="13">
        <f>IF(OR(B35="",B35="---"),"---",TRUNC(IFERROR(AVERAGEIFS(tabDados[Manutenção (%)],tabDados[Descrição Padronizada],B35,tabDados[Manutenção (%)],"&gt;"&amp;0),0)*10000)/10000)</f>
        <v>1.67E-2</v>
      </c>
      <c r="H35" s="24">
        <f>IF(OR(B35="---",B35=""),"---",COUNTIF(tabDados[[#All],[Descrição Padronizada]],B35))</f>
        <v>15</v>
      </c>
      <c r="I35" s="24" t="s">
        <v>20</v>
      </c>
    </row>
    <row r="36" spans="1:9" x14ac:dyDescent="0.35">
      <c r="A36" s="15">
        <v>34</v>
      </c>
      <c r="B36" s="11" t="str">
        <v>carregador de bateria</v>
      </c>
      <c r="C36" s="16">
        <f t="array" ref="C36">IF(B36="","---",IFERROR(
   _xlfn.PERCENTILE.INC(
      IF((tabDados[Descrição Padronizada]=B36)*(tabDados[Valor Unitário]&lt;&gt;""),
         tabDados[Valor Unitário],""
      ),
   C$1),
   _xlfn.MINIFS(tabDados[Valor Unitário],tabDados[Descrição Padronizada],B36)
))</f>
        <v>500</v>
      </c>
      <c r="D36" s="16">
        <f t="array" ref="D36">IF(B36="","---",IFERROR(
   _xlfn.PERCENTILE.INC(
      IF((tabDados[Descrição Padronizada]=B36)*(tabDados[Valor Unitário]&lt;&gt;""),
         tabDados[Valor Unitário],""
      ),
   D$1),
   _xlfn.MAXIFS(tabDados[Valor Unitário],tabDados[Descrição Padronizada],B36)
))</f>
        <v>1190</v>
      </c>
      <c r="E36" s="16">
        <f>IF(OR(B36="",B36="---"),"---",
   IFERROR(AVERAGEIFS(tabDados[Valor Unitário],tabDados[Descrição Padronizada],B36,tabDados[Valor Unitário],"&gt;="&amp;C36,tabDados[Valor Unitário],"&lt;="&amp;D36),AVERAGE(C36,D36))
)</f>
        <v>792.64142857142872</v>
      </c>
      <c r="F36" s="12">
        <f t="array" ref="F36">IF(OR(B36="",B36="---"),"---",TRUNC(IFERROR(MODE(IF((tabDados[Descrição Padronizada]=B36)*(tabDados[Vida Útil (meses)]&lt;&gt;""),tabDados[Vida Útil (meses)],"-")),AVERAGEIFS(tabDados[Vida Útil (meses)],tabDados[Descrição Padronizada],B36))+0.5))</f>
        <v>60</v>
      </c>
      <c r="G36" s="13">
        <f>IF(OR(B36="",B36="---"),"---",TRUNC(IFERROR(AVERAGEIFS(tabDados[Manutenção (%)],tabDados[Descrição Padronizada],B36,tabDados[Manutenção (%)],"&gt;"&amp;0),0)*10000)/10000)</f>
        <v>1.0500000000000001E-2</v>
      </c>
      <c r="H36" s="24">
        <f>IF(OR(B36="---",B36=""),"---",COUNTIF(tabDados[[#All],[Descrição Padronizada]],B36))</f>
        <v>23</v>
      </c>
      <c r="I36" s="24" t="s">
        <v>19</v>
      </c>
    </row>
    <row r="37" spans="1:9" hidden="1" x14ac:dyDescent="0.35">
      <c r="A37" s="15">
        <v>35</v>
      </c>
      <c r="B37" s="11" t="str">
        <v>carrinho bandeja aberto</v>
      </c>
      <c r="C37" s="16">
        <f t="array" ref="C37">IF(B37="","---",IFERROR(
   _xlfn.PERCENTILE.INC(
      IF((tabDados[Descrição Padronizada]=B37)*(tabDados[Valor Unitário]&lt;&gt;""),
         tabDados[Valor Unitário],""
      ),
   C$1),
   _xlfn.MINIFS(tabDados[Valor Unitário],tabDados[Descrição Padronizada],B37)
))</f>
        <v>278.65750000000003</v>
      </c>
      <c r="D37" s="16">
        <f t="array" ref="D37">IF(B37="","---",IFERROR(
   _xlfn.PERCENTILE.INC(
      IF((tabDados[Descrição Padronizada]=B37)*(tabDados[Valor Unitário]&lt;&gt;""),
         tabDados[Valor Unitário],""
      ),
   D$1),
   _xlfn.MAXIFS(tabDados[Valor Unitário],tabDados[Descrição Padronizada],B37)
))</f>
        <v>1063.75</v>
      </c>
      <c r="E37" s="16">
        <f>IF(OR(B37="",B37="---"),"---",
   IFERROR(AVERAGEIFS(tabDados[Valor Unitário],tabDados[Descrição Padronizada],B37,tabDados[Valor Unitário],"&gt;="&amp;C37,tabDados[Valor Unitário],"&lt;="&amp;D37),AVERAGE(C37,D37))
)</f>
        <v>373.75</v>
      </c>
      <c r="F37" s="12">
        <f t="array" ref="F37">IF(OR(B37="",B37="---"),"---",TRUNC(IFERROR(MODE(IF((tabDados[Descrição Padronizada]=B37)*(tabDados[Vida Útil (meses)]&lt;&gt;""),tabDados[Vida Útil (meses)],"-")),AVERAGEIFS(tabDados[Vida Útil (meses)],tabDados[Descrição Padronizada],B37))+0.5))</f>
        <v>60</v>
      </c>
      <c r="G37" s="13">
        <f>IF(OR(B37="",B37="---"),"---",TRUNC(IFERROR(AVERAGEIFS(tabDados[Manutenção (%)],tabDados[Descrição Padronizada],B37,tabDados[Manutenção (%)],"&gt;"&amp;0),0)*10000)/10000)</f>
        <v>1.67E-2</v>
      </c>
      <c r="H37" s="24">
        <f>IF(OR(B37="---",B37=""),"---",COUNTIF(tabDados[[#All],[Descrição Padronizada]],B37))</f>
        <v>8</v>
      </c>
      <c r="I37" s="24" t="s">
        <v>20</v>
      </c>
    </row>
    <row r="38" spans="1:9" hidden="1" x14ac:dyDescent="0.35">
      <c r="A38" s="15">
        <v>36</v>
      </c>
      <c r="B38" s="11" t="str">
        <v>carrinho bandeja com 3 prateleiras</v>
      </c>
      <c r="C38" s="16">
        <f t="array" ref="C38">IF(B38="","---",IFERROR(
   _xlfn.PERCENTILE.INC(
      IF((tabDados[Descrição Padronizada]=B38)*(tabDados[Valor Unitário]&lt;&gt;""),
         tabDados[Valor Unitário],""
      ),
   C$1),
   _xlfn.MINIFS(tabDados[Valor Unitário],tabDados[Descrição Padronizada],B38)
))</f>
        <v>715</v>
      </c>
      <c r="D38" s="16">
        <f t="array" ref="D38">IF(B38="","---",IFERROR(
   _xlfn.PERCENTILE.INC(
      IF((tabDados[Descrição Padronizada]=B38)*(tabDados[Valor Unitário]&lt;&gt;""),
         tabDados[Valor Unitário],""
      ),
   D$1),
   _xlfn.MAXIFS(tabDados[Valor Unitário],tabDados[Descrição Padronizada],B38)
))</f>
        <v>2000</v>
      </c>
      <c r="E38" s="16">
        <f>IF(OR(B38="",B38="---"),"---",
   IFERROR(AVERAGEIFS(tabDados[Valor Unitário],tabDados[Descrição Padronizada],B38,tabDados[Valor Unitário],"&gt;="&amp;C38,tabDados[Valor Unitário],"&lt;="&amp;D38),AVERAGE(C38,D38))
)</f>
        <v>1119.1925000000001</v>
      </c>
      <c r="F38" s="12">
        <f t="array" ref="F38">IF(OR(B38="",B38="---"),"---",TRUNC(IFERROR(MODE(IF((tabDados[Descrição Padronizada]=B38)*(tabDados[Vida Útil (meses)]&lt;&gt;""),tabDados[Vida Útil (meses)],"-")),AVERAGEIFS(tabDados[Vida Útil (meses)],tabDados[Descrição Padronizada],B38))+0.5))</f>
        <v>24</v>
      </c>
      <c r="G38" s="13">
        <f>IF(OR(B38="",B38="---"),"---",TRUNC(IFERROR(AVERAGEIFS(tabDados[Manutenção (%)],tabDados[Descrição Padronizada],B38,tabDados[Manutenção (%)],"&gt;"&amp;0),0)*10000)/10000)</f>
        <v>1.3299999999999999E-2</v>
      </c>
      <c r="H38" s="24">
        <f>IF(OR(B38="---",B38=""),"---",COUNTIF(tabDados[[#All],[Descrição Padronizada]],B38))</f>
        <v>5</v>
      </c>
      <c r="I38" s="24" t="s">
        <v>20</v>
      </c>
    </row>
    <row r="39" spans="1:9" hidden="1" x14ac:dyDescent="0.35">
      <c r="A39" s="15">
        <v>37</v>
      </c>
      <c r="B39" s="11" t="str">
        <v>carrinho bandeja com 5 prateleiras</v>
      </c>
      <c r="C39" s="16">
        <f t="array" ref="C39">IF(B39="","---",IFERROR(
   _xlfn.PERCENTILE.INC(
      IF((tabDados[Descrição Padronizada]=B39)*(tabDados[Valor Unitário]&lt;&gt;""),
         tabDados[Valor Unitário],""
      ),
   C$1),
   _xlfn.MINIFS(tabDados[Valor Unitário],tabDados[Descrição Padronizada],B39)
))</f>
        <v>935</v>
      </c>
      <c r="D39" s="16">
        <f t="array" ref="D39">IF(B39="","---",IFERROR(
   _xlfn.PERCENTILE.INC(
      IF((tabDados[Descrição Padronizada]=B39)*(tabDados[Valor Unitário]&lt;&gt;""),
         tabDados[Valor Unitário],""
      ),
   D$1),
   _xlfn.MAXIFS(tabDados[Valor Unitário],tabDados[Descrição Padronizada],B39)
))</f>
        <v>2800</v>
      </c>
      <c r="E39" s="16">
        <f>IF(OR(B39="",B39="---"),"---",
   IFERROR(AVERAGEIFS(tabDados[Valor Unitário],tabDados[Descrição Padronizada],B39,tabDados[Valor Unitário],"&gt;="&amp;C39,tabDados[Valor Unitário],"&lt;="&amp;D39),AVERAGE(C39,D39))
)</f>
        <v>1729.3225</v>
      </c>
      <c r="F39" s="12">
        <f t="array" ref="F39">IF(OR(B39="",B39="---"),"---",TRUNC(IFERROR(MODE(IF((tabDados[Descrição Padronizada]=B39)*(tabDados[Vida Útil (meses)]&lt;&gt;""),tabDados[Vida Útil (meses)],"-")),AVERAGEIFS(tabDados[Vida Útil (meses)],tabDados[Descrição Padronizada],B39))+0.5))</f>
        <v>24</v>
      </c>
      <c r="G39" s="13">
        <f>IF(OR(B39="",B39="---"),"---",TRUNC(IFERROR(AVERAGEIFS(tabDados[Manutenção (%)],tabDados[Descrição Padronizada],B39,tabDados[Manutenção (%)],"&gt;"&amp;0),0)*10000)/10000)</f>
        <v>1.3299999999999999E-2</v>
      </c>
      <c r="H39" s="24">
        <f>IF(OR(B39="---",B39=""),"---",COUNTIF(tabDados[[#All],[Descrição Padronizada]],B39))</f>
        <v>5</v>
      </c>
      <c r="I39" s="24" t="s">
        <v>20</v>
      </c>
    </row>
    <row r="40" spans="1:9" hidden="1" x14ac:dyDescent="0.35">
      <c r="A40" s="15">
        <v>38</v>
      </c>
      <c r="B40" s="11" t="str">
        <v>carrinho bandeja com fechamento lateral</v>
      </c>
      <c r="C40" s="16">
        <f t="array" ref="C40">IF(B40="","---",IFERROR(
   _xlfn.PERCENTILE.INC(
      IF((tabDados[Descrição Padronizada]=B40)*(tabDados[Valor Unitário]&lt;&gt;""),
         tabDados[Valor Unitário],""
      ),
   C$1),
   _xlfn.MINIFS(tabDados[Valor Unitário],tabDados[Descrição Padronizada],B40)
))</f>
        <v>1218.1224999999999</v>
      </c>
      <c r="D40" s="16">
        <f t="array" ref="D40">IF(B40="","---",IFERROR(
   _xlfn.PERCENTILE.INC(
      IF((tabDados[Descrição Padronizada]=B40)*(tabDados[Valor Unitário]&lt;&gt;""),
         tabDados[Valor Unitário],""
      ),
   D$1),
   _xlfn.MAXIFS(tabDados[Valor Unitário],tabDados[Descrição Padronizada],B40)
))</f>
        <v>2411.4</v>
      </c>
      <c r="E40" s="16">
        <f>IF(OR(B40="",B40="---"),"---",
   IFERROR(AVERAGEIFS(tabDados[Valor Unitário],tabDados[Descrição Padronizada],B40,tabDados[Valor Unitário],"&gt;="&amp;C40,tabDados[Valor Unitário],"&lt;="&amp;D40),AVERAGE(C40,D40))
)</f>
        <v>1877.7437500000001</v>
      </c>
      <c r="F40" s="12">
        <f t="array" ref="F40">IF(OR(B40="",B40="---"),"---",TRUNC(IFERROR(MODE(IF((tabDados[Descrição Padronizada]=B40)*(tabDados[Vida Útil (meses)]&lt;&gt;""),tabDados[Vida Útil (meses)],"-")),AVERAGEIFS(tabDados[Vida Útil (meses)],tabDados[Descrição Padronizada],B40))+0.5))</f>
        <v>60</v>
      </c>
      <c r="G40" s="13">
        <f>IF(OR(B40="",B40="---"),"---",TRUNC(IFERROR(AVERAGEIFS(tabDados[Manutenção (%)],tabDados[Descrição Padronizada],B40,tabDados[Manutenção (%)],"&gt;"&amp;0),0)*10000)/10000)</f>
        <v>1.4999999999999999E-2</v>
      </c>
      <c r="H40" s="24">
        <f>IF(OR(B40="---",B40=""),"---",COUNTIF(tabDados[[#All],[Descrição Padronizada]],B40))</f>
        <v>16</v>
      </c>
      <c r="I40" s="24" t="s">
        <v>20</v>
      </c>
    </row>
    <row r="41" spans="1:9" hidden="1" x14ac:dyDescent="0.35">
      <c r="A41" s="15">
        <v>39</v>
      </c>
      <c r="B41" s="11" t="str">
        <v>carrinho coletor de lixo 120 l</v>
      </c>
      <c r="C41" s="16">
        <f t="array" ref="C41">IF(B41="","---",IFERROR(
   _xlfn.PERCENTILE.INC(
      IF((tabDados[Descrição Padronizada]=B41)*(tabDados[Valor Unitário]&lt;&gt;""),
         tabDados[Valor Unitário],""
      ),
   C$1),
   _xlfn.MINIFS(tabDados[Valor Unitário],tabDados[Descrição Padronizada],B41)
))</f>
        <v>250</v>
      </c>
      <c r="D41" s="16">
        <f t="array" ref="D41">IF(B41="","---",IFERROR(
   _xlfn.PERCENTILE.INC(
      IF((tabDados[Descrição Padronizada]=B41)*(tabDados[Valor Unitário]&lt;&gt;""),
         tabDados[Valor Unitário],""
      ),
   D$1),
   _xlfn.MAXIFS(tabDados[Valor Unitário],tabDados[Descrição Padronizada],B41)
))</f>
        <v>280</v>
      </c>
      <c r="E41" s="16">
        <f>IF(OR(B41="",B41="---"),"---",
   IFERROR(AVERAGEIFS(tabDados[Valor Unitário],tabDados[Descrição Padronizada],B41,tabDados[Valor Unitário],"&gt;="&amp;C41,tabDados[Valor Unitário],"&lt;="&amp;D41),AVERAGE(C41,D41))
)</f>
        <v>274</v>
      </c>
      <c r="F41" s="12">
        <f t="array" ref="F41">IF(OR(B41="",B41="---"),"---",TRUNC(IFERROR(MODE(IF((tabDados[Descrição Padronizada]=B41)*(tabDados[Vida Útil (meses)]&lt;&gt;""),tabDados[Vida Útil (meses)],"-")),AVERAGEIFS(tabDados[Vida Útil (meses)],tabDados[Descrição Padronizada],B41))+0.5))</f>
        <v>12</v>
      </c>
      <c r="G41" s="13">
        <f>IF(OR(B41="",B41="---"),"---",TRUNC(IFERROR(AVERAGEIFS(tabDados[Manutenção (%)],tabDados[Descrição Padronizada],B41,tabDados[Manutenção (%)],"&gt;"&amp;0),0)*10000)/10000)</f>
        <v>2.1000000000000001E-2</v>
      </c>
      <c r="H41" s="24">
        <f>IF(OR(B41="---",B41=""),"---",COUNTIF(tabDados[[#All],[Descrição Padronizada]],B41))</f>
        <v>9</v>
      </c>
      <c r="I41" s="24" t="s">
        <v>20</v>
      </c>
    </row>
    <row r="42" spans="1:9" x14ac:dyDescent="0.35">
      <c r="A42" s="15">
        <v>40</v>
      </c>
      <c r="B42" s="11" t="str">
        <v>carrinho coletor de lixo 240 l</v>
      </c>
      <c r="C42" s="16">
        <f t="array" ref="C42">IF(B42="","---",IFERROR(
   _xlfn.PERCENTILE.INC(
      IF((tabDados[Descrição Padronizada]=B42)*(tabDados[Valor Unitário]&lt;&gt;""),
         tabDados[Valor Unitário],""
      ),
   C$1),
   _xlfn.MINIFS(tabDados[Valor Unitário],tabDados[Descrição Padronizada],B42)
))</f>
        <v>260</v>
      </c>
      <c r="D42" s="16">
        <f t="array" ref="D42">IF(B42="","---",IFERROR(
   _xlfn.PERCENTILE.INC(
      IF((tabDados[Descrição Padronizada]=B42)*(tabDados[Valor Unitário]&lt;&gt;""),
         tabDados[Valor Unitário],""
      ),
   D$1),
   _xlfn.MAXIFS(tabDados[Valor Unitário],tabDados[Descrição Padronizada],B42)
))</f>
        <v>555.74</v>
      </c>
      <c r="E42" s="16">
        <f>IF(OR(B42="",B42="---"),"---",
   IFERROR(AVERAGEIFS(tabDados[Valor Unitário],tabDados[Descrição Padronizada],B42,tabDados[Valor Unitário],"&gt;="&amp;C42,tabDados[Valor Unitário],"&lt;="&amp;D42),AVERAGE(C42,D42))
)</f>
        <v>335.12266666666659</v>
      </c>
      <c r="F42" s="12">
        <f t="array" ref="F42">IF(OR(B42="",B42="---"),"---",TRUNC(IFERROR(MODE(IF((tabDados[Descrição Padronizada]=B42)*(tabDados[Vida Útil (meses)]&lt;&gt;""),tabDados[Vida Útil (meses)],"-")),AVERAGEIFS(tabDados[Vida Útil (meses)],tabDados[Descrição Padronizada],B42))+0.5))</f>
        <v>60</v>
      </c>
      <c r="G42" s="13">
        <f>IF(OR(B42="",B42="---"),"---",TRUNC(IFERROR(AVERAGEIFS(tabDados[Manutenção (%)],tabDados[Descrição Padronizada],B42,tabDados[Manutenção (%)],"&gt;"&amp;0),0)*10000)/10000)</f>
        <v>1.3899999999999999E-2</v>
      </c>
      <c r="H42" s="24">
        <f>IF(OR(B42="---",B42=""),"---",COUNTIF(tabDados[[#All],[Descrição Padronizada]],B42))</f>
        <v>57</v>
      </c>
      <c r="I42" s="24" t="s">
        <v>19</v>
      </c>
    </row>
    <row r="43" spans="1:9" hidden="1" x14ac:dyDescent="0.35">
      <c r="A43" s="15">
        <v>41</v>
      </c>
      <c r="B43" s="11" t="str">
        <v>carrinho coletor de lixo 250 l</v>
      </c>
      <c r="C43" s="16">
        <f t="array" ref="C43">IF(B43="","---",IFERROR(
   _xlfn.PERCENTILE.INC(
      IF((tabDados[Descrição Padronizada]=B43)*(tabDados[Valor Unitário]&lt;&gt;""),
         tabDados[Valor Unitário],""
      ),
   C$1),
   _xlfn.MINIFS(tabDados[Valor Unitário],tabDados[Descrição Padronizada],B43)
))</f>
        <v>287.10000000000002</v>
      </c>
      <c r="D43" s="16">
        <f t="array" ref="D43">IF(B43="","---",IFERROR(
   _xlfn.PERCENTILE.INC(
      IF((tabDados[Descrição Padronizada]=B43)*(tabDados[Valor Unitário]&lt;&gt;""),
         tabDados[Valor Unitário],""
      ),
   D$1),
   _xlfn.MAXIFS(tabDados[Valor Unitário],tabDados[Descrição Padronizada],B43)
))</f>
        <v>338.5</v>
      </c>
      <c r="E43" s="16">
        <f>IF(OR(B43="",B43="---"),"---",
   IFERROR(AVERAGEIFS(tabDados[Valor Unitário],tabDados[Descrição Padronizada],B43,tabDados[Valor Unitário],"&gt;="&amp;C43,tabDados[Valor Unitário],"&lt;="&amp;D43),AVERAGE(C43,D43))
)</f>
        <v>315</v>
      </c>
      <c r="F43" s="12">
        <f t="array" ref="F43">IF(OR(B43="",B43="---"),"---",TRUNC(IFERROR(MODE(IF((tabDados[Descrição Padronizada]=B43)*(tabDados[Vida Útil (meses)]&lt;&gt;""),tabDados[Vida Útil (meses)],"-")),AVERAGEIFS(tabDados[Vida Útil (meses)],tabDados[Descrição Padronizada],B43))+0.5))</f>
        <v>36</v>
      </c>
      <c r="G43" s="13">
        <f>IF(OR(B43="",B43="---"),"---",TRUNC(IFERROR(AVERAGEIFS(tabDados[Manutenção (%)],tabDados[Descrição Padronizada],B43,tabDados[Manutenção (%)],"&gt;"&amp;0),0)*10000)/10000)</f>
        <v>1.67E-2</v>
      </c>
      <c r="H43" s="24">
        <f>IF(OR(B43="---",B43=""),"---",COUNTIF(tabDados[[#All],[Descrição Padronizada]],B43))</f>
        <v>3</v>
      </c>
      <c r="I43" s="24" t="s">
        <v>20</v>
      </c>
    </row>
    <row r="44" spans="1:9" hidden="1" x14ac:dyDescent="0.35">
      <c r="A44" s="15">
        <v>42</v>
      </c>
      <c r="B44" s="11" t="str">
        <v>carrinho container 1000 l</v>
      </c>
      <c r="C44" s="16">
        <f t="array" ref="C44">IF(B44="","---",IFERROR(
   _xlfn.PERCENTILE.INC(
      IF((tabDados[Descrição Padronizada]=B44)*(tabDados[Valor Unitário]&lt;&gt;""),
         tabDados[Valor Unitário],""
      ),
   C$1),
   _xlfn.MINIFS(tabDados[Valor Unitário],tabDados[Descrição Padronizada],B44)
))</f>
        <v>600</v>
      </c>
      <c r="D44" s="16">
        <f t="array" ref="D44">IF(B44="","---",IFERROR(
   _xlfn.PERCENTILE.INC(
      IF((tabDados[Descrição Padronizada]=B44)*(tabDados[Valor Unitário]&lt;&gt;""),
         tabDados[Valor Unitário],""
      ),
   D$1),
   _xlfn.MAXIFS(tabDados[Valor Unitário],tabDados[Descrição Padronizada],B44)
))</f>
        <v>2790</v>
      </c>
      <c r="E44" s="16">
        <f>IF(OR(B44="",B44="---"),"---",
   IFERROR(AVERAGEIFS(tabDados[Valor Unitário],tabDados[Descrição Padronizada],B44,tabDados[Valor Unitário],"&gt;="&amp;C44,tabDados[Valor Unitário],"&lt;="&amp;D44),AVERAGE(C44,D44))
)</f>
        <v>1321.4285714285713</v>
      </c>
      <c r="F44" s="12">
        <f t="array" ref="F44">IF(OR(B44="",B44="---"),"---",TRUNC(IFERROR(MODE(IF((tabDados[Descrição Padronizada]=B44)*(tabDados[Vida Útil (meses)]&lt;&gt;""),tabDados[Vida Útil (meses)],"-")),AVERAGEIFS(tabDados[Vida Útil (meses)],tabDados[Descrição Padronizada],B44))+0.5))</f>
        <v>60</v>
      </c>
      <c r="G44" s="13">
        <f>IF(OR(B44="",B44="---"),"---",TRUNC(IFERROR(AVERAGEIFS(tabDados[Manutenção (%)],tabDados[Descrição Padronizada],B44,tabDados[Manutenção (%)],"&gt;"&amp;0),0)*10000)/10000)</f>
        <v>1.44E-2</v>
      </c>
      <c r="H44" s="24">
        <f>IF(OR(B44="---",B44=""),"---",COUNTIF(tabDados[[#All],[Descrição Padronizada]],B44))</f>
        <v>9</v>
      </c>
      <c r="I44" s="24" t="s">
        <v>20</v>
      </c>
    </row>
    <row r="45" spans="1:9" hidden="1" x14ac:dyDescent="0.35">
      <c r="A45" s="15">
        <v>43</v>
      </c>
      <c r="B45" s="11" t="str">
        <v>carrinho container 400 l</v>
      </c>
      <c r="C45" s="16">
        <f t="array" ref="C45">IF(B45="","---",IFERROR(
   _xlfn.PERCENTILE.INC(
      IF((tabDados[Descrição Padronizada]=B45)*(tabDados[Valor Unitário]&lt;&gt;""),
         tabDados[Valor Unitário],""
      ),
   C$1),
   _xlfn.MINIFS(tabDados[Valor Unitário],tabDados[Descrição Padronizada],B45)
))</f>
        <v>600</v>
      </c>
      <c r="D45" s="16">
        <f t="array" ref="D45">IF(B45="","---",IFERROR(
   _xlfn.PERCENTILE.INC(
      IF((tabDados[Descrição Padronizada]=B45)*(tabDados[Valor Unitário]&lt;&gt;""),
         tabDados[Valor Unitário],""
      ),
   D$1),
   _xlfn.MAXIFS(tabDados[Valor Unitário],tabDados[Descrição Padronizada],B45)
))</f>
        <v>1029</v>
      </c>
      <c r="E45" s="16">
        <f>IF(OR(B45="",B45="---"),"---",
   IFERROR(AVERAGEIFS(tabDados[Valor Unitário],tabDados[Descrição Padronizada],B45,tabDados[Valor Unitário],"&gt;="&amp;C45,tabDados[Valor Unitário],"&lt;="&amp;D45),AVERAGE(C45,D45))
)</f>
        <v>600</v>
      </c>
      <c r="F45" s="12">
        <f t="array" ref="F45">IF(OR(B45="",B45="---"),"---",TRUNC(IFERROR(MODE(IF((tabDados[Descrição Padronizada]=B45)*(tabDados[Vida Útil (meses)]&lt;&gt;""),tabDados[Vida Útil (meses)],"-")),AVERAGEIFS(tabDados[Vida Útil (meses)],tabDados[Descrição Padronizada],B45))+0.5))</f>
        <v>60</v>
      </c>
      <c r="G45" s="13">
        <f>IF(OR(B45="",B45="---"),"---",TRUNC(IFERROR(AVERAGEIFS(tabDados[Manutenção (%)],tabDados[Descrição Padronizada],B45,tabDados[Manutenção (%)],"&gt;"&amp;0),0)*10000)/10000)</f>
        <v>1.3299999999999999E-2</v>
      </c>
      <c r="H45" s="24">
        <f>IF(OR(B45="---",B45=""),"---",COUNTIF(tabDados[[#All],[Descrição Padronizada]],B45))</f>
        <v>6</v>
      </c>
      <c r="I45" s="24" t="s">
        <v>20</v>
      </c>
    </row>
    <row r="46" spans="1:9" hidden="1" x14ac:dyDescent="0.35">
      <c r="A46" s="15">
        <v>44</v>
      </c>
      <c r="B46" s="11" t="str">
        <v>carrinho container 600 l</v>
      </c>
      <c r="C46" s="16">
        <f t="array" ref="C46">IF(B46="","---",IFERROR(
   _xlfn.PERCENTILE.INC(
      IF((tabDados[Descrição Padronizada]=B46)*(tabDados[Valor Unitário]&lt;&gt;""),
         tabDados[Valor Unitário],""
      ),
   C$1),
   _xlfn.MINIFS(tabDados[Valor Unitário],tabDados[Descrição Padronizada],B46)
))</f>
        <v>621.9</v>
      </c>
      <c r="D46" s="16">
        <f t="array" ref="D46">IF(B46="","---",IFERROR(
   _xlfn.PERCENTILE.INC(
      IF((tabDados[Descrição Padronizada]=B46)*(tabDados[Valor Unitário]&lt;&gt;""),
         tabDados[Valor Unitário],""
      ),
   D$1),
   _xlfn.MAXIFS(tabDados[Valor Unitário],tabDados[Descrição Padronizada],B46)
))</f>
        <v>2557.5</v>
      </c>
      <c r="E46" s="16">
        <f>IF(OR(B46="",B46="---"),"---",
   IFERROR(AVERAGEIFS(tabDados[Valor Unitário],tabDados[Descrição Padronizada],B46,tabDados[Valor Unitário],"&gt;="&amp;C46,tabDados[Valor Unitário],"&lt;="&amp;D46),AVERAGE(C46,D46))
)</f>
        <v>1710</v>
      </c>
      <c r="F46" s="12">
        <f t="array" ref="F46">IF(OR(B46="",B46="---"),"---",TRUNC(IFERROR(MODE(IF((tabDados[Descrição Padronizada]=B46)*(tabDados[Vida Útil (meses)]&lt;&gt;""),tabDados[Vida Útil (meses)],"-")),AVERAGEIFS(tabDados[Vida Útil (meses)],tabDados[Descrição Padronizada],B46))+0.5))</f>
        <v>60</v>
      </c>
      <c r="G46" s="13">
        <f>IF(OR(B46="",B46="---"),"---",TRUNC(IFERROR(AVERAGEIFS(tabDados[Manutenção (%)],tabDados[Descrição Padronizada],B46,tabDados[Manutenção (%)],"&gt;"&amp;0),0)*10000)/10000)</f>
        <v>1.67E-2</v>
      </c>
      <c r="H46" s="24">
        <f>IF(OR(B46="---",B46=""),"---",COUNTIF(tabDados[[#All],[Descrição Padronizada]],B46))</f>
        <v>6</v>
      </c>
      <c r="I46" s="24" t="s">
        <v>20</v>
      </c>
    </row>
    <row r="47" spans="1:9" x14ac:dyDescent="0.35">
      <c r="A47" s="15">
        <v>45</v>
      </c>
      <c r="B47" s="11" t="str">
        <v>carrinho container 660 l</v>
      </c>
      <c r="C47" s="16">
        <f t="array" ref="C47">IF(B47="","---",IFERROR(
   _xlfn.PERCENTILE.INC(
      IF((tabDados[Descrição Padronizada]=B47)*(tabDados[Valor Unitário]&lt;&gt;""),
         tabDados[Valor Unitário],""
      ),
   C$1),
   _xlfn.MINIFS(tabDados[Valor Unitário],tabDados[Descrição Padronizada],B47)
))</f>
        <v>600</v>
      </c>
      <c r="D47" s="16">
        <f t="array" ref="D47">IF(B47="","---",IFERROR(
   _xlfn.PERCENTILE.INC(
      IF((tabDados[Descrição Padronizada]=B47)*(tabDados[Valor Unitário]&lt;&gt;""),
         tabDados[Valor Unitário],""
      ),
   D$1),
   _xlfn.MAXIFS(tabDados[Valor Unitário],tabDados[Descrição Padronizada],B47)
))</f>
        <v>2200</v>
      </c>
      <c r="E47" s="16">
        <f>IF(OR(B47="",B47="---"),"---",
   IFERROR(AVERAGEIFS(tabDados[Valor Unitário],tabDados[Descrição Padronizada],B47,tabDados[Valor Unitário],"&gt;="&amp;C47,tabDados[Valor Unitário],"&lt;="&amp;D47),AVERAGE(C47,D47))
)</f>
        <v>1334.9905263157896</v>
      </c>
      <c r="F47" s="12">
        <f t="array" ref="F47">IF(OR(B47="",B47="---"),"---",TRUNC(IFERROR(MODE(IF((tabDados[Descrição Padronizada]=B47)*(tabDados[Vida Útil (meses)]&lt;&gt;""),tabDados[Vida Útil (meses)],"-")),AVERAGEIFS(tabDados[Vida Útil (meses)],tabDados[Descrição Padronizada],B47))+0.5))</f>
        <v>60</v>
      </c>
      <c r="G47" s="13">
        <f>IF(OR(B47="",B47="---"),"---",TRUNC(IFERROR(AVERAGEIFS(tabDados[Manutenção (%)],tabDados[Descrição Padronizada],B47,tabDados[Manutenção (%)],"&gt;"&amp;0),0)*10000)/10000)</f>
        <v>1.38E-2</v>
      </c>
      <c r="H47" s="24">
        <f>IF(OR(B47="---",B47=""),"---",COUNTIF(tabDados[[#All],[Descrição Padronizada]],B47))</f>
        <v>33</v>
      </c>
      <c r="I47" s="24" t="s">
        <v>19</v>
      </c>
    </row>
    <row r="48" spans="1:9" hidden="1" x14ac:dyDescent="0.35">
      <c r="A48" s="15">
        <v>46</v>
      </c>
      <c r="B48" s="11" t="str">
        <v>carrinho container 740 l</v>
      </c>
      <c r="C48" s="16">
        <f t="array" ref="C48">IF(B48="","---",IFERROR(
   _xlfn.PERCENTILE.INC(
      IF((tabDados[Descrição Padronizada]=B48)*(tabDados[Valor Unitário]&lt;&gt;""),
         tabDados[Valor Unitário],""
      ),
   C$1),
   _xlfn.MINIFS(tabDados[Valor Unitário],tabDados[Descrição Padronizada],B48)
))</f>
        <v>1350</v>
      </c>
      <c r="D48" s="16">
        <f t="array" ref="D48">IF(B48="","---",IFERROR(
   _xlfn.PERCENTILE.INC(
      IF((tabDados[Descrição Padronizada]=B48)*(tabDados[Valor Unitário]&lt;&gt;""),
         tabDados[Valor Unitário],""
      ),
   D$1),
   _xlfn.MAXIFS(tabDados[Valor Unitário],tabDados[Descrição Padronizada],B48)
))</f>
        <v>2200</v>
      </c>
      <c r="E48" s="16">
        <f>IF(OR(B48="",B48="---"),"---",
   IFERROR(AVERAGEIFS(tabDados[Valor Unitário],tabDados[Descrição Padronizada],B48,tabDados[Valor Unitário],"&gt;="&amp;C48,tabDados[Valor Unitário],"&lt;="&amp;D48),AVERAGE(C48,D48))
)</f>
        <v>1621.5050000000001</v>
      </c>
      <c r="F48" s="12">
        <f t="array" ref="F48">IF(OR(B48="",B48="---"),"---",TRUNC(IFERROR(MODE(IF((tabDados[Descrição Padronizada]=B48)*(tabDados[Vida Útil (meses)]&lt;&gt;""),tabDados[Vida Útil (meses)],"-")),AVERAGEIFS(tabDados[Vida Útil (meses)],tabDados[Descrição Padronizada],B48))+0.5))</f>
        <v>24</v>
      </c>
      <c r="G48" s="13">
        <f>IF(OR(B48="",B48="---"),"---",TRUNC(IFERROR(AVERAGEIFS(tabDados[Manutenção (%)],tabDados[Descrição Padronizada],B48,tabDados[Manutenção (%)],"&gt;"&amp;0),0)*10000)/10000)</f>
        <v>1.3299999999999999E-2</v>
      </c>
      <c r="H48" s="24">
        <f>IF(OR(B48="---",B48=""),"---",COUNTIF(tabDados[[#All],[Descrição Padronizada]],B48))</f>
        <v>5</v>
      </c>
      <c r="I48" s="24" t="s">
        <v>20</v>
      </c>
    </row>
    <row r="49" spans="1:9" x14ac:dyDescent="0.35">
      <c r="A49" s="15">
        <v>47</v>
      </c>
      <c r="B49" s="11" t="str">
        <v>carrinho funcional completo</v>
      </c>
      <c r="C49" s="16">
        <f t="array" ref="C49">IF(B49="","---",IFERROR(
   _xlfn.PERCENTILE.INC(
      IF((tabDados[Descrição Padronizada]=B49)*(tabDados[Valor Unitário]&lt;&gt;""),
         tabDados[Valor Unitário],""
      ),
   C$1),
   _xlfn.MINIFS(tabDados[Valor Unitário],tabDados[Descrição Padronizada],B49)
))</f>
        <v>821.26</v>
      </c>
      <c r="D49" s="16">
        <f t="array" ref="D49">IF(B49="","---",IFERROR(
   _xlfn.PERCENTILE.INC(
      IF((tabDados[Descrição Padronizada]=B49)*(tabDados[Valor Unitário]&lt;&gt;""),
         tabDados[Valor Unitário],""
      ),
   D$1),
   _xlfn.MAXIFS(tabDados[Valor Unitário],tabDados[Descrição Padronizada],B49)
))</f>
        <v>1261.74</v>
      </c>
      <c r="E49" s="16">
        <f>IF(OR(B49="",B49="---"),"---",
   IFERROR(AVERAGEIFS(tabDados[Valor Unitário],tabDados[Descrição Padronizada],B49,tabDados[Valor Unitário],"&gt;="&amp;C49,tabDados[Valor Unitário],"&lt;="&amp;D49),AVERAGE(C49,D49))
)</f>
        <v>1090.7172307692308</v>
      </c>
      <c r="F49" s="12">
        <f t="array" ref="F49">IF(OR(B49="",B49="---"),"---",TRUNC(IFERROR(MODE(IF((tabDados[Descrição Padronizada]=B49)*(tabDados[Vida Útil (meses)]&lt;&gt;""),tabDados[Vida Útil (meses)],"-")),AVERAGEIFS(tabDados[Vida Útil (meses)],tabDados[Descrição Padronizada],B49))+0.5))</f>
        <v>60</v>
      </c>
      <c r="G49" s="13">
        <f>IF(OR(B49="",B49="---"),"---",TRUNC(IFERROR(AVERAGEIFS(tabDados[Manutenção (%)],tabDados[Descrição Padronizada],B49,tabDados[Manutenção (%)],"&gt;"&amp;0),0)*10000)/10000)</f>
        <v>1.6500000000000001E-2</v>
      </c>
      <c r="H49" s="24">
        <f>IF(OR(B49="---",B49=""),"---",COUNTIF(tabDados[[#All],[Descrição Padronizada]],B49))</f>
        <v>245</v>
      </c>
      <c r="I49" s="24" t="s">
        <v>19</v>
      </c>
    </row>
    <row r="50" spans="1:9" hidden="1" x14ac:dyDescent="0.35">
      <c r="A50" s="15">
        <v>48</v>
      </c>
      <c r="B50" s="11" t="str">
        <v>carrinho plataforma</v>
      </c>
      <c r="C50" s="16">
        <f t="array" ref="C50">IF(B50="","---",IFERROR(
   _xlfn.PERCENTILE.INC(
      IF((tabDados[Descrição Padronizada]=B50)*(tabDados[Valor Unitário]&lt;&gt;""),
         tabDados[Valor Unitário],""
      ),
   C$1),
   _xlfn.MINIFS(tabDados[Valor Unitário],tabDados[Descrição Padronizada],B50)
))</f>
        <v>350</v>
      </c>
      <c r="D50" s="16">
        <f t="array" ref="D50">IF(B50="","---",IFERROR(
   _xlfn.PERCENTILE.INC(
      IF((tabDados[Descrição Padronizada]=B50)*(tabDados[Valor Unitário]&lt;&gt;""),
         tabDados[Valor Unitário],""
      ),
   D$1),
   _xlfn.MAXIFS(tabDados[Valor Unitário],tabDados[Descrição Padronizada],B50)
))</f>
        <v>1000</v>
      </c>
      <c r="E50" s="16">
        <f>IF(OR(B50="",B50="---"),"---",
   IFERROR(AVERAGEIFS(tabDados[Valor Unitário],tabDados[Descrição Padronizada],B50,tabDados[Valor Unitário],"&gt;="&amp;C50,tabDados[Valor Unitário],"&lt;="&amp;D50),AVERAGE(C50,D50))
)</f>
        <v>569.5</v>
      </c>
      <c r="F50" s="12">
        <f t="array" ref="F50">IF(OR(B50="",B50="---"),"---",TRUNC(IFERROR(MODE(IF((tabDados[Descrição Padronizada]=B50)*(tabDados[Vida Útil (meses)]&lt;&gt;""),tabDados[Vida Útil (meses)],"-")),AVERAGEIFS(tabDados[Vida Útil (meses)],tabDados[Descrição Padronizada],B50))+0.5))</f>
        <v>36</v>
      </c>
      <c r="G50" s="13">
        <f>IF(OR(B50="",B50="---"),"---",TRUNC(IFERROR(AVERAGEIFS(tabDados[Manutenção (%)],tabDados[Descrição Padronizada],B50,tabDados[Manutenção (%)],"&gt;"&amp;0),0)*10000)/10000)</f>
        <v>1.67E-2</v>
      </c>
      <c r="H50" s="24">
        <f>IF(OR(B50="---",B50=""),"---",COUNTIF(tabDados[[#All],[Descrição Padronizada]],B50))</f>
        <v>17</v>
      </c>
      <c r="I50" s="24" t="s">
        <v>20</v>
      </c>
    </row>
    <row r="51" spans="1:9" hidden="1" x14ac:dyDescent="0.35">
      <c r="A51" s="15">
        <v>49</v>
      </c>
      <c r="B51" s="11" t="str">
        <v>carro cuba 200 l</v>
      </c>
      <c r="C51" s="16">
        <f t="array" ref="C51">IF(B51="","---",IFERROR(
   _xlfn.PERCENTILE.INC(
      IF((tabDados[Descrição Padronizada]=B51)*(tabDados[Valor Unitário]&lt;&gt;""),
         tabDados[Valor Unitário],""
      ),
   C$1),
   _xlfn.MINIFS(tabDados[Valor Unitário],tabDados[Descrição Padronizada],B51)
))</f>
        <v>500</v>
      </c>
      <c r="D51" s="16">
        <f t="array" ref="D51">IF(B51="","---",IFERROR(
   _xlfn.PERCENTILE.INC(
      IF((tabDados[Descrição Padronizada]=B51)*(tabDados[Valor Unitário]&lt;&gt;""),
         tabDados[Valor Unitário],""
      ),
   D$1),
   _xlfn.MAXIFS(tabDados[Valor Unitário],tabDados[Descrição Padronizada],B51)
))</f>
        <v>895.35500000000002</v>
      </c>
      <c r="E51" s="16">
        <f>IF(OR(B51="",B51="---"),"---",
   IFERROR(AVERAGEIFS(tabDados[Valor Unitário],tabDados[Descrição Padronizada],B51,tabDados[Valor Unitário],"&gt;="&amp;C51,tabDados[Valor Unitário],"&lt;="&amp;D51),AVERAGE(C51,D51))
)</f>
        <v>620.6</v>
      </c>
      <c r="F51" s="12">
        <f t="array" ref="F51">IF(OR(B51="",B51="---"),"---",TRUNC(IFERROR(MODE(IF((tabDados[Descrição Padronizada]=B51)*(tabDados[Vida Útil (meses)]&lt;&gt;""),tabDados[Vida Útil (meses)],"-")),AVERAGEIFS(tabDados[Vida Útil (meses)],tabDados[Descrição Padronizada],B51))+0.5))</f>
        <v>60</v>
      </c>
      <c r="G51" s="13">
        <f>IF(OR(B51="",B51="---"),"---",TRUNC(IFERROR(AVERAGEIFS(tabDados[Manutenção (%)],tabDados[Descrição Padronizada],B51,tabDados[Manutenção (%)],"&gt;"&amp;0),0)*10000)/10000)</f>
        <v>1.4E-2</v>
      </c>
      <c r="H51" s="24">
        <f>IF(OR(B51="---",B51=""),"---",COUNTIF(tabDados[[#All],[Descrição Padronizada]],B51))</f>
        <v>18</v>
      </c>
      <c r="I51" s="24" t="s">
        <v>20</v>
      </c>
    </row>
    <row r="52" spans="1:9" hidden="1" x14ac:dyDescent="0.35">
      <c r="A52" s="15">
        <v>50</v>
      </c>
      <c r="B52" s="11" t="str">
        <v>carro cuba 400 l</v>
      </c>
      <c r="C52" s="16">
        <f t="array" ref="C52">IF(B52="","---",IFERROR(
   _xlfn.PERCENTILE.INC(
      IF((tabDados[Descrição Padronizada]=B52)*(tabDados[Valor Unitário]&lt;&gt;""),
         tabDados[Valor Unitário],""
      ),
   C$1),
   _xlfn.MINIFS(tabDados[Valor Unitário],tabDados[Descrição Padronizada],B52)
))</f>
        <v>1123.4524999999999</v>
      </c>
      <c r="D52" s="16">
        <f t="array" ref="D52">IF(B52="","---",IFERROR(
   _xlfn.PERCENTILE.INC(
      IF((tabDados[Descrição Padronizada]=B52)*(tabDados[Valor Unitário]&lt;&gt;""),
         tabDados[Valor Unitário],""
      ),
   D$1),
   _xlfn.MAXIFS(tabDados[Valor Unitário],tabDados[Descrição Padronizada],B52)
))</f>
        <v>2294.5</v>
      </c>
      <c r="E52" s="16">
        <f>IF(OR(B52="",B52="---"),"---",
   IFERROR(AVERAGEIFS(tabDados[Valor Unitário],tabDados[Descrição Padronizada],B52,tabDados[Valor Unitário],"&gt;="&amp;C52,tabDados[Valor Unitário],"&lt;="&amp;D52),AVERAGE(C52,D52))
)</f>
        <v>1396.83</v>
      </c>
      <c r="F52" s="12">
        <f t="array" ref="F52">IF(OR(B52="",B52="---"),"---",TRUNC(IFERROR(MODE(IF((tabDados[Descrição Padronizada]=B52)*(tabDados[Vida Útil (meses)]&lt;&gt;""),tabDados[Vida Útil (meses)],"-")),AVERAGEIFS(tabDados[Vida Útil (meses)],tabDados[Descrição Padronizada],B52))+0.5))</f>
        <v>36</v>
      </c>
      <c r="G52" s="13">
        <f>IF(OR(B52="",B52="---"),"---",TRUNC(IFERROR(AVERAGEIFS(tabDados[Manutenção (%)],tabDados[Descrição Padronizada],B52,tabDados[Manutenção (%)],"&gt;"&amp;0),0)*10000)/10000)</f>
        <v>1.44E-2</v>
      </c>
      <c r="H52" s="24">
        <f>IF(OR(B52="---",B52=""),"---",COUNTIF(tabDados[[#All],[Descrição Padronizada]],B52))</f>
        <v>6</v>
      </c>
      <c r="I52" s="24" t="s">
        <v>20</v>
      </c>
    </row>
    <row r="53" spans="1:9" hidden="1" x14ac:dyDescent="0.35">
      <c r="A53" s="15">
        <v>51</v>
      </c>
      <c r="B53" s="11" t="str">
        <v>carro cuba 440 l</v>
      </c>
      <c r="C53" s="16">
        <f t="array" ref="C53">IF(B53="","---",IFERROR(
   _xlfn.PERCENTILE.INC(
      IF((tabDados[Descrição Padronizada]=B53)*(tabDados[Valor Unitário]&lt;&gt;""),
         tabDados[Valor Unitário],""
      ),
   C$1),
   _xlfn.MINIFS(tabDados[Valor Unitário],tabDados[Descrição Padronizada],B53)
))</f>
        <v>1509.57</v>
      </c>
      <c r="D53" s="16">
        <f t="array" ref="D53">IF(B53="","---",IFERROR(
   _xlfn.PERCENTILE.INC(
      IF((tabDados[Descrição Padronizada]=B53)*(tabDados[Valor Unitário]&lt;&gt;""),
         tabDados[Valor Unitário],""
      ),
   D$1),
   _xlfn.MAXIFS(tabDados[Valor Unitário],tabDados[Descrição Padronizada],B53)
))</f>
        <v>1778.71</v>
      </c>
      <c r="E53" s="16">
        <f>IF(OR(B53="",B53="---"),"---",
   IFERROR(AVERAGEIFS(tabDados[Valor Unitário],tabDados[Descrição Padronizada],B53,tabDados[Valor Unitário],"&gt;="&amp;C53,tabDados[Valor Unitário],"&lt;="&amp;D53),AVERAGE(C53,D53))
)</f>
        <v>1644.1399999999999</v>
      </c>
      <c r="F53" s="12">
        <f t="array" ref="F53">IF(OR(B53="",B53="---"),"---",TRUNC(IFERROR(MODE(IF((tabDados[Descrição Padronizada]=B53)*(tabDados[Vida Útil (meses)]&lt;&gt;""),tabDados[Vida Útil (meses)],"-")),AVERAGEIFS(tabDados[Vida Útil (meses)],tabDados[Descrição Padronizada],B53))+0.5))</f>
        <v>54</v>
      </c>
      <c r="G53" s="13">
        <f>IF(OR(B53="",B53="---"),"---",TRUNC(IFERROR(AVERAGEIFS(tabDados[Manutenção (%)],tabDados[Descrição Padronizada],B53,tabDados[Manutenção (%)],"&gt;"&amp;0),0)*10000)/10000)</f>
        <v>1.67E-2</v>
      </c>
      <c r="H53" s="24">
        <f>IF(OR(B53="---",B53=""),"---",COUNTIF(tabDados[[#All],[Descrição Padronizada]],B53))</f>
        <v>2</v>
      </c>
      <c r="I53" s="24" t="s">
        <v>20</v>
      </c>
    </row>
    <row r="54" spans="1:9" hidden="1" x14ac:dyDescent="0.35">
      <c r="A54" s="15">
        <v>52</v>
      </c>
      <c r="B54" s="11" t="str">
        <v>carro cuba 600 l</v>
      </c>
      <c r="C54" s="16">
        <f t="array" ref="C54">IF(B54="","---",IFERROR(
   _xlfn.PERCENTILE.INC(
      IF((tabDados[Descrição Padronizada]=B54)*(tabDados[Valor Unitário]&lt;&gt;""),
         tabDados[Valor Unitário],""
      ),
   C$1),
   _xlfn.MINIFS(tabDados[Valor Unitário],tabDados[Descrição Padronizada],B54)
))</f>
        <v>2086.56</v>
      </c>
      <c r="D54" s="16">
        <f t="array" ref="D54">IF(B54="","---",IFERROR(
   _xlfn.PERCENTILE.INC(
      IF((tabDados[Descrição Padronizada]=B54)*(tabDados[Valor Unitário]&lt;&gt;""),
         tabDados[Valor Unitário],""
      ),
   D$1),
   _xlfn.MAXIFS(tabDados[Valor Unitário],tabDados[Descrição Padronizada],B54)
))</f>
        <v>3197.1549999999997</v>
      </c>
      <c r="E54" s="16">
        <f>IF(OR(B54="",B54="---"),"---",
   IFERROR(AVERAGEIFS(tabDados[Valor Unitário],tabDados[Descrição Padronizada],B54,tabDados[Valor Unitário],"&gt;="&amp;C54,tabDados[Valor Unitário],"&lt;="&amp;D54),AVERAGE(C54,D54))
)</f>
        <v>2463.12</v>
      </c>
      <c r="F54" s="12">
        <f t="array" ref="F54">IF(OR(B54="",B54="---"),"---",TRUNC(IFERROR(MODE(IF((tabDados[Descrição Padronizada]=B54)*(tabDados[Vida Útil (meses)]&lt;&gt;""),tabDados[Vida Útil (meses)],"-")),AVERAGEIFS(tabDados[Vida Útil (meses)],tabDados[Descrição Padronizada],B54))+0.5))</f>
        <v>60</v>
      </c>
      <c r="G54" s="13">
        <f>IF(OR(B54="",B54="---"),"---",TRUNC(IFERROR(AVERAGEIFS(tabDados[Manutenção (%)],tabDados[Descrição Padronizada],B54,tabDados[Manutenção (%)],"&gt;"&amp;0),0)*10000)/10000)</f>
        <v>1.67E-2</v>
      </c>
      <c r="H54" s="24">
        <f>IF(OR(B54="---",B54=""),"---",COUNTIF(tabDados[[#All],[Descrição Padronizada]],B54))</f>
        <v>3</v>
      </c>
      <c r="I54" s="24" t="s">
        <v>20</v>
      </c>
    </row>
    <row r="55" spans="1:9" x14ac:dyDescent="0.35">
      <c r="A55" s="15">
        <v>53</v>
      </c>
      <c r="B55" s="11" t="str">
        <v>celular smartphone com plano de dados</v>
      </c>
      <c r="C55" s="16">
        <f t="array" ref="C55">IF(B55="","---",IFERROR(
   _xlfn.PERCENTILE.INC(
      IF((tabDados[Descrição Padronizada]=B55)*(tabDados[Valor Unitário]&lt;&gt;""),
         tabDados[Valor Unitário],""
      ),
   C$1),
   _xlfn.MINIFS(tabDados[Valor Unitário],tabDados[Descrição Padronizada],B55)
))</f>
        <v>70</v>
      </c>
      <c r="D55" s="16">
        <f t="array" ref="D55">IF(B55="","---",IFERROR(
   _xlfn.PERCENTILE.INC(
      IF((tabDados[Descrição Padronizada]=B55)*(tabDados[Valor Unitário]&lt;&gt;""),
         tabDados[Valor Unitário],""
      ),
   D$1),
   _xlfn.MAXIFS(tabDados[Valor Unitário],tabDados[Descrição Padronizada],B55)
))</f>
        <v>551.02</v>
      </c>
      <c r="E55" s="16">
        <f>IF(OR(B55="",B55="---"),"---",
   IFERROR(AVERAGEIFS(tabDados[Valor Unitário],tabDados[Descrição Padronizada],B55,tabDados[Valor Unitário],"&gt;="&amp;C55,tabDados[Valor Unitário],"&lt;="&amp;D55),AVERAGE(C55,D55))
)</f>
        <v>108.43416666666667</v>
      </c>
      <c r="F55" s="12">
        <f t="array" ref="F55">IF(OR(B55="",B55="---"),"---",TRUNC(IFERROR(MODE(IF((tabDados[Descrição Padronizada]=B55)*(tabDados[Vida Útil (meses)]&lt;&gt;""),tabDados[Vida Útil (meses)],"-")),AVERAGEIFS(tabDados[Vida Útil (meses)],tabDados[Descrição Padronizada],B55))+0.5))</f>
        <v>1</v>
      </c>
      <c r="G55" s="13">
        <f>IF(OR(B55="",B55="---"),"---",TRUNC(IFERROR(AVERAGEIFS(tabDados[Manutenção (%)],tabDados[Descrição Padronizada],B55,tabDados[Manutenção (%)],"&gt;"&amp;0),0)*10000)/10000)</f>
        <v>8.5000000000000006E-3</v>
      </c>
      <c r="H55" s="24">
        <f>IF(OR(B55="---",B55=""),"---",COUNTIF(tabDados[[#All],[Descrição Padronizada]],B55))</f>
        <v>55</v>
      </c>
      <c r="I55" s="24" t="s">
        <v>19</v>
      </c>
    </row>
    <row r="56" spans="1:9" hidden="1" x14ac:dyDescent="0.35">
      <c r="A56" s="15">
        <v>54</v>
      </c>
      <c r="B56" s="11" t="str">
        <v>cesto aramado para 3 bombonas de 5 l</v>
      </c>
      <c r="C56" s="16">
        <f t="array" ref="C56">IF(B56="","---",IFERROR(
   _xlfn.PERCENTILE.INC(
      IF((tabDados[Descrição Padronizada]=B56)*(tabDados[Valor Unitário]&lt;&gt;""),
         tabDados[Valor Unitário],""
      ),
   C$1),
   _xlfn.MINIFS(tabDados[Valor Unitário],tabDados[Descrição Padronizada],B56)
))</f>
        <v>130</v>
      </c>
      <c r="D56" s="16">
        <f t="array" ref="D56">IF(B56="","---",IFERROR(
   _xlfn.PERCENTILE.INC(
      IF((tabDados[Descrição Padronizada]=B56)*(tabDados[Valor Unitário]&lt;&gt;""),
         tabDados[Valor Unitário],""
      ),
   D$1),
   _xlfn.MAXIFS(tabDados[Valor Unitário],tabDados[Descrição Padronizada],B56)
))</f>
        <v>384</v>
      </c>
      <c r="E56" s="16">
        <f>IF(OR(B56="",B56="---"),"---",
   IFERROR(AVERAGEIFS(tabDados[Valor Unitário],tabDados[Descrição Padronizada],B56,tabDados[Valor Unitário],"&gt;="&amp;C56,tabDados[Valor Unitário],"&lt;="&amp;D56),AVERAGE(C56,D56))
)</f>
        <v>193.5</v>
      </c>
      <c r="F56" s="12">
        <f t="array" ref="F56">IF(OR(B56="",B56="---"),"---",TRUNC(IFERROR(MODE(IF((tabDados[Descrição Padronizada]=B56)*(tabDados[Vida Útil (meses)]&lt;&gt;""),tabDados[Vida Útil (meses)],"-")),AVERAGEIFS(tabDados[Vida Útil (meses)],tabDados[Descrição Padronizada],B56))+0.5))</f>
        <v>12</v>
      </c>
      <c r="G56" s="13">
        <f>IF(OR(B56="",B56="---"),"---",TRUNC(IFERROR(AVERAGEIFS(tabDados[Manutenção (%)],tabDados[Descrição Padronizada],B56,tabDados[Manutenção (%)],"&gt;"&amp;0),0)*10000)/10000)</f>
        <v>1.3299999999999999E-2</v>
      </c>
      <c r="H56" s="24">
        <f>IF(OR(B56="---",B56=""),"---",COUNTIF(tabDados[[#All],[Descrição Padronizada]],B56))</f>
        <v>5</v>
      </c>
      <c r="I56" s="24" t="s">
        <v>20</v>
      </c>
    </row>
    <row r="57" spans="1:9" x14ac:dyDescent="0.35">
      <c r="A57" s="15">
        <v>55</v>
      </c>
      <c r="B57" s="11" t="str">
        <v>cesto funcional multiuso</v>
      </c>
      <c r="C57" s="16">
        <f t="array" ref="C57">IF(B57="","---",IFERROR(
   _xlfn.PERCENTILE.INC(
      IF((tabDados[Descrição Padronizada]=B57)*(tabDados[Valor Unitário]&lt;&gt;""),
         tabDados[Valor Unitário],""
      ),
   C$1),
   _xlfn.MINIFS(tabDados[Valor Unitário],tabDados[Descrição Padronizada],B57)
))</f>
        <v>26</v>
      </c>
      <c r="D57" s="16">
        <f t="array" ref="D57">IF(B57="","---",IFERROR(
   _xlfn.PERCENTILE.INC(
      IF((tabDados[Descrição Padronizada]=B57)*(tabDados[Valor Unitário]&lt;&gt;""),
         tabDados[Valor Unitário],""
      ),
   D$1),
   _xlfn.MAXIFS(tabDados[Valor Unitário],tabDados[Descrição Padronizada],B57)
))</f>
        <v>42</v>
      </c>
      <c r="E57" s="16">
        <f>IF(OR(B57="",B57="---"),"---",
   IFERROR(AVERAGEIFS(tabDados[Valor Unitário],tabDados[Descrição Padronizada],B57,tabDados[Valor Unitário],"&gt;="&amp;C57,tabDados[Valor Unitário],"&lt;="&amp;D57),AVERAGE(C57,D57))
)</f>
        <v>32.410400000000003</v>
      </c>
      <c r="F57" s="12">
        <f t="array" ref="F57">IF(OR(B57="",B57="---"),"---",TRUNC(IFERROR(MODE(IF((tabDados[Descrição Padronizada]=B57)*(tabDados[Vida Útil (meses)]&lt;&gt;""),tabDados[Vida Útil (meses)],"-")),AVERAGEIFS(tabDados[Vida Útil (meses)],tabDados[Descrição Padronizada],B57))+0.5))</f>
        <v>12</v>
      </c>
      <c r="G57" s="13">
        <f>IF(OR(B57="",B57="---"),"---",TRUNC(IFERROR(AVERAGEIFS(tabDados[Manutenção (%)],tabDados[Descrição Padronizada],B57,tabDados[Manutenção (%)],"&gt;"&amp;0),0)*10000)/10000)</f>
        <v>1.5699999999999999E-2</v>
      </c>
      <c r="H57" s="24">
        <f>IF(OR(B57="---",B57=""),"---",COUNTIF(tabDados[[#All],[Descrição Padronizada]],B57))</f>
        <v>41</v>
      </c>
      <c r="I57" s="24" t="s">
        <v>19</v>
      </c>
    </row>
    <row r="58" spans="1:9" hidden="1" x14ac:dyDescent="0.35">
      <c r="A58" s="15">
        <v>56</v>
      </c>
      <c r="B58" s="11" t="str">
        <v>cesto porta guarda-chuva</v>
      </c>
      <c r="C58" s="16">
        <f t="array" ref="C58">IF(B58="","---",IFERROR(
   _xlfn.PERCENTILE.INC(
      IF((tabDados[Descrição Padronizada]=B58)*(tabDados[Valor Unitário]&lt;&gt;""),
         tabDados[Valor Unitário],""
      ),
   C$1),
   _xlfn.MINIFS(tabDados[Valor Unitário],tabDados[Descrição Padronizada],B58)
))</f>
        <v>52.9</v>
      </c>
      <c r="D58" s="16">
        <f t="array" ref="D58">IF(B58="","---",IFERROR(
   _xlfn.PERCENTILE.INC(
      IF((tabDados[Descrição Padronizada]=B58)*(tabDados[Valor Unitário]&lt;&gt;""),
         tabDados[Valor Unitário],""
      ),
   D$1),
   _xlfn.MAXIFS(tabDados[Valor Unitário],tabDados[Descrição Padronizada],B58)
))</f>
        <v>52.9</v>
      </c>
      <c r="E58" s="16">
        <f>IF(OR(B58="",B58="---"),"---",
   IFERROR(AVERAGEIFS(tabDados[Valor Unitário],tabDados[Descrição Padronizada],B58,tabDados[Valor Unitário],"&gt;="&amp;C58,tabDados[Valor Unitário],"&lt;="&amp;D58),AVERAGE(C58,D58))
)</f>
        <v>52.9</v>
      </c>
      <c r="F58" s="12">
        <f t="array" ref="F58">IF(OR(B58="",B58="---"),"---",TRUNC(IFERROR(MODE(IF((tabDados[Descrição Padronizada]=B58)*(tabDados[Vida Útil (meses)]&lt;&gt;""),tabDados[Vida Útil (meses)],"-")),AVERAGEIFS(tabDados[Vida Útil (meses)],tabDados[Descrição Padronizada],B58))+0.5))</f>
        <v>60</v>
      </c>
      <c r="G58" s="13">
        <f>IF(OR(B58="",B58="---"),"---",TRUNC(IFERROR(AVERAGEIFS(tabDados[Manutenção (%)],tabDados[Descrição Padronizada],B58,tabDados[Manutenção (%)],"&gt;"&amp;0),0)*10000)/10000)</f>
        <v>0</v>
      </c>
      <c r="H58" s="24">
        <f>IF(OR(B58="---",B58=""),"---",COUNTIF(tabDados[[#All],[Descrição Padronizada]],B58))</f>
        <v>10</v>
      </c>
      <c r="I58" s="24" t="s">
        <v>20</v>
      </c>
    </row>
    <row r="59" spans="1:9" hidden="1" x14ac:dyDescent="0.35">
      <c r="A59" s="15">
        <v>57</v>
      </c>
      <c r="B59" s="11" t="str">
        <v>chapeira para cartão de ponto com 50 lugares</v>
      </c>
      <c r="C59" s="16">
        <f t="array" ref="C59">IF(B59="","---",IFERROR(
   _xlfn.PERCENTILE.INC(
      IF((tabDados[Descrição Padronizada]=B59)*(tabDados[Valor Unitário]&lt;&gt;""),
         tabDados[Valor Unitário],""
      ),
   C$1),
   _xlfn.MINIFS(tabDados[Valor Unitário],tabDados[Descrição Padronizada],B59)
))</f>
        <v>110</v>
      </c>
      <c r="D59" s="16">
        <f t="array" ref="D59">IF(B59="","---",IFERROR(
   _xlfn.PERCENTILE.INC(
      IF((tabDados[Descrição Padronizada]=B59)*(tabDados[Valor Unitário]&lt;&gt;""),
         tabDados[Valor Unitário],""
      ),
   D$1),
   _xlfn.MAXIFS(tabDados[Valor Unitário],tabDados[Descrição Padronizada],B59)
))</f>
        <v>110</v>
      </c>
      <c r="E59" s="16">
        <f>IF(OR(B59="",B59="---"),"---",
   IFERROR(AVERAGEIFS(tabDados[Valor Unitário],tabDados[Descrição Padronizada],B59,tabDados[Valor Unitário],"&gt;="&amp;C59,tabDados[Valor Unitário],"&lt;="&amp;D59),AVERAGE(C59,D59))
)</f>
        <v>110</v>
      </c>
      <c r="F59" s="12">
        <f t="array" ref="F59">IF(OR(B59="",B59="---"),"---",TRUNC(IFERROR(MODE(IF((tabDados[Descrição Padronizada]=B59)*(tabDados[Vida Útil (meses)]&lt;&gt;""),tabDados[Vida Útil (meses)],"-")),AVERAGEIFS(tabDados[Vida Útil (meses)],tabDados[Descrição Padronizada],B59))+0.5))</f>
        <v>12</v>
      </c>
      <c r="G59" s="13">
        <f>IF(OR(B59="",B59="---"),"---",TRUNC(IFERROR(AVERAGEIFS(tabDados[Manutenção (%)],tabDados[Descrição Padronizada],B59,tabDados[Manutenção (%)],"&gt;"&amp;0),0)*10000)/10000)</f>
        <v>1.67E-2</v>
      </c>
      <c r="H59" s="24">
        <f>IF(OR(B59="---",B59=""),"---",COUNTIF(tabDados[[#All],[Descrição Padronizada]],B59))</f>
        <v>5</v>
      </c>
      <c r="I59" s="24" t="s">
        <v>20</v>
      </c>
    </row>
    <row r="60" spans="1:9" x14ac:dyDescent="0.35">
      <c r="A60" s="15">
        <v>58</v>
      </c>
      <c r="B60" s="11" t="str">
        <v>conjunto de balde com mop</v>
      </c>
      <c r="C60" s="16">
        <f t="array" ref="C60">IF(B60="","---",IFERROR(
   _xlfn.PERCENTILE.INC(
      IF((tabDados[Descrição Padronizada]=B60)*(tabDados[Valor Unitário]&lt;&gt;""),
         tabDados[Valor Unitário],""
      ),
   C$1),
   _xlfn.MINIFS(tabDados[Valor Unitário],tabDados[Descrição Padronizada],B60)
))</f>
        <v>50</v>
      </c>
      <c r="D60" s="16">
        <f t="array" ref="D60">IF(B60="","---",IFERROR(
   _xlfn.PERCENTILE.INC(
      IF((tabDados[Descrição Padronizada]=B60)*(tabDados[Valor Unitário]&lt;&gt;""),
         tabDados[Valor Unitário],""
      ),
   D$1),
   _xlfn.MAXIFS(tabDados[Valor Unitário],tabDados[Descrição Padronizada],B60)
))</f>
        <v>150</v>
      </c>
      <c r="E60" s="16">
        <f>IF(OR(B60="",B60="---"),"---",
   IFERROR(AVERAGEIFS(tabDados[Valor Unitário],tabDados[Descrição Padronizada],B60,tabDados[Valor Unitário],"&gt;="&amp;C60,tabDados[Valor Unitário],"&lt;="&amp;D60),AVERAGE(C60,D60))
)</f>
        <v>96.904000000000011</v>
      </c>
      <c r="F60" s="12">
        <f t="array" ref="F60">IF(OR(B60="",B60="---"),"---",TRUNC(IFERROR(MODE(IF((tabDados[Descrição Padronizada]=B60)*(tabDados[Vida Útil (meses)]&lt;&gt;""),tabDados[Vida Útil (meses)],"-")),AVERAGEIFS(tabDados[Vida Útil (meses)],tabDados[Descrição Padronizada],B60))+0.5))</f>
        <v>12</v>
      </c>
      <c r="G60" s="13">
        <f>IF(OR(B60="",B60="---"),"---",TRUNC(IFERROR(AVERAGEIFS(tabDados[Manutenção (%)],tabDados[Descrição Padronizada],B60,tabDados[Manutenção (%)],"&gt;"&amp;0),0)*10000)/10000)</f>
        <v>1.5699999999999999E-2</v>
      </c>
      <c r="H60" s="24">
        <f>IF(OR(B60="---",B60=""),"---",COUNTIF(tabDados[[#All],[Descrição Padronizada]],B60))</f>
        <v>56</v>
      </c>
      <c r="I60" s="24" t="s">
        <v>19</v>
      </c>
    </row>
    <row r="61" spans="1:9" hidden="1" x14ac:dyDescent="0.35">
      <c r="A61" s="15">
        <v>59</v>
      </c>
      <c r="B61" s="11" t="str">
        <v>conservadora de piso</v>
      </c>
      <c r="C61" s="16">
        <f t="array" ref="C61">IF(B61="","---",IFERROR(
   _xlfn.PERCENTILE.INC(
      IF((tabDados[Descrição Padronizada]=B61)*(tabDados[Valor Unitário]&lt;&gt;""),
         tabDados[Valor Unitário],""
      ),
   C$1),
   _xlfn.MINIFS(tabDados[Valor Unitário],tabDados[Descrição Padronizada],B61)
))</f>
        <v>1945.2874999999999</v>
      </c>
      <c r="D61" s="16">
        <f t="array" ref="D61">IF(B61="","---",IFERROR(
   _xlfn.PERCENTILE.INC(
      IF((tabDados[Descrição Padronizada]=B61)*(tabDados[Valor Unitário]&lt;&gt;""),
         tabDados[Valor Unitário],""
      ),
   D$1),
   _xlfn.MAXIFS(tabDados[Valor Unitário],tabDados[Descrição Padronizada],B61)
))</f>
        <v>2286.2424999999998</v>
      </c>
      <c r="E61" s="16">
        <f>IF(OR(B61="",B61="---"),"---",
   IFERROR(AVERAGEIFS(tabDados[Valor Unitário],tabDados[Descrição Padronizada],B61,tabDados[Valor Unitário],"&gt;="&amp;C61,tabDados[Valor Unitário],"&lt;="&amp;D61),AVERAGE(C61,D61))
)</f>
        <v>2115.7649999999999</v>
      </c>
      <c r="F61" s="12">
        <f t="array" ref="F61">IF(OR(B61="",B61="---"),"---",TRUNC(IFERROR(MODE(IF((tabDados[Descrição Padronizada]=B61)*(tabDados[Vida Útil (meses)]&lt;&gt;""),tabDados[Vida Útil (meses)],"-")),AVERAGEIFS(tabDados[Vida Útil (meses)],tabDados[Descrição Padronizada],B61))+0.5))</f>
        <v>60</v>
      </c>
      <c r="G61" s="13">
        <f>IF(OR(B61="",B61="---"),"---",TRUNC(IFERROR(AVERAGEIFS(tabDados[Manutenção (%)],tabDados[Descrição Padronizada],B61,tabDados[Manutenção (%)],"&gt;"&amp;0),0)*10000)/10000)</f>
        <v>1.67E-2</v>
      </c>
      <c r="H61" s="24">
        <f>IF(OR(B61="---",B61=""),"---",COUNTIF(tabDados[[#All],[Descrição Padronizada]],B61))</f>
        <v>2</v>
      </c>
      <c r="I61" s="24" t="s">
        <v>20</v>
      </c>
    </row>
    <row r="62" spans="1:9" hidden="1" x14ac:dyDescent="0.35">
      <c r="A62" s="15">
        <v>60</v>
      </c>
      <c r="B62" s="11" t="str">
        <v>cortador de grama</v>
      </c>
      <c r="C62" s="16">
        <f t="array" ref="C62">IF(B62="","---",IFERROR(
   _xlfn.PERCENTILE.INC(
      IF((tabDados[Descrição Padronizada]=B62)*(tabDados[Valor Unitário]&lt;&gt;""),
         tabDados[Valor Unitário],""
      ),
   C$1),
   _xlfn.MINIFS(tabDados[Valor Unitário],tabDados[Descrição Padronizada],B62)
))</f>
        <v>2800</v>
      </c>
      <c r="D62" s="16">
        <f t="array" ref="D62">IF(B62="","---",IFERROR(
   _xlfn.PERCENTILE.INC(
      IF((tabDados[Descrição Padronizada]=B62)*(tabDados[Valor Unitário]&lt;&gt;""),
         tabDados[Valor Unitário],""
      ),
   D$1),
   _xlfn.MAXIFS(tabDados[Valor Unitário],tabDados[Descrição Padronizada],B62)
))</f>
        <v>3840</v>
      </c>
      <c r="E62" s="16">
        <f>IF(OR(B62="",B62="---"),"---",
   IFERROR(AVERAGEIFS(tabDados[Valor Unitário],tabDados[Descrição Padronizada],B62,tabDados[Valor Unitário],"&gt;="&amp;C62,tabDados[Valor Unitário],"&lt;="&amp;D62),AVERAGE(C62,D62))
)</f>
        <v>2893.3333333333335</v>
      </c>
      <c r="F62" s="12">
        <f t="array" ref="F62">IF(OR(B62="",B62="---"),"---",TRUNC(IFERROR(MODE(IF((tabDados[Descrição Padronizada]=B62)*(tabDados[Vida Útil (meses)]&lt;&gt;""),tabDados[Vida Útil (meses)],"-")),AVERAGEIFS(tabDados[Vida Útil (meses)],tabDados[Descrição Padronizada],B62))+0.5))</f>
        <v>60</v>
      </c>
      <c r="G62" s="13">
        <f>IF(OR(B62="",B62="---"),"---",TRUNC(IFERROR(AVERAGEIFS(tabDados[Manutenção (%)],tabDados[Descrição Padronizada],B62,tabDados[Manutenção (%)],"&gt;"&amp;0),0)*10000)/10000)</f>
        <v>1.03E-2</v>
      </c>
      <c r="H62" s="24">
        <f>IF(OR(B62="---",B62=""),"---",COUNTIF(tabDados[[#All],[Descrição Padronizada]],B62))</f>
        <v>10</v>
      </c>
      <c r="I62" s="24" t="s">
        <v>20</v>
      </c>
    </row>
    <row r="63" spans="1:9" hidden="1" x14ac:dyDescent="0.35">
      <c r="A63" s="15">
        <v>61</v>
      </c>
      <c r="B63" s="11" t="str">
        <v>desentupidor de vaso</v>
      </c>
      <c r="C63" s="16">
        <f t="array" ref="C63">IF(B63="","---",IFERROR(
   _xlfn.PERCENTILE.INC(
      IF((tabDados[Descrição Padronizada]=B63)*(tabDados[Valor Unitário]&lt;&gt;""),
         tabDados[Valor Unitário],""
      ),
   C$1),
   _xlfn.MINIFS(tabDados[Valor Unitário],tabDados[Descrição Padronizada],B63)
))</f>
        <v>4.3</v>
      </c>
      <c r="D63" s="16">
        <f t="array" ref="D63">IF(B63="","---",IFERROR(
   _xlfn.PERCENTILE.INC(
      IF((tabDados[Descrição Padronizada]=B63)*(tabDados[Valor Unitário]&lt;&gt;""),
         tabDados[Valor Unitário],""
      ),
   D$1),
   _xlfn.MAXIFS(tabDados[Valor Unitário],tabDados[Descrição Padronizada],B63)
))</f>
        <v>4.37</v>
      </c>
      <c r="E63" s="16">
        <f>IF(OR(B63="",B63="---"),"---",
   IFERROR(AVERAGEIFS(tabDados[Valor Unitário],tabDados[Descrição Padronizada],B63,tabDados[Valor Unitário],"&gt;="&amp;C63,tabDados[Valor Unitário],"&lt;="&amp;D63),AVERAGE(C63,D63))
)</f>
        <v>4.3233333333333333</v>
      </c>
      <c r="F63" s="12">
        <f t="array" ref="F63">IF(OR(B63="",B63="---"),"---",TRUNC(IFERROR(MODE(IF((tabDados[Descrição Padronizada]=B63)*(tabDados[Vida Útil (meses)]&lt;&gt;""),tabDados[Vida Útil (meses)],"-")),AVERAGEIFS(tabDados[Vida Útil (meses)],tabDados[Descrição Padronizada],B63))+0.5))</f>
        <v>15</v>
      </c>
      <c r="G63" s="13">
        <f>IF(OR(B63="",B63="---"),"---",TRUNC(IFERROR(AVERAGEIFS(tabDados[Manutenção (%)],tabDados[Descrição Padronizada],B63,tabDados[Manutenção (%)],"&gt;"&amp;0),0)*10000)/10000)</f>
        <v>1.67E-2</v>
      </c>
      <c r="H63" s="24">
        <f>IF(OR(B63="---",B63=""),"---",COUNTIF(tabDados[[#All],[Descrição Padronizada]],B63))</f>
        <v>5</v>
      </c>
      <c r="I63" s="24" t="s">
        <v>20</v>
      </c>
    </row>
    <row r="64" spans="1:9" hidden="1" x14ac:dyDescent="0.35">
      <c r="A64" s="15">
        <v>62</v>
      </c>
      <c r="B64" s="11" t="str">
        <v>diluidor automático de químicos</v>
      </c>
      <c r="C64" s="16">
        <f t="array" ref="C64">IF(B64="","---",IFERROR(
   _xlfn.PERCENTILE.INC(
      IF((tabDados[Descrição Padronizada]=B64)*(tabDados[Valor Unitário]&lt;&gt;""),
         tabDados[Valor Unitário],""
      ),
   C$1),
   _xlfn.MINIFS(tabDados[Valor Unitário],tabDados[Descrição Padronizada],B64)
))</f>
        <v>211.75</v>
      </c>
      <c r="D64" s="16">
        <f t="array" ref="D64">IF(B64="","---",IFERROR(
   _xlfn.PERCENTILE.INC(
      IF((tabDados[Descrição Padronizada]=B64)*(tabDados[Valor Unitário]&lt;&gt;""),
         tabDados[Valor Unitário],""
      ),
   D$1),
   _xlfn.MAXIFS(tabDados[Valor Unitário],tabDados[Descrição Padronizada],B64)
))</f>
        <v>768.81</v>
      </c>
      <c r="E64" s="16">
        <f>IF(OR(B64="",B64="---"),"---",
   IFERROR(AVERAGEIFS(tabDados[Valor Unitário],tabDados[Descrição Padronizada],B64,tabDados[Valor Unitário],"&gt;="&amp;C64,tabDados[Valor Unitário],"&lt;="&amp;D64),AVERAGE(C64,D64))
)</f>
        <v>289.04750000000001</v>
      </c>
      <c r="F64" s="12">
        <f t="array" ref="F64">IF(OR(B64="",B64="---"),"---",TRUNC(IFERROR(MODE(IF((tabDados[Descrição Padronizada]=B64)*(tabDados[Vida Útil (meses)]&lt;&gt;""),tabDados[Vida Útil (meses)],"-")),AVERAGEIFS(tabDados[Vida Útil (meses)],tabDados[Descrição Padronizada],B64))+0.5))</f>
        <v>36</v>
      </c>
      <c r="G64" s="13">
        <f>IF(OR(B64="",B64="---"),"---",TRUNC(IFERROR(AVERAGEIFS(tabDados[Manutenção (%)],tabDados[Descrição Padronizada],B64,tabDados[Manutenção (%)],"&gt;"&amp;0),0)*10000)/10000)</f>
        <v>7.9000000000000008E-3</v>
      </c>
      <c r="H64" s="24">
        <f>IF(OR(B64="---",B64=""),"---",COUNTIF(tabDados[[#All],[Descrição Padronizada]],B64))</f>
        <v>10</v>
      </c>
      <c r="I64" s="24" t="s">
        <v>20</v>
      </c>
    </row>
    <row r="65" spans="1:9" hidden="1" x14ac:dyDescent="0.35">
      <c r="A65" s="15">
        <v>63</v>
      </c>
      <c r="B65" s="11" t="str">
        <v>disco bonnet para enceradeira 350 mm</v>
      </c>
      <c r="C65" s="16">
        <f t="array" ref="C65">IF(B65="","---",IFERROR(
   _xlfn.PERCENTILE.INC(
      IF((tabDados[Descrição Padronizada]=B65)*(tabDados[Valor Unitário]&lt;&gt;""),
         tabDados[Valor Unitário],""
      ),
   C$1),
   _xlfn.MINIFS(tabDados[Valor Unitário],tabDados[Descrição Padronizada],B65)
))</f>
        <v>30</v>
      </c>
      <c r="D65" s="16">
        <f t="array" ref="D65">IF(B65="","---",IFERROR(
   _xlfn.PERCENTILE.INC(
      IF((tabDados[Descrição Padronizada]=B65)*(tabDados[Valor Unitário]&lt;&gt;""),
         tabDados[Valor Unitário],""
      ),
   D$1),
   _xlfn.MAXIFS(tabDados[Valor Unitário],tabDados[Descrição Padronizada],B65)
))</f>
        <v>30.674999999999997</v>
      </c>
      <c r="E65" s="16">
        <f>IF(OR(B65="",B65="---"),"---",
   IFERROR(AVERAGEIFS(tabDados[Valor Unitário],tabDados[Descrição Padronizada],B65,tabDados[Valor Unitário],"&gt;="&amp;C65,tabDados[Valor Unitário],"&lt;="&amp;D65),AVERAGE(C65,D65))
)</f>
        <v>30</v>
      </c>
      <c r="F65" s="12">
        <f t="array" ref="F65">IF(OR(B65="",B65="---"),"---",TRUNC(IFERROR(MODE(IF((tabDados[Descrição Padronizada]=B65)*(tabDados[Vida Útil (meses)]&lt;&gt;""),tabDados[Vida Útil (meses)],"-")),AVERAGEIFS(tabDados[Vida Útil (meses)],tabDados[Descrição Padronizada],B65))+0.5))</f>
        <v>12</v>
      </c>
      <c r="G65" s="13">
        <f>IF(OR(B65="",B65="---"),"---",TRUNC(IFERROR(AVERAGEIFS(tabDados[Manutenção (%)],tabDados[Descrição Padronizada],B65,tabDados[Manutenção (%)],"&gt;"&amp;0),0)*10000)/10000)</f>
        <v>0.01</v>
      </c>
      <c r="H65" s="24">
        <f>IF(OR(B65="---",B65=""),"---",COUNTIF(tabDados[[#All],[Descrição Padronizada]],B65))</f>
        <v>10</v>
      </c>
      <c r="I65" s="24" t="s">
        <v>20</v>
      </c>
    </row>
    <row r="66" spans="1:9" hidden="1" x14ac:dyDescent="0.35">
      <c r="A66" s="15">
        <v>64</v>
      </c>
      <c r="B66" s="11" t="str">
        <v>disco de escovas para enceradeira</v>
      </c>
      <c r="C66" s="16">
        <f t="array" ref="C66">IF(B66="","---",IFERROR(
   _xlfn.PERCENTILE.INC(
      IF((tabDados[Descrição Padronizada]=B66)*(tabDados[Valor Unitário]&lt;&gt;""),
         tabDados[Valor Unitário],""
      ),
   C$1),
   _xlfn.MINIFS(tabDados[Valor Unitário],tabDados[Descrição Padronizada],B66)
))</f>
        <v>17.23</v>
      </c>
      <c r="D66" s="16">
        <f t="array" ref="D66">IF(B66="","---",IFERROR(
   _xlfn.PERCENTILE.INC(
      IF((tabDados[Descrição Padronizada]=B66)*(tabDados[Valor Unitário]&lt;&gt;""),
         tabDados[Valor Unitário],""
      ),
   D$1),
   _xlfn.MAXIFS(tabDados[Valor Unitário],tabDados[Descrição Padronizada],B66)
))</f>
        <v>24.49</v>
      </c>
      <c r="E66" s="16">
        <f>IF(OR(B66="",B66="---"),"---",
   IFERROR(AVERAGEIFS(tabDados[Valor Unitário],tabDados[Descrição Padronizada],B66,tabDados[Valor Unitário],"&gt;="&amp;C66,tabDados[Valor Unitário],"&lt;="&amp;D66),AVERAGE(C66,D66))
)</f>
        <v>22.36454545454545</v>
      </c>
      <c r="F66" s="12">
        <f t="array" ref="F66">IF(OR(B66="",B66="---"),"---",TRUNC(IFERROR(MODE(IF((tabDados[Descrição Padronizada]=B66)*(tabDados[Vida Útil (meses)]&lt;&gt;""),tabDados[Vida Útil (meses)],"-")),AVERAGEIFS(tabDados[Vida Útil (meses)],tabDados[Descrição Padronizada],B66))+0.5))</f>
        <v>1</v>
      </c>
      <c r="G66" s="13">
        <f>IF(OR(B66="",B66="---"),"---",TRUNC(IFERROR(AVERAGEIFS(tabDados[Manutenção (%)],tabDados[Descrição Padronizada],B66,tabDados[Manutenção (%)],"&gt;"&amp;0),0)*10000)/10000)</f>
        <v>0</v>
      </c>
      <c r="H66" s="24">
        <f>IF(OR(B66="---",B66=""),"---",COUNTIF(tabDados[[#All],[Descrição Padronizada]],B66))</f>
        <v>19</v>
      </c>
      <c r="I66" s="24" t="s">
        <v>20</v>
      </c>
    </row>
    <row r="67" spans="1:9" hidden="1" x14ac:dyDescent="0.35">
      <c r="A67" s="15">
        <v>65</v>
      </c>
      <c r="B67" s="11" t="str">
        <v>disco de escovas para polidora de pisos</v>
      </c>
      <c r="C67" s="16">
        <f t="array" ref="C67">IF(B67="","---",IFERROR(
   _xlfn.PERCENTILE.INC(
      IF((tabDados[Descrição Padronizada]=B67)*(tabDados[Valor Unitário]&lt;&gt;""),
         tabDados[Valor Unitário],""
      ),
   C$1),
   _xlfn.MINIFS(tabDados[Valor Unitário],tabDados[Descrição Padronizada],B67)
))</f>
        <v>19.829999999999998</v>
      </c>
      <c r="D67" s="16">
        <f t="array" ref="D67">IF(B67="","---",IFERROR(
   _xlfn.PERCENTILE.INC(
      IF((tabDados[Descrição Padronizada]=B67)*(tabDados[Valor Unitário]&lt;&gt;""),
         tabDados[Valor Unitário],""
      ),
   D$1),
   _xlfn.MAXIFS(tabDados[Valor Unitário],tabDados[Descrição Padronizada],B67)
))</f>
        <v>24.49</v>
      </c>
      <c r="E67" s="16">
        <f>IF(OR(B67="",B67="---"),"---",
   IFERROR(AVERAGEIFS(tabDados[Valor Unitário],tabDados[Descrição Padronizada],B67,tabDados[Valor Unitário],"&gt;="&amp;C67,tabDados[Valor Unitário],"&lt;="&amp;D67),AVERAGE(C67,D67))
)</f>
        <v>22.936666666666667</v>
      </c>
      <c r="F67" s="12">
        <f t="array" ref="F67">IF(OR(B67="",B67="---"),"---",TRUNC(IFERROR(MODE(IF((tabDados[Descrição Padronizada]=B67)*(tabDados[Vida Útil (meses)]&lt;&gt;""),tabDados[Vida Útil (meses)],"-")),AVERAGEIFS(tabDados[Vida Útil (meses)],tabDados[Descrição Padronizada],B67))+0.5))</f>
        <v>1</v>
      </c>
      <c r="G67" s="13">
        <f>IF(OR(B67="",B67="---"),"---",TRUNC(IFERROR(AVERAGEIFS(tabDados[Manutenção (%)],tabDados[Descrição Padronizada],B67,tabDados[Manutenção (%)],"&gt;"&amp;0),0)*10000)/10000)</f>
        <v>0</v>
      </c>
      <c r="H67" s="24">
        <f>IF(OR(B67="---",B67=""),"---",COUNTIF(tabDados[[#All],[Descrição Padronizada]],B67))</f>
        <v>9</v>
      </c>
      <c r="I67" s="24" t="s">
        <v>20</v>
      </c>
    </row>
    <row r="68" spans="1:9" x14ac:dyDescent="0.35">
      <c r="A68" s="15">
        <v>66</v>
      </c>
      <c r="B68" s="11" t="str">
        <v>disco preto 350 mm</v>
      </c>
      <c r="C68" s="16">
        <f t="array" ref="C68">IF(B68="","---",IFERROR(
   _xlfn.PERCENTILE.INC(
      IF((tabDados[Descrição Padronizada]=B68)*(tabDados[Valor Unitário]&lt;&gt;""),
         tabDados[Valor Unitário],""
      ),
   C$1),
   _xlfn.MINIFS(tabDados[Valor Unitário],tabDados[Descrição Padronizada],B68)
))</f>
        <v>25.8</v>
      </c>
      <c r="D68" s="16">
        <f t="array" ref="D68">IF(B68="","---",IFERROR(
   _xlfn.PERCENTILE.INC(
      IF((tabDados[Descrição Padronizada]=B68)*(tabDados[Valor Unitário]&lt;&gt;""),
         tabDados[Valor Unitário],""
      ),
   D$1),
   _xlfn.MAXIFS(tabDados[Valor Unitário],tabDados[Descrição Padronizada],B68)
))</f>
        <v>33</v>
      </c>
      <c r="E68" s="16">
        <f>IF(OR(B68="",B68="---"),"---",
   IFERROR(AVERAGEIFS(tabDados[Valor Unitário],tabDados[Descrição Padronizada],B68,tabDados[Valor Unitário],"&gt;="&amp;C68,tabDados[Valor Unitário],"&lt;="&amp;D68),AVERAGE(C68,D68))
)</f>
        <v>29.726428571428574</v>
      </c>
      <c r="F68" s="12">
        <f t="array" ref="F68">IF(OR(B68="",B68="---"),"---",TRUNC(IFERROR(MODE(IF((tabDados[Descrição Padronizada]=B68)*(tabDados[Vida Útil (meses)]&lt;&gt;""),tabDados[Vida Útil (meses)],"-")),AVERAGEIFS(tabDados[Vida Útil (meses)],tabDados[Descrição Padronizada],B68))+0.5))</f>
        <v>12</v>
      </c>
      <c r="G68" s="13">
        <f>IF(OR(B68="",B68="---"),"---",TRUNC(IFERROR(AVERAGEIFS(tabDados[Manutenção (%)],tabDados[Descrição Padronizada],B68,tabDados[Manutenção (%)],"&gt;"&amp;0),0)*10000)/10000)</f>
        <v>0.01</v>
      </c>
      <c r="H68" s="24">
        <f>IF(OR(B68="---",B68=""),"---",COUNTIF(tabDados[[#All],[Descrição Padronizada]],B68))</f>
        <v>20</v>
      </c>
      <c r="I68" s="24" t="s">
        <v>19</v>
      </c>
    </row>
    <row r="69" spans="1:9" hidden="1" x14ac:dyDescent="0.35">
      <c r="A69" s="15">
        <v>67</v>
      </c>
      <c r="B69" s="11" t="str">
        <v>disco preto 380 mm</v>
      </c>
      <c r="C69" s="16">
        <f t="array" ref="C69">IF(B69="","---",IFERROR(
   _xlfn.PERCENTILE.INC(
      IF((tabDados[Descrição Padronizada]=B69)*(tabDados[Valor Unitário]&lt;&gt;""),
         tabDados[Valor Unitário],""
      ),
   C$1),
   _xlfn.MINIFS(tabDados[Valor Unitário],tabDados[Descrição Padronizada],B69)
))</f>
        <v>15.2</v>
      </c>
      <c r="D69" s="16">
        <f t="array" ref="D69">IF(B69="","---",IFERROR(
   _xlfn.PERCENTILE.INC(
      IF((tabDados[Descrição Padronizada]=B69)*(tabDados[Valor Unitário]&lt;&gt;""),
         tabDados[Valor Unitário],""
      ),
   D$1),
   _xlfn.MAXIFS(tabDados[Valor Unitário],tabDados[Descrição Padronizada],B69)
))</f>
        <v>32.944999999999993</v>
      </c>
      <c r="E69" s="16">
        <f>IF(OR(B69="",B69="---"),"---",
   IFERROR(AVERAGEIFS(tabDados[Valor Unitário],tabDados[Descrição Padronizada],B69,tabDados[Valor Unitário],"&gt;="&amp;C69,tabDados[Valor Unitário],"&lt;="&amp;D69),AVERAGE(C69,D69))
)</f>
        <v>15.2</v>
      </c>
      <c r="F69" s="12">
        <f t="array" ref="F69">IF(OR(B69="",B69="---"),"---",TRUNC(IFERROR(MODE(IF((tabDados[Descrição Padronizada]=B69)*(tabDados[Vida Útil (meses)]&lt;&gt;""),tabDados[Vida Útil (meses)],"-")),AVERAGEIFS(tabDados[Vida Útil (meses)],tabDados[Descrição Padronizada],B69))+0.5))</f>
        <v>24</v>
      </c>
      <c r="G69" s="13">
        <f>IF(OR(B69="",B69="---"),"---",TRUNC(IFERROR(AVERAGEIFS(tabDados[Manutenção (%)],tabDados[Descrição Padronizada],B69,tabDados[Manutenção (%)],"&gt;"&amp;0),0)*10000)/10000)</f>
        <v>1.67E-2</v>
      </c>
      <c r="H69" s="24">
        <f>IF(OR(B69="---",B69=""),"---",COUNTIF(tabDados[[#All],[Descrição Padronizada]],B69))</f>
        <v>3</v>
      </c>
      <c r="I69" s="24" t="s">
        <v>20</v>
      </c>
    </row>
    <row r="70" spans="1:9" hidden="1" x14ac:dyDescent="0.35">
      <c r="A70" s="15">
        <v>68</v>
      </c>
      <c r="B70" s="11" t="str">
        <v>disco preto 440 mm</v>
      </c>
      <c r="C70" s="16">
        <f t="array" ref="C70">IF(B70="","---",IFERROR(
   _xlfn.PERCENTILE.INC(
      IF((tabDados[Descrição Padronizada]=B70)*(tabDados[Valor Unitário]&lt;&gt;""),
         tabDados[Valor Unitário],""
      ),
   C$1),
   _xlfn.MINIFS(tabDados[Valor Unitário],tabDados[Descrição Padronizada],B70)
))</f>
        <v>19.95</v>
      </c>
      <c r="D70" s="16">
        <f t="array" ref="D70">IF(B70="","---",IFERROR(
   _xlfn.PERCENTILE.INC(
      IF((tabDados[Descrição Padronizada]=B70)*(tabDados[Valor Unitário]&lt;&gt;""),
         tabDados[Valor Unitário],""
      ),
   D$1),
   _xlfn.MAXIFS(tabDados[Valor Unitário],tabDados[Descrição Padronizada],B70)
))</f>
        <v>35.32</v>
      </c>
      <c r="E70" s="16">
        <f>IF(OR(B70="",B70="---"),"---",
   IFERROR(AVERAGEIFS(tabDados[Valor Unitário],tabDados[Descrição Padronizada],B70,tabDados[Valor Unitário],"&gt;="&amp;C70,tabDados[Valor Unitário],"&lt;="&amp;D70),AVERAGE(C70,D70))
)</f>
        <v>19.95</v>
      </c>
      <c r="F70" s="12">
        <f t="array" ref="F70">IF(OR(B70="",B70="---"),"---",TRUNC(IFERROR(MODE(IF((tabDados[Descrição Padronizada]=B70)*(tabDados[Vida Útil (meses)]&lt;&gt;""),tabDados[Vida Útil (meses)],"-")),AVERAGEIFS(tabDados[Vida Útil (meses)],tabDados[Descrição Padronizada],B70))+0.5))</f>
        <v>24</v>
      </c>
      <c r="G70" s="13">
        <f>IF(OR(B70="",B70="---"),"---",TRUNC(IFERROR(AVERAGEIFS(tabDados[Manutenção (%)],tabDados[Descrição Padronizada],B70,tabDados[Manutenção (%)],"&gt;"&amp;0),0)*10000)/10000)</f>
        <v>1.67E-2</v>
      </c>
      <c r="H70" s="24">
        <f>IF(OR(B70="---",B70=""),"---",COUNTIF(tabDados[[#All],[Descrição Padronizada]],B70))</f>
        <v>3</v>
      </c>
      <c r="I70" s="24" t="s">
        <v>20</v>
      </c>
    </row>
    <row r="71" spans="1:9" hidden="1" x14ac:dyDescent="0.35">
      <c r="A71" s="15">
        <v>69</v>
      </c>
      <c r="B71" s="11" t="str">
        <v>disco preto 510 mm</v>
      </c>
      <c r="C71" s="16">
        <f t="array" ref="C71">IF(B71="","---",IFERROR(
   _xlfn.PERCENTILE.INC(
      IF((tabDados[Descrição Padronizada]=B71)*(tabDados[Valor Unitário]&lt;&gt;""),
         tabDados[Valor Unitário],""
      ),
   C$1),
   _xlfn.MINIFS(tabDados[Valor Unitário],tabDados[Descrição Padronizada],B71)
))</f>
        <v>19.95</v>
      </c>
      <c r="D71" s="16">
        <f t="array" ref="D71">IF(B71="","---",IFERROR(
   _xlfn.PERCENTILE.INC(
      IF((tabDados[Descrição Padronizada]=B71)*(tabDados[Valor Unitário]&lt;&gt;""),
         tabDados[Valor Unitário],""
      ),
   D$1),
   _xlfn.MAXIFS(tabDados[Valor Unitário],tabDados[Descrição Padronizada],B71)
))</f>
        <v>52.09</v>
      </c>
      <c r="E71" s="16">
        <f>IF(OR(B71="",B71="---"),"---",
   IFERROR(AVERAGEIFS(tabDados[Valor Unitário],tabDados[Descrição Padronizada],B71,tabDados[Valor Unitário],"&gt;="&amp;C71,tabDados[Valor Unitário],"&lt;="&amp;D71),AVERAGE(C71,D71))
)</f>
        <v>19.95</v>
      </c>
      <c r="F71" s="12">
        <f t="array" ref="F71">IF(OR(B71="",B71="---"),"---",TRUNC(IFERROR(MODE(IF((tabDados[Descrição Padronizada]=B71)*(tabDados[Vida Útil (meses)]&lt;&gt;""),tabDados[Vida Útil (meses)],"-")),AVERAGEIFS(tabDados[Vida Útil (meses)],tabDados[Descrição Padronizada],B71))+0.5))</f>
        <v>24</v>
      </c>
      <c r="G71" s="13">
        <f>IF(OR(B71="",B71="---"),"---",TRUNC(IFERROR(AVERAGEIFS(tabDados[Manutenção (%)],tabDados[Descrição Padronizada],B71,tabDados[Manutenção (%)],"&gt;"&amp;0),0)*10000)/10000)</f>
        <v>1.67E-2</v>
      </c>
      <c r="H71" s="24">
        <f>IF(OR(B71="---",B71=""),"---",COUNTIF(tabDados[[#All],[Descrição Padronizada]],B71))</f>
        <v>3</v>
      </c>
      <c r="I71" s="24" t="s">
        <v>20</v>
      </c>
    </row>
    <row r="72" spans="1:9" x14ac:dyDescent="0.35">
      <c r="A72" s="15">
        <v>70</v>
      </c>
      <c r="B72" s="11" t="str">
        <v>disco verde 350 mm</v>
      </c>
      <c r="C72" s="16">
        <f t="array" ref="C72">IF(B72="","---",IFERROR(
   _xlfn.PERCENTILE.INC(
      IF((tabDados[Descrição Padronizada]=B72)*(tabDados[Valor Unitário]&lt;&gt;""),
         tabDados[Valor Unitário],""
      ),
   C$1),
   _xlfn.MINIFS(tabDados[Valor Unitário],tabDados[Descrição Padronizada],B72)
))</f>
        <v>22</v>
      </c>
      <c r="D72" s="16">
        <f t="array" ref="D72">IF(B72="","---",IFERROR(
   _xlfn.PERCENTILE.INC(
      IF((tabDados[Descrição Padronizada]=B72)*(tabDados[Valor Unitário]&lt;&gt;""),
         tabDados[Valor Unitário],""
      ),
   D$1),
   _xlfn.MAXIFS(tabDados[Valor Unitário],tabDados[Descrição Padronizada],B72)
))</f>
        <v>38.424999999999997</v>
      </c>
      <c r="E72" s="16">
        <f>IF(OR(B72="",B72="---"),"---",
   IFERROR(AVERAGEIFS(tabDados[Valor Unitário],tabDados[Descrição Padronizada],B72,tabDados[Valor Unitário],"&gt;="&amp;C72,tabDados[Valor Unitário],"&lt;="&amp;D72),AVERAGE(C72,D72))
)</f>
        <v>25.432325581395343</v>
      </c>
      <c r="F72" s="12">
        <f t="array" ref="F72">IF(OR(B72="",B72="---"),"---",TRUNC(IFERROR(MODE(IF((tabDados[Descrição Padronizada]=B72)*(tabDados[Vida Útil (meses)]&lt;&gt;""),tabDados[Vida Útil (meses)],"-")),AVERAGEIFS(tabDados[Vida Útil (meses)],tabDados[Descrição Padronizada],B72))+0.5))</f>
        <v>6</v>
      </c>
      <c r="G72" s="13">
        <f>IF(OR(B72="",B72="---"),"---",TRUNC(IFERROR(AVERAGEIFS(tabDados[Manutenção (%)],tabDados[Descrição Padronizada],B72,tabDados[Manutenção (%)],"&gt;"&amp;0),0)*10000)/10000)</f>
        <v>0.01</v>
      </c>
      <c r="H72" s="24">
        <f>IF(OR(B72="---",B72=""),"---",COUNTIF(tabDados[[#All],[Descrição Padronizada]],B72))</f>
        <v>60</v>
      </c>
      <c r="I72" s="24" t="s">
        <v>19</v>
      </c>
    </row>
    <row r="73" spans="1:9" hidden="1" x14ac:dyDescent="0.35">
      <c r="A73" s="15">
        <v>71</v>
      </c>
      <c r="B73" s="11" t="str">
        <v>disco verde 440 mm</v>
      </c>
      <c r="C73" s="16">
        <f t="array" ref="C73">IF(B73="","---",IFERROR(
   _xlfn.PERCENTILE.INC(
      IF((tabDados[Descrição Padronizada]=B73)*(tabDados[Valor Unitário]&lt;&gt;""),
         tabDados[Valor Unitário],""
      ),
   C$1),
   _xlfn.MINIFS(tabDados[Valor Unitário],tabDados[Descrição Padronizada],B73)
))</f>
        <v>7.6</v>
      </c>
      <c r="D73" s="16">
        <f t="array" ref="D73">IF(B73="","---",IFERROR(
   _xlfn.PERCENTILE.INC(
      IF((tabDados[Descrição Padronizada]=B73)*(tabDados[Valor Unitário]&lt;&gt;""),
         tabDados[Valor Unitário],""
      ),
   D$1),
   _xlfn.MAXIFS(tabDados[Valor Unitário],tabDados[Descrição Padronizada],B73)
))</f>
        <v>37.35</v>
      </c>
      <c r="E73" s="16">
        <f>IF(OR(B73="",B73="---"),"---",
   IFERROR(AVERAGEIFS(tabDados[Valor Unitário],tabDados[Descrição Padronizada],B73,tabDados[Valor Unitário],"&gt;="&amp;C73,tabDados[Valor Unitário],"&lt;="&amp;D73),AVERAGE(C73,D73))
)</f>
        <v>14.180000000000001</v>
      </c>
      <c r="F73" s="12">
        <f t="array" ref="F73">IF(OR(B73="",B73="---"),"---",TRUNC(IFERROR(MODE(IF((tabDados[Descrição Padronizada]=B73)*(tabDados[Vida Útil (meses)]&lt;&gt;""),tabDados[Vida Útil (meses)],"-")),AVERAGEIFS(tabDados[Vida Útil (meses)],tabDados[Descrição Padronizada],B73))+0.5))</f>
        <v>1</v>
      </c>
      <c r="G73" s="13">
        <f>IF(OR(B73="",B73="---"),"---",TRUNC(IFERROR(AVERAGEIFS(tabDados[Manutenção (%)],tabDados[Descrição Padronizada],B73,tabDados[Manutenção (%)],"&gt;"&amp;0),0)*10000)/10000)</f>
        <v>1.67E-2</v>
      </c>
      <c r="H73" s="24">
        <f>IF(OR(B73="---",B73=""),"---",COUNTIF(tabDados[[#All],[Descrição Padronizada]],B73))</f>
        <v>8</v>
      </c>
      <c r="I73" s="24" t="s">
        <v>20</v>
      </c>
    </row>
    <row r="74" spans="1:9" hidden="1" x14ac:dyDescent="0.35">
      <c r="A74" s="15">
        <v>72</v>
      </c>
      <c r="B74" s="11" t="str">
        <v>disco verde 510 mm</v>
      </c>
      <c r="C74" s="16">
        <f t="array" ref="C74">IF(B74="","---",IFERROR(
   _xlfn.PERCENTILE.INC(
      IF((tabDados[Descrição Padronizada]=B74)*(tabDados[Valor Unitário]&lt;&gt;""),
         tabDados[Valor Unitário],""
      ),
   C$1),
   _xlfn.MINIFS(tabDados[Valor Unitário],tabDados[Descrição Padronizada],B74)
))</f>
        <v>26.975000000000001</v>
      </c>
      <c r="D74" s="16">
        <f t="array" ref="D74">IF(B74="","---",IFERROR(
   _xlfn.PERCENTILE.INC(
      IF((tabDados[Descrição Padronizada]=B74)*(tabDados[Valor Unitário]&lt;&gt;""),
         tabDados[Valor Unitário],""
      ),
   D$1),
   _xlfn.MAXIFS(tabDados[Valor Unitário],tabDados[Descrição Padronizada],B74)
))</f>
        <v>71.865000000000009</v>
      </c>
      <c r="E74" s="16">
        <f>IF(OR(B74="",B74="---"),"---",
   IFERROR(AVERAGEIFS(tabDados[Valor Unitário],tabDados[Descrição Padronizada],B74,tabDados[Valor Unitário],"&gt;="&amp;C74,tabDados[Valor Unitário],"&lt;="&amp;D74),AVERAGE(C74,D74))
)</f>
        <v>45.466666666666669</v>
      </c>
      <c r="F74" s="12">
        <f t="array" ref="F74">IF(OR(B74="",B74="---"),"---",TRUNC(IFERROR(MODE(IF((tabDados[Descrição Padronizada]=B74)*(tabDados[Vida Útil (meses)]&lt;&gt;""),tabDados[Vida Útil (meses)],"-")),AVERAGEIFS(tabDados[Vida Útil (meses)],tabDados[Descrição Padronizada],B74))+0.5))</f>
        <v>6</v>
      </c>
      <c r="G74" s="13">
        <f>IF(OR(B74="",B74="---"),"---",TRUNC(IFERROR(AVERAGEIFS(tabDados[Manutenção (%)],tabDados[Descrição Padronizada],B74,tabDados[Manutenção (%)],"&gt;"&amp;0),0)*10000)/10000)</f>
        <v>1.67E-2</v>
      </c>
      <c r="H74" s="24">
        <f>IF(OR(B74="---",B74=""),"---",COUNTIF(tabDados[[#All],[Descrição Padronizada]],B74))</f>
        <v>7</v>
      </c>
      <c r="I74" s="24" t="s">
        <v>20</v>
      </c>
    </row>
    <row r="75" spans="1:9" hidden="1" x14ac:dyDescent="0.35">
      <c r="A75" s="15">
        <v>73</v>
      </c>
      <c r="B75" s="11" t="str">
        <v>disco vermelho 440 mm</v>
      </c>
      <c r="C75" s="16">
        <f t="array" ref="C75">IF(B75="","---",IFERROR(
   _xlfn.PERCENTILE.INC(
      IF((tabDados[Descrição Padronizada]=B75)*(tabDados[Valor Unitário]&lt;&gt;""),
         tabDados[Valor Unitário],""
      ),
   C$1),
   _xlfn.MINIFS(tabDados[Valor Unitário],tabDados[Descrição Padronizada],B75)
))</f>
        <v>19</v>
      </c>
      <c r="D75" s="16">
        <f t="array" ref="D75">IF(B75="","---",IFERROR(
   _xlfn.PERCENTILE.INC(
      IF((tabDados[Descrição Padronizada]=B75)*(tabDados[Valor Unitário]&lt;&gt;""),
         tabDados[Valor Unitário],""
      ),
   D$1),
   _xlfn.MAXIFS(tabDados[Valor Unitário],tabDados[Descrição Padronizada],B75)
))</f>
        <v>27</v>
      </c>
      <c r="E75" s="16">
        <f>IF(OR(B75="",B75="---"),"---",
   IFERROR(AVERAGEIFS(tabDados[Valor Unitário],tabDados[Descrição Padronizada],B75,tabDados[Valor Unitário],"&gt;="&amp;C75,tabDados[Valor Unitário],"&lt;="&amp;D75),AVERAGE(C75,D75))
)</f>
        <v>21.404</v>
      </c>
      <c r="F75" s="12">
        <f t="array" ref="F75">IF(OR(B75="",B75="---"),"---",TRUNC(IFERROR(MODE(IF((tabDados[Descrição Padronizada]=B75)*(tabDados[Vida Útil (meses)]&lt;&gt;""),tabDados[Vida Útil (meses)],"-")),AVERAGEIFS(tabDados[Vida Útil (meses)],tabDados[Descrição Padronizada],B75))+0.5))</f>
        <v>1</v>
      </c>
      <c r="G75" s="13">
        <f>IF(OR(B75="",B75="---"),"---",TRUNC(IFERROR(AVERAGEIFS(tabDados[Manutenção (%)],tabDados[Descrição Padronizada],B75,tabDados[Manutenção (%)],"&gt;"&amp;0),0)*10000)/10000)</f>
        <v>1.67E-2</v>
      </c>
      <c r="H75" s="24">
        <f>IF(OR(B75="---",B75=""),"---",COUNTIF(tabDados[[#All],[Descrição Padronizada]],B75))</f>
        <v>8</v>
      </c>
      <c r="I75" s="24" t="s">
        <v>20</v>
      </c>
    </row>
    <row r="76" spans="1:9" hidden="1" x14ac:dyDescent="0.35">
      <c r="A76" s="15">
        <v>74</v>
      </c>
      <c r="B76" s="11" t="str">
        <v>disco vermelho 510 mm</v>
      </c>
      <c r="C76" s="16">
        <f t="array" ref="C76">IF(B76="","---",IFERROR(
   _xlfn.PERCENTILE.INC(
      IF((tabDados[Descrição Padronizada]=B76)*(tabDados[Valor Unitário]&lt;&gt;""),
         tabDados[Valor Unitário],""
      ),
   C$1),
   _xlfn.MINIFS(tabDados[Valor Unitário],tabDados[Descrição Padronizada],B76)
))</f>
        <v>22.91</v>
      </c>
      <c r="D76" s="16">
        <f t="array" ref="D76">IF(B76="","---",IFERROR(
   _xlfn.PERCENTILE.INC(
      IF((tabDados[Descrição Padronizada]=B76)*(tabDados[Valor Unitário]&lt;&gt;""),
         tabDados[Valor Unitário],""
      ),
   D$1),
   _xlfn.MAXIFS(tabDados[Valor Unitário],tabDados[Descrição Padronizada],B76)
))</f>
        <v>25.1</v>
      </c>
      <c r="E76" s="16">
        <f>IF(OR(B76="",B76="---"),"---",
   IFERROR(AVERAGEIFS(tabDados[Valor Unitário],tabDados[Descrição Padronizada],B76,tabDados[Valor Unitário],"&gt;="&amp;C76,tabDados[Valor Unitário],"&lt;="&amp;D76),AVERAGE(C76,D76))
)</f>
        <v>23.64</v>
      </c>
      <c r="F76" s="12">
        <f t="array" ref="F76">IF(OR(B76="",B76="---"),"---",TRUNC(IFERROR(MODE(IF((tabDados[Descrição Padronizada]=B76)*(tabDados[Vida Útil (meses)]&lt;&gt;""),tabDados[Vida Útil (meses)],"-")),AVERAGEIFS(tabDados[Vida Útil (meses)],tabDados[Descrição Padronizada],B76))+0.5))</f>
        <v>1</v>
      </c>
      <c r="G76" s="13">
        <f>IF(OR(B76="",B76="---"),"---",TRUNC(IFERROR(AVERAGEIFS(tabDados[Manutenção (%)],tabDados[Descrição Padronizada],B76,tabDados[Manutenção (%)],"&gt;"&amp;0),0)*10000)/10000)</f>
        <v>0</v>
      </c>
      <c r="H76" s="24">
        <f>IF(OR(B76="---",B76=""),"---",COUNTIF(tabDados[[#All],[Descrição Padronizada]],B76))</f>
        <v>5</v>
      </c>
      <c r="I76" s="24" t="s">
        <v>20</v>
      </c>
    </row>
    <row r="77" spans="1:9" hidden="1" x14ac:dyDescent="0.35">
      <c r="A77" s="15">
        <v>75</v>
      </c>
      <c r="B77" s="11" t="str">
        <v>dosador</v>
      </c>
      <c r="C77" s="16">
        <f t="array" ref="C77">IF(B77="","---",IFERROR(
   _xlfn.PERCENTILE.INC(
      IF((tabDados[Descrição Padronizada]=B77)*(tabDados[Valor Unitário]&lt;&gt;""),
         tabDados[Valor Unitário],""
      ),
   C$1),
   _xlfn.MINIFS(tabDados[Valor Unitário],tabDados[Descrição Padronizada],B77)
))</f>
        <v>350</v>
      </c>
      <c r="D77" s="16">
        <f t="array" ref="D77">IF(B77="","---",IFERROR(
   _xlfn.PERCENTILE.INC(
      IF((tabDados[Descrição Padronizada]=B77)*(tabDados[Valor Unitário]&lt;&gt;""),
         tabDados[Valor Unitário],""
      ),
   D$1),
   _xlfn.MAXIFS(tabDados[Valor Unitário],tabDados[Descrição Padronizada],B77)
))</f>
        <v>477.5</v>
      </c>
      <c r="E77" s="16">
        <f>IF(OR(B77="",B77="---"),"---",
   IFERROR(AVERAGEIFS(tabDados[Valor Unitário],tabDados[Descrição Padronizada],B77,tabDados[Valor Unitário],"&gt;="&amp;C77,tabDados[Valor Unitário],"&lt;="&amp;D77),AVERAGE(C77,D77))
)</f>
        <v>350</v>
      </c>
      <c r="F77" s="12">
        <f t="array" ref="F77">IF(OR(B77="",B77="---"),"---",TRUNC(IFERROR(MODE(IF((tabDados[Descrição Padronizada]=B77)*(tabDados[Vida Útil (meses)]&lt;&gt;""),tabDados[Vida Útil (meses)],"-")),AVERAGEIFS(tabDados[Vida Útil (meses)],tabDados[Descrição Padronizada],B77))+0.5))</f>
        <v>24</v>
      </c>
      <c r="G77" s="13">
        <f>IF(OR(B77="",B77="---"),"---",TRUNC(IFERROR(AVERAGEIFS(tabDados[Manutenção (%)],tabDados[Descrição Padronizada],B77,tabDados[Manutenção (%)],"&gt;"&amp;0),0)*10000)/10000)</f>
        <v>1.3299999999999999E-2</v>
      </c>
      <c r="H77" s="24">
        <f>IF(OR(B77="---",B77=""),"---",COUNTIF(tabDados[[#All],[Descrição Padronizada]],B77))</f>
        <v>6</v>
      </c>
      <c r="I77" s="24" t="s">
        <v>20</v>
      </c>
    </row>
    <row r="78" spans="1:9" x14ac:dyDescent="0.35">
      <c r="A78" s="15">
        <v>76</v>
      </c>
      <c r="B78" s="11" t="str">
        <v>enceradeira 350 mm</v>
      </c>
      <c r="C78" s="16">
        <f t="array" ref="C78">IF(B78="","---",IFERROR(
   _xlfn.PERCENTILE.INC(
      IF((tabDados[Descrição Padronizada]=B78)*(tabDados[Valor Unitário]&lt;&gt;""),
         tabDados[Valor Unitário],""
      ),
   C$1),
   _xlfn.MINIFS(tabDados[Valor Unitário],tabDados[Descrição Padronizada],B78)
))</f>
        <v>1400</v>
      </c>
      <c r="D78" s="16">
        <f t="array" ref="D78">IF(B78="","---",IFERROR(
   _xlfn.PERCENTILE.INC(
      IF((tabDados[Descrição Padronizada]=B78)*(tabDados[Valor Unitário]&lt;&gt;""),
         tabDados[Valor Unitário],""
      ),
   D$1),
   _xlfn.MAXIFS(tabDados[Valor Unitário],tabDados[Descrição Padronizada],B78)
))</f>
        <v>2545.8625000000002</v>
      </c>
      <c r="E78" s="16">
        <f>IF(OR(B78="",B78="---"),"---",
   IFERROR(AVERAGEIFS(tabDados[Valor Unitário],tabDados[Descrição Padronizada],B78,tabDados[Valor Unitário],"&gt;="&amp;C78,tabDados[Valor Unitário],"&lt;="&amp;D78),AVERAGE(C78,D78))
)</f>
        <v>1935.5555999999995</v>
      </c>
      <c r="F78" s="12">
        <f t="array" ref="F78">IF(OR(B78="",B78="---"),"---",TRUNC(IFERROR(MODE(IF((tabDados[Descrição Padronizada]=B78)*(tabDados[Vida Útil (meses)]&lt;&gt;""),tabDados[Vida Útil (meses)],"-")),AVERAGEIFS(tabDados[Vida Útil (meses)],tabDados[Descrição Padronizada],B78))+0.5))</f>
        <v>60</v>
      </c>
      <c r="G78" s="13">
        <f>IF(OR(B78="",B78="---"),"---",TRUNC(IFERROR(AVERAGEIFS(tabDados[Manutenção (%)],tabDados[Descrição Padronizada],B78,tabDados[Manutenção (%)],"&gt;"&amp;0),0)*10000)/10000)</f>
        <v>1.78E-2</v>
      </c>
      <c r="H78" s="24">
        <f>IF(OR(B78="---",B78=""),"---",COUNTIF(tabDados[[#All],[Descrição Padronizada]],B78))</f>
        <v>140</v>
      </c>
      <c r="I78" s="24" t="s">
        <v>19</v>
      </c>
    </row>
    <row r="79" spans="1:9" hidden="1" x14ac:dyDescent="0.35">
      <c r="A79" s="15">
        <v>77</v>
      </c>
      <c r="B79" s="11" t="str">
        <v>enceradeira 410 mm</v>
      </c>
      <c r="C79" s="16">
        <f t="array" ref="C79">IF(B79="","---",IFERROR(
   _xlfn.PERCENTILE.INC(
      IF((tabDados[Descrição Padronizada]=B79)*(tabDados[Valor Unitário]&lt;&gt;""),
         tabDados[Valor Unitário],""
      ),
   C$1),
   _xlfn.MINIFS(tabDados[Valor Unitário],tabDados[Descrição Padronizada],B79)
))</f>
        <v>2206.2024999999999</v>
      </c>
      <c r="D79" s="16">
        <f t="array" ref="D79">IF(B79="","---",IFERROR(
   _xlfn.PERCENTILE.INC(
      IF((tabDados[Descrição Padronizada]=B79)*(tabDados[Valor Unitário]&lt;&gt;""),
         tabDados[Valor Unitário],""
      ),
   D$1),
   _xlfn.MAXIFS(tabDados[Valor Unitário],tabDados[Descrição Padronizada],B79)
))</f>
        <v>3151</v>
      </c>
      <c r="E79" s="16">
        <f>IF(OR(B79="",B79="---"),"---",
   IFERROR(AVERAGEIFS(tabDados[Valor Unitário],tabDados[Descrição Padronizada],B79,tabDados[Valor Unitário],"&gt;="&amp;C79,tabDados[Valor Unitário],"&lt;="&amp;D79),AVERAGE(C79,D79))
)</f>
        <v>2884</v>
      </c>
      <c r="F79" s="12">
        <f t="array" ref="F79">IF(OR(B79="",B79="---"),"---",TRUNC(IFERROR(MODE(IF((tabDados[Descrição Padronizada]=B79)*(tabDados[Vida Útil (meses)]&lt;&gt;""),tabDados[Vida Útil (meses)],"-")),AVERAGEIFS(tabDados[Vida Útil (meses)],tabDados[Descrição Padronizada],B79))+0.5))</f>
        <v>36</v>
      </c>
      <c r="G79" s="13">
        <f>IF(OR(B79="",B79="---"),"---",TRUNC(IFERROR(AVERAGEIFS(tabDados[Manutenção (%)],tabDados[Descrição Padronizada],B79,tabDados[Manutenção (%)],"&gt;"&amp;0),0)*10000)/10000)</f>
        <v>1.1599999999999999E-2</v>
      </c>
      <c r="H79" s="24">
        <f>IF(OR(B79="---",B79=""),"---",COUNTIF(tabDados[[#All],[Descrição Padronizada]],B79))</f>
        <v>4</v>
      </c>
      <c r="I79" s="24" t="s">
        <v>20</v>
      </c>
    </row>
    <row r="80" spans="1:9" x14ac:dyDescent="0.35">
      <c r="A80" s="15">
        <v>78</v>
      </c>
      <c r="B80" s="11" t="str">
        <v>enceradeira 510 mm</v>
      </c>
      <c r="C80" s="16">
        <f t="array" ref="C80">IF(B80="","---",IFERROR(
   _xlfn.PERCENTILE.INC(
      IF((tabDados[Descrição Padronizada]=B80)*(tabDados[Valor Unitário]&lt;&gt;""),
         tabDados[Valor Unitário],""
      ),
   C$1),
   _xlfn.MINIFS(tabDados[Valor Unitário],tabDados[Descrição Padronizada],B80)
))</f>
        <v>2101.25</v>
      </c>
      <c r="D80" s="16">
        <f t="array" ref="D80">IF(B80="","---",IFERROR(
   _xlfn.PERCENTILE.INC(
      IF((tabDados[Descrição Padronizada]=B80)*(tabDados[Valor Unitário]&lt;&gt;""),
         tabDados[Valor Unitário],""
      ),
   D$1),
   _xlfn.MAXIFS(tabDados[Valor Unitário],tabDados[Descrição Padronizada],B80)
))</f>
        <v>3050</v>
      </c>
      <c r="E80" s="16">
        <f>IF(OR(B80="",B80="---"),"---",
   IFERROR(AVERAGEIFS(tabDados[Valor Unitário],tabDados[Descrição Padronizada],B80,tabDados[Valor Unitário],"&gt;="&amp;C80,tabDados[Valor Unitário],"&lt;="&amp;D80),AVERAGE(C80,D80))
)</f>
        <v>2508.3852173913046</v>
      </c>
      <c r="F80" s="12">
        <f t="array" ref="F80">IF(OR(B80="",B80="---"),"---",TRUNC(IFERROR(MODE(IF((tabDados[Descrição Padronizada]=B80)*(tabDados[Vida Útil (meses)]&lt;&gt;""),tabDados[Vida Útil (meses)],"-")),AVERAGEIFS(tabDados[Vida Útil (meses)],tabDados[Descrição Padronizada],B80))+0.5))</f>
        <v>60</v>
      </c>
      <c r="G80" s="13">
        <f>IF(OR(B80="",B80="---"),"---",TRUNC(IFERROR(AVERAGEIFS(tabDados[Manutenção (%)],tabDados[Descrição Padronizada],B80,tabDados[Manutenção (%)],"&gt;"&amp;0),0)*10000)/10000)</f>
        <v>1.11E-2</v>
      </c>
      <c r="H80" s="24">
        <f>IF(OR(B80="---",B80=""),"---",COUNTIF(tabDados[[#All],[Descrição Padronizada]],B80))</f>
        <v>44</v>
      </c>
      <c r="I80" s="24" t="s">
        <v>19</v>
      </c>
    </row>
    <row r="81" spans="1:9" x14ac:dyDescent="0.35">
      <c r="A81" s="15">
        <v>79</v>
      </c>
      <c r="B81" s="11" t="str">
        <v>escada com 3 degraus</v>
      </c>
      <c r="C81" s="16">
        <f t="array" ref="C81">IF(B81="","---",IFERROR(
   _xlfn.PERCENTILE.INC(
      IF((tabDados[Descrição Padronizada]=B81)*(tabDados[Valor Unitário]&lt;&gt;""),
         tabDados[Valor Unitário],""
      ),
   C$1),
   _xlfn.MINIFS(tabDados[Valor Unitário],tabDados[Descrição Padronizada],B81)
))</f>
        <v>90</v>
      </c>
      <c r="D81" s="16">
        <f t="array" ref="D81">IF(B81="","---",IFERROR(
   _xlfn.PERCENTILE.INC(
      IF((tabDados[Descrição Padronizada]=B81)*(tabDados[Valor Unitário]&lt;&gt;""),
         tabDados[Valor Unitário],""
      ),
   D$1),
   _xlfn.MAXIFS(tabDados[Valor Unitário],tabDados[Descrição Padronizada],B81)
))</f>
        <v>270.71749999999997</v>
      </c>
      <c r="E81" s="16">
        <f>IF(OR(B81="",B81="---"),"---",
   IFERROR(AVERAGEIFS(tabDados[Valor Unitário],tabDados[Descrição Padronizada],B81,tabDados[Valor Unitário],"&gt;="&amp;C81,tabDados[Valor Unitário],"&lt;="&amp;D81),AVERAGE(C81,D81))
)</f>
        <v>121.98666666666668</v>
      </c>
      <c r="F81" s="12">
        <f t="array" ref="F81">IF(OR(B81="",B81="---"),"---",TRUNC(IFERROR(MODE(IF((tabDados[Descrição Padronizada]=B81)*(tabDados[Vida Útil (meses)]&lt;&gt;""),tabDados[Vida Útil (meses)],"-")),AVERAGEIFS(tabDados[Vida Útil (meses)],tabDados[Descrição Padronizada],B81))+0.5))</f>
        <v>60</v>
      </c>
      <c r="G81" s="13">
        <f>IF(OR(B81="",B81="---"),"---",TRUNC(IFERROR(AVERAGEIFS(tabDados[Manutenção (%)],tabDados[Descrição Padronizada],B81,tabDados[Manutenção (%)],"&gt;"&amp;0),0)*10000)/10000)</f>
        <v>0</v>
      </c>
      <c r="H81" s="24">
        <f>IF(OR(B81="---",B81=""),"---",COUNTIF(tabDados[[#All],[Descrição Padronizada]],B81))</f>
        <v>20</v>
      </c>
      <c r="I81" s="24" t="s">
        <v>19</v>
      </c>
    </row>
    <row r="82" spans="1:9" x14ac:dyDescent="0.35">
      <c r="A82" s="15">
        <v>80</v>
      </c>
      <c r="B82" s="11" t="str">
        <v>escada com 5 degraus</v>
      </c>
      <c r="C82" s="16">
        <f t="array" ref="C82">IF(B82="","---",IFERROR(
   _xlfn.PERCENTILE.INC(
      IF((tabDados[Descrição Padronizada]=B82)*(tabDados[Valor Unitário]&lt;&gt;""),
         tabDados[Valor Unitário],""
      ),
   C$1),
   _xlfn.MINIFS(tabDados[Valor Unitário],tabDados[Descrição Padronizada],B82)
))</f>
        <v>149.9</v>
      </c>
      <c r="D82" s="16">
        <f t="array" ref="D82">IF(B82="","---",IFERROR(
   _xlfn.PERCENTILE.INC(
      IF((tabDados[Descrição Padronizada]=B82)*(tabDados[Valor Unitário]&lt;&gt;""),
         tabDados[Valor Unitário],""
      ),
   D$1),
   _xlfn.MAXIFS(tabDados[Valor Unitário],tabDados[Descrição Padronizada],B82)
))</f>
        <v>283.38</v>
      </c>
      <c r="E82" s="16">
        <f>IF(OR(B82="",B82="---"),"---",
   IFERROR(AVERAGEIFS(tabDados[Valor Unitário],tabDados[Descrição Padronizada],B82,tabDados[Valor Unitário],"&gt;="&amp;C82,tabDados[Valor Unitário],"&lt;="&amp;D82),AVERAGE(C82,D82))
)</f>
        <v>216.69924999999995</v>
      </c>
      <c r="F82" s="12">
        <f t="array" ref="F82">IF(OR(B82="",B82="---"),"---",TRUNC(IFERROR(MODE(IF((tabDados[Descrição Padronizada]=B82)*(tabDados[Vida Útil (meses)]&lt;&gt;""),tabDados[Vida Útil (meses)],"-")),AVERAGEIFS(tabDados[Vida Útil (meses)],tabDados[Descrição Padronizada],B82))+0.5))</f>
        <v>60</v>
      </c>
      <c r="G82" s="13">
        <f>IF(OR(B82="",B82="---"),"---",TRUNC(IFERROR(AVERAGEIFS(tabDados[Manutenção (%)],tabDados[Descrição Padronizada],B82,tabDados[Manutenção (%)],"&gt;"&amp;0),0)*10000)/10000)</f>
        <v>1.3599999999999999E-2</v>
      </c>
      <c r="H82" s="24">
        <f>IF(OR(B82="---",B82=""),"---",COUNTIF(tabDados[[#All],[Descrição Padronizada]],B82))</f>
        <v>77</v>
      </c>
      <c r="I82" s="24" t="s">
        <v>19</v>
      </c>
    </row>
    <row r="83" spans="1:9" hidden="1" x14ac:dyDescent="0.35">
      <c r="A83" s="15">
        <v>81</v>
      </c>
      <c r="B83" s="11" t="str">
        <v>escada com 6 degraus</v>
      </c>
      <c r="C83" s="16">
        <f t="array" ref="C83">IF(B83="","---",IFERROR(
   _xlfn.PERCENTILE.INC(
      IF((tabDados[Descrição Padronizada]=B83)*(tabDados[Valor Unitário]&lt;&gt;""),
         tabDados[Valor Unitário],""
      ),
   C$1),
   _xlfn.MINIFS(tabDados[Valor Unitário],tabDados[Descrição Padronizada],B83)
))</f>
        <v>150</v>
      </c>
      <c r="D83" s="16">
        <f t="array" ref="D83">IF(B83="","---",IFERROR(
   _xlfn.PERCENTILE.INC(
      IF((tabDados[Descrição Padronizada]=B83)*(tabDados[Valor Unitário]&lt;&gt;""),
         tabDados[Valor Unitário],""
      ),
   D$1),
   _xlfn.MAXIFS(tabDados[Valor Unitário],tabDados[Descrição Padronizada],B83)
))</f>
        <v>306.72000000000003</v>
      </c>
      <c r="E83" s="16">
        <f>IF(OR(B83="",B83="---"),"---",
   IFERROR(AVERAGEIFS(tabDados[Valor Unitário],tabDados[Descrição Padronizada],B83,tabDados[Valor Unitário],"&gt;="&amp;C83,tabDados[Valor Unitário],"&lt;="&amp;D83),AVERAGE(C83,D83))
)</f>
        <v>205.1875</v>
      </c>
      <c r="F83" s="12">
        <f t="array" ref="F83">IF(OR(B83="",B83="---"),"---",TRUNC(IFERROR(MODE(IF((tabDados[Descrição Padronizada]=B83)*(tabDados[Vida Útil (meses)]&lt;&gt;""),tabDados[Vida Útil (meses)],"-")),AVERAGEIFS(tabDados[Vida Útil (meses)],tabDados[Descrição Padronizada],B83))+0.5))</f>
        <v>60</v>
      </c>
      <c r="G83" s="13">
        <f>IF(OR(B83="",B83="---"),"---",TRUNC(IFERROR(AVERAGEIFS(tabDados[Manutenção (%)],tabDados[Descrição Padronizada],B83,tabDados[Manutenção (%)],"&gt;"&amp;0),0)*10000)/10000)</f>
        <v>1.44E-2</v>
      </c>
      <c r="H83" s="24">
        <f>IF(OR(B83="---",B83=""),"---",COUNTIF(tabDados[[#All],[Descrição Padronizada]],B83))</f>
        <v>11</v>
      </c>
      <c r="I83" s="24" t="s">
        <v>20</v>
      </c>
    </row>
    <row r="84" spans="1:9" hidden="1" x14ac:dyDescent="0.35">
      <c r="A84" s="15">
        <v>82</v>
      </c>
      <c r="B84" s="11" t="str">
        <v>escada com 7 degraus</v>
      </c>
      <c r="C84" s="16">
        <f t="array" ref="C84">IF(B84="","---",IFERROR(
   _xlfn.PERCENTILE.INC(
      IF((tabDados[Descrição Padronizada]=B84)*(tabDados[Valor Unitário]&lt;&gt;""),
         tabDados[Valor Unitário],""
      ),
   C$1),
   _xlfn.MINIFS(tabDados[Valor Unitário],tabDados[Descrição Padronizada],B84)
))</f>
        <v>182.42500000000001</v>
      </c>
      <c r="D84" s="16">
        <f t="array" ref="D84">IF(B84="","---",IFERROR(
   _xlfn.PERCENTILE.INC(
      IF((tabDados[Descrição Padronizada]=B84)*(tabDados[Valor Unitário]&lt;&gt;""),
         tabDados[Valor Unitário],""
      ),
   D$1),
   _xlfn.MAXIFS(tabDados[Valor Unitário],tabDados[Descrição Padronizada],B84)
))</f>
        <v>238.8425</v>
      </c>
      <c r="E84" s="16">
        <f>IF(OR(B84="",B84="---"),"---",
   IFERROR(AVERAGEIFS(tabDados[Valor Unitário],tabDados[Descrição Padronizada],B84,tabDados[Valor Unitário],"&gt;="&amp;C84,tabDados[Valor Unitário],"&lt;="&amp;D84),AVERAGE(C84,D84))
)</f>
        <v>213.7</v>
      </c>
      <c r="F84" s="12">
        <f t="array" ref="F84">IF(OR(B84="",B84="---"),"---",TRUNC(IFERROR(MODE(IF((tabDados[Descrição Padronizada]=B84)*(tabDados[Vida Útil (meses)]&lt;&gt;""),tabDados[Vida Útil (meses)],"-")),AVERAGEIFS(tabDados[Vida Útil (meses)],tabDados[Descrição Padronizada],B84))+0.5))</f>
        <v>60</v>
      </c>
      <c r="G84" s="13">
        <f>IF(OR(B84="",B84="---"),"---",TRUNC(IFERROR(AVERAGEIFS(tabDados[Manutenção (%)],tabDados[Descrição Padronizada],B84,tabDados[Manutenção (%)],"&gt;"&amp;0),0)*10000)/10000)</f>
        <v>0</v>
      </c>
      <c r="H84" s="24">
        <f>IF(OR(B84="---",B84=""),"---",COUNTIF(tabDados[[#All],[Descrição Padronizada]],B84))</f>
        <v>4</v>
      </c>
      <c r="I84" s="24" t="s">
        <v>20</v>
      </c>
    </row>
    <row r="85" spans="1:9" hidden="1" x14ac:dyDescent="0.35">
      <c r="A85" s="15">
        <v>83</v>
      </c>
      <c r="B85" s="11" t="str">
        <v>escada com 8 degraus</v>
      </c>
      <c r="C85" s="16">
        <f t="array" ref="C85">IF(B85="","---",IFERROR(
   _xlfn.PERCENTILE.INC(
      IF((tabDados[Descrição Padronizada]=B85)*(tabDados[Valor Unitário]&lt;&gt;""),
         tabDados[Valor Unitário],""
      ),
   C$1),
   _xlfn.MINIFS(tabDados[Valor Unitário],tabDados[Descrição Padronizada],B85)
))</f>
        <v>223.03</v>
      </c>
      <c r="D85" s="16">
        <f t="array" ref="D85">IF(B85="","---",IFERROR(
   _xlfn.PERCENTILE.INC(
      IF((tabDados[Descrição Padronizada]=B85)*(tabDados[Valor Unitário]&lt;&gt;""),
         tabDados[Valor Unitário],""
      ),
   D$1),
   _xlfn.MAXIFS(tabDados[Valor Unitário],tabDados[Descrição Padronizada],B85)
))</f>
        <v>412.29</v>
      </c>
      <c r="E85" s="16">
        <f>IF(OR(B85="",B85="---"),"---",
   IFERROR(AVERAGEIFS(tabDados[Valor Unitário],tabDados[Descrição Padronizada],B85,tabDados[Valor Unitário],"&gt;="&amp;C85,tabDados[Valor Unitário],"&lt;="&amp;D85),AVERAGE(C85,D85))
)</f>
        <v>324.70666666666671</v>
      </c>
      <c r="F85" s="12">
        <f t="array" ref="F85">IF(OR(B85="",B85="---"),"---",TRUNC(IFERROR(MODE(IF((tabDados[Descrição Padronizada]=B85)*(tabDados[Vida Útil (meses)]&lt;&gt;""),tabDados[Vida Útil (meses)],"-")),AVERAGEIFS(tabDados[Vida Útil (meses)],tabDados[Descrição Padronizada],B85))+0.5))</f>
        <v>60</v>
      </c>
      <c r="G85" s="13">
        <f>IF(OR(B85="",B85="---"),"---",TRUNC(IFERROR(AVERAGEIFS(tabDados[Manutenção (%)],tabDados[Descrição Padronizada],B85,tabDados[Manutenção (%)],"&gt;"&amp;0),0)*10000)/10000)</f>
        <v>1.67E-2</v>
      </c>
      <c r="H85" s="24">
        <f>IF(OR(B85="---",B85=""),"---",COUNTIF(tabDados[[#All],[Descrição Padronizada]],B85))</f>
        <v>5</v>
      </c>
      <c r="I85" s="24" t="s">
        <v>20</v>
      </c>
    </row>
    <row r="86" spans="1:9" x14ac:dyDescent="0.35">
      <c r="A86" s="15">
        <v>84</v>
      </c>
      <c r="B86" s="11" t="str">
        <v>esfregão elétrico</v>
      </c>
      <c r="C86" s="16">
        <f t="array" ref="C86">IF(B86="","---",IFERROR(
   _xlfn.PERCENTILE.INC(
      IF((tabDados[Descrição Padronizada]=B86)*(tabDados[Valor Unitário]&lt;&gt;""),
         tabDados[Valor Unitário],""
      ),
   C$1),
   _xlfn.MINIFS(tabDados[Valor Unitário],tabDados[Descrição Padronizada],B86)
))</f>
        <v>16750</v>
      </c>
      <c r="D86" s="16">
        <f t="array" ref="D86">IF(B86="","---",IFERROR(
   _xlfn.PERCENTILE.INC(
      IF((tabDados[Descrição Padronizada]=B86)*(tabDados[Valor Unitário]&lt;&gt;""),
         tabDados[Valor Unitário],""
      ),
   D$1),
   _xlfn.MAXIFS(tabDados[Valor Unitário],tabDados[Descrição Padronizada],B86)
))</f>
        <v>29000</v>
      </c>
      <c r="E86" s="16">
        <f>IF(OR(B86="",B86="---"),"---",
   IFERROR(AVERAGEIFS(tabDados[Valor Unitário],tabDados[Descrição Padronizada],B86,tabDados[Valor Unitário],"&gt;="&amp;C86,tabDados[Valor Unitário],"&lt;="&amp;D86),AVERAGE(C86,D86))
)</f>
        <v>21981.81818181818</v>
      </c>
      <c r="F86" s="12">
        <f t="array" ref="F86">IF(OR(B86="",B86="---"),"---",TRUNC(IFERROR(MODE(IF((tabDados[Descrição Padronizada]=B86)*(tabDados[Vida Útil (meses)]&lt;&gt;""),tabDados[Vida Útil (meses)],"-")),AVERAGEIFS(tabDados[Vida Útil (meses)],tabDados[Descrição Padronizada],B86))+0.5))</f>
        <v>60</v>
      </c>
      <c r="G86" s="13">
        <f>IF(OR(B86="",B86="---"),"---",TRUNC(IFERROR(AVERAGEIFS(tabDados[Manutenção (%)],tabDados[Descrição Padronizada],B86,tabDados[Manutenção (%)],"&gt;"&amp;0),0)*10000)/10000)</f>
        <v>9.7999999999999997E-3</v>
      </c>
      <c r="H86" s="24">
        <f>IF(OR(B86="---",B86=""),"---",COUNTIF(tabDados[[#All],[Descrição Padronizada]],B86))</f>
        <v>20</v>
      </c>
      <c r="I86" s="24" t="s">
        <v>19</v>
      </c>
    </row>
    <row r="87" spans="1:9" hidden="1" x14ac:dyDescent="0.35">
      <c r="A87" s="15">
        <v>85</v>
      </c>
      <c r="B87" s="11" t="str">
        <v>espanador de pó pena</v>
      </c>
      <c r="C87" s="16">
        <f t="array" ref="C87">IF(B87="","---",IFERROR(
   _xlfn.PERCENTILE.INC(
      IF((tabDados[Descrição Padronizada]=B87)*(tabDados[Valor Unitário]&lt;&gt;""),
         tabDados[Valor Unitário],""
      ),
   C$1),
   _xlfn.MINIFS(tabDados[Valor Unitário],tabDados[Descrição Padronizada],B87)
))</f>
        <v>12.54</v>
      </c>
      <c r="D87" s="16">
        <f t="array" ref="D87">IF(B87="","---",IFERROR(
   _xlfn.PERCENTILE.INC(
      IF((tabDados[Descrição Padronizada]=B87)*(tabDados[Valor Unitário]&lt;&gt;""),
         tabDados[Valor Unitário],""
      ),
   D$1),
   _xlfn.MAXIFS(tabDados[Valor Unitário],tabDados[Descrição Padronizada],B87)
))</f>
        <v>25.634999999999998</v>
      </c>
      <c r="E87" s="16">
        <f>IF(OR(B87="",B87="---"),"---",
   IFERROR(AVERAGEIFS(tabDados[Valor Unitário],tabDados[Descrição Padronizada],B87,tabDados[Valor Unitário],"&gt;="&amp;C87,tabDados[Valor Unitário],"&lt;="&amp;D87),AVERAGE(C87,D87))
)</f>
        <v>12.54</v>
      </c>
      <c r="F87" s="12">
        <f t="array" ref="F87">IF(OR(B87="",B87="---"),"---",TRUNC(IFERROR(MODE(IF((tabDados[Descrição Padronizada]=B87)*(tabDados[Vida Útil (meses)]&lt;&gt;""),tabDados[Vida Útil (meses)],"-")),AVERAGEIFS(tabDados[Vida Útil (meses)],tabDados[Descrição Padronizada],B87))+0.5))</f>
        <v>60</v>
      </c>
      <c r="G87" s="13">
        <f>IF(OR(B87="",B87="---"),"---",TRUNC(IFERROR(AVERAGEIFS(tabDados[Manutenção (%)],tabDados[Descrição Padronizada],B87,tabDados[Manutenção (%)],"&gt;"&amp;0),0)*10000)/10000)</f>
        <v>0</v>
      </c>
      <c r="H87" s="24">
        <f>IF(OR(B87="---",B87=""),"---",COUNTIF(tabDados[[#All],[Descrição Padronizada]],B87))</f>
        <v>6</v>
      </c>
      <c r="I87" s="24" t="s">
        <v>20</v>
      </c>
    </row>
    <row r="88" spans="1:9" hidden="1" x14ac:dyDescent="0.35">
      <c r="A88" s="15">
        <v>86</v>
      </c>
      <c r="B88" s="11" t="str">
        <v>espanador eletrostático</v>
      </c>
      <c r="C88" s="16">
        <f t="array" ref="C88">IF(B88="","---",IFERROR(
   _xlfn.PERCENTILE.INC(
      IF((tabDados[Descrição Padronizada]=B88)*(tabDados[Valor Unitário]&lt;&gt;""),
         tabDados[Valor Unitário],""
      ),
   C$1),
   _xlfn.MINIFS(tabDados[Valor Unitário],tabDados[Descrição Padronizada],B88)
))</f>
        <v>43.332499999999996</v>
      </c>
      <c r="D88" s="16">
        <f t="array" ref="D88">IF(B88="","---",IFERROR(
   _xlfn.PERCENTILE.INC(
      IF((tabDados[Descrição Padronizada]=B88)*(tabDados[Valor Unitário]&lt;&gt;""),
         tabDados[Valor Unitário],""
      ),
   D$1),
   _xlfn.MAXIFS(tabDados[Valor Unitário],tabDados[Descrição Padronizada],B88)
))</f>
        <v>46.79</v>
      </c>
      <c r="E88" s="16">
        <f>IF(OR(B88="",B88="---"),"---",
   IFERROR(AVERAGEIFS(tabDados[Valor Unitário],tabDados[Descrição Padronizada],B88,tabDados[Valor Unitário],"&gt;="&amp;C88,tabDados[Valor Unitário],"&lt;="&amp;D88),AVERAGE(C88,D88))
)</f>
        <v>44.300000000000004</v>
      </c>
      <c r="F88" s="12">
        <f t="array" ref="F88">IF(OR(B88="",B88="---"),"---",TRUNC(IFERROR(MODE(IF((tabDados[Descrição Padronizada]=B88)*(tabDados[Vida Útil (meses)]&lt;&gt;""),tabDados[Vida Útil (meses)],"-")),AVERAGEIFS(tabDados[Vida Útil (meses)],tabDados[Descrição Padronizada],B88))+0.5))</f>
        <v>60</v>
      </c>
      <c r="G88" s="13">
        <f>IF(OR(B88="",B88="---"),"---",TRUNC(IFERROR(AVERAGEIFS(tabDados[Manutenção (%)],tabDados[Descrição Padronizada],B88,tabDados[Manutenção (%)],"&gt;"&amp;0),0)*10000)/10000)</f>
        <v>1.3299999999999999E-2</v>
      </c>
      <c r="H88" s="24">
        <f>IF(OR(B88="---",B88=""),"---",COUNTIF(tabDados[[#All],[Descrição Padronizada]],B88))</f>
        <v>14</v>
      </c>
      <c r="I88" s="24" t="s">
        <v>20</v>
      </c>
    </row>
    <row r="89" spans="1:9" x14ac:dyDescent="0.35">
      <c r="A89" s="15">
        <v>87</v>
      </c>
      <c r="B89" s="11" t="str">
        <v>esponja dupla face</v>
      </c>
      <c r="C89" s="16">
        <f t="array" ref="C89">IF(B89="","---",IFERROR(
   _xlfn.PERCENTILE.INC(
      IF((tabDados[Descrição Padronizada]=B89)*(tabDados[Valor Unitário]&lt;&gt;""),
         tabDados[Valor Unitário],""
      ),
   C$1),
   _xlfn.MINIFS(tabDados[Valor Unitário],tabDados[Descrição Padronizada],B89)
))</f>
        <v>0.5</v>
      </c>
      <c r="D89" s="16">
        <f t="array" ref="D89">IF(B89="","---",IFERROR(
   _xlfn.PERCENTILE.INC(
      IF((tabDados[Descrição Padronizada]=B89)*(tabDados[Valor Unitário]&lt;&gt;""),
         tabDados[Valor Unitário],""
      ),
   D$1),
   _xlfn.MAXIFS(tabDados[Valor Unitário],tabDados[Descrição Padronizada],B89)
))</f>
        <v>1.1100000000000001</v>
      </c>
      <c r="E89" s="16">
        <f>IF(OR(B89="",B89="---"),"---",
   IFERROR(AVERAGEIFS(tabDados[Valor Unitário],tabDados[Descrição Padronizada],B89,tabDados[Valor Unitário],"&gt;="&amp;C89,tabDados[Valor Unitário],"&lt;="&amp;D89),AVERAGE(C89,D89))
)</f>
        <v>0.67891891891891887</v>
      </c>
      <c r="F89" s="12">
        <f t="array" ref="F89">IF(OR(B89="",B89="---"),"---",TRUNC(IFERROR(MODE(IF((tabDados[Descrição Padronizada]=B89)*(tabDados[Vida Útil (meses)]&lt;&gt;""),tabDados[Vida Útil (meses)],"-")),AVERAGEIFS(tabDados[Vida Útil (meses)],tabDados[Descrição Padronizada],B89))+0.5))</f>
        <v>1</v>
      </c>
      <c r="G89" s="13">
        <f>IF(OR(B89="",B89="---"),"---",TRUNC(IFERROR(AVERAGEIFS(tabDados[Manutenção (%)],tabDados[Descrição Padronizada],B89,tabDados[Manutenção (%)],"&gt;"&amp;0),0)*10000)/10000)</f>
        <v>0</v>
      </c>
      <c r="H89" s="24">
        <f>IF(OR(B89="---",B89=""),"---",COUNTIF(tabDados[[#All],[Descrição Padronizada]],B89))</f>
        <v>40</v>
      </c>
      <c r="I89" s="24" t="s">
        <v>19</v>
      </c>
    </row>
    <row r="90" spans="1:9" x14ac:dyDescent="0.35">
      <c r="A90" s="15">
        <v>88</v>
      </c>
      <c r="B90" s="11" t="str">
        <v>estação de trabalho com computador</v>
      </c>
      <c r="C90" s="16">
        <f t="array" ref="C90">IF(B90="","---",IFERROR(
   _xlfn.PERCENTILE.INC(
      IF((tabDados[Descrição Padronizada]=B90)*(tabDados[Valor Unitário]&lt;&gt;""),
         tabDados[Valor Unitário],""
      ),
   C$1),
   _xlfn.MINIFS(tabDados[Valor Unitário],tabDados[Descrição Padronizada],B90)
))</f>
        <v>1693.125</v>
      </c>
      <c r="D90" s="16">
        <f t="array" ref="D90">IF(B90="","---",IFERROR(
   _xlfn.PERCENTILE.INC(
      IF((tabDados[Descrição Padronizada]=B90)*(tabDados[Valor Unitário]&lt;&gt;""),
         tabDados[Valor Unitário],""
      ),
   D$1),
   _xlfn.MAXIFS(tabDados[Valor Unitário],tabDados[Descrição Padronizada],B90)
))</f>
        <v>5825.2474999999995</v>
      </c>
      <c r="E90" s="16">
        <f>IF(OR(B90="",B90="---"),"---",
   IFERROR(AVERAGEIFS(tabDados[Valor Unitário],tabDados[Descrição Padronizada],B90,tabDados[Valor Unitário],"&gt;="&amp;C90,tabDados[Valor Unitário],"&lt;="&amp;D90),AVERAGE(C90,D90))
)</f>
        <v>2184.7150000000001</v>
      </c>
      <c r="F90" s="12">
        <f t="array" ref="F90">IF(OR(B90="",B90="---"),"---",TRUNC(IFERROR(MODE(IF((tabDados[Descrição Padronizada]=B90)*(tabDados[Vida Útil (meses)]&lt;&gt;""),tabDados[Vida Útil (meses)],"-")),AVERAGEIFS(tabDados[Vida Útil (meses)],tabDados[Descrição Padronizada],B90))+0.5))</f>
        <v>60</v>
      </c>
      <c r="G90" s="13">
        <f>IF(OR(B90="",B90="---"),"---",TRUNC(IFERROR(AVERAGEIFS(tabDados[Manutenção (%)],tabDados[Descrição Padronizada],B90,tabDados[Manutenção (%)],"&gt;"&amp;0),0)*10000)/10000)</f>
        <v>1.2E-2</v>
      </c>
      <c r="H90" s="24">
        <f>IF(OR(B90="---",B90=""),"---",COUNTIF(tabDados[[#All],[Descrição Padronizada]],B90))</f>
        <v>20</v>
      </c>
      <c r="I90" s="24" t="s">
        <v>19</v>
      </c>
    </row>
    <row r="91" spans="1:9" hidden="1" x14ac:dyDescent="0.35">
      <c r="A91" s="15">
        <v>89</v>
      </c>
      <c r="B91" s="11" t="str">
        <v>extensão elétrica 100 m</v>
      </c>
      <c r="C91" s="16">
        <f t="array" ref="C91">IF(B91="","---",IFERROR(
   _xlfn.PERCENTILE.INC(
      IF((tabDados[Descrição Padronizada]=B91)*(tabDados[Valor Unitário]&lt;&gt;""),
         tabDados[Valor Unitário],""
      ),
   C$1),
   _xlfn.MINIFS(tabDados[Valor Unitário],tabDados[Descrição Padronizada],B91)
))</f>
        <v>230.4325</v>
      </c>
      <c r="D91" s="16">
        <f t="array" ref="D91">IF(B91="","---",IFERROR(
   _xlfn.PERCENTILE.INC(
      IF((tabDados[Descrição Padronizada]=B91)*(tabDados[Valor Unitário]&lt;&gt;""),
         tabDados[Valor Unitário],""
      ),
   D$1),
   _xlfn.MAXIFS(tabDados[Valor Unitário],tabDados[Descrição Padronizada],B91)
))</f>
        <v>315.5</v>
      </c>
      <c r="E91" s="16">
        <f>IF(OR(B91="",B91="---"),"---",
   IFERROR(AVERAGEIFS(tabDados[Valor Unitário],tabDados[Descrição Padronizada],B91,tabDados[Valor Unitário],"&gt;="&amp;C91,tabDados[Valor Unitário],"&lt;="&amp;D91),AVERAGE(C91,D91))
)</f>
        <v>266.45500000000004</v>
      </c>
      <c r="F91" s="12">
        <f t="array" ref="F91">IF(OR(B91="",B91="---"),"---",TRUNC(IFERROR(MODE(IF((tabDados[Descrição Padronizada]=B91)*(tabDados[Vida Útil (meses)]&lt;&gt;""),tabDados[Vida Útil (meses)],"-")),AVERAGEIFS(tabDados[Vida Útil (meses)],tabDados[Descrição Padronizada],B91))+0.5))</f>
        <v>36</v>
      </c>
      <c r="G91" s="13">
        <f>IF(OR(B91="",B91="---"),"---",TRUNC(IFERROR(AVERAGEIFS(tabDados[Manutenção (%)],tabDados[Descrição Padronizada],B91,tabDados[Manutenção (%)],"&gt;"&amp;0),0)*10000)/10000)</f>
        <v>0</v>
      </c>
      <c r="H91" s="24">
        <f>IF(OR(B91="---",B91=""),"---",COUNTIF(tabDados[[#All],[Descrição Padronizada]],B91))</f>
        <v>4</v>
      </c>
      <c r="I91" s="24" t="s">
        <v>20</v>
      </c>
    </row>
    <row r="92" spans="1:9" x14ac:dyDescent="0.35">
      <c r="A92" s="15">
        <v>90</v>
      </c>
      <c r="B92" s="11" t="str">
        <v>extensão elétrica 25 m</v>
      </c>
      <c r="C92" s="16">
        <f t="array" ref="C92">IF(B92="","---",IFERROR(
   _xlfn.PERCENTILE.INC(
      IF((tabDados[Descrição Padronizada]=B92)*(tabDados[Valor Unitário]&lt;&gt;""),
         tabDados[Valor Unitário],""
      ),
   C$1),
   _xlfn.MINIFS(tabDados[Valor Unitário],tabDados[Descrição Padronizada],B92)
))</f>
        <v>110</v>
      </c>
      <c r="D92" s="16">
        <f t="array" ref="D92">IF(B92="","---",IFERROR(
   _xlfn.PERCENTILE.INC(
      IF((tabDados[Descrição Padronizada]=B92)*(tabDados[Valor Unitário]&lt;&gt;""),
         tabDados[Valor Unitário],""
      ),
   D$1),
   _xlfn.MAXIFS(tabDados[Valor Unitário],tabDados[Descrição Padronizada],B92)
))</f>
        <v>287.08999999999997</v>
      </c>
      <c r="E92" s="16">
        <f>IF(OR(B92="",B92="---"),"---",
   IFERROR(AVERAGEIFS(tabDados[Valor Unitário],tabDados[Descrição Padronizada],B92,tabDados[Valor Unitário],"&gt;="&amp;C92,tabDados[Valor Unitário],"&lt;="&amp;D92),AVERAGE(C92,D92))
)</f>
        <v>199.33999999999997</v>
      </c>
      <c r="F92" s="12">
        <f t="array" ref="F92">IF(OR(B92="",B92="---"),"---",TRUNC(IFERROR(MODE(IF((tabDados[Descrição Padronizada]=B92)*(tabDados[Vida Útil (meses)]&lt;&gt;""),tabDados[Vida Útil (meses)],"-")),AVERAGEIFS(tabDados[Vida Útil (meses)],tabDados[Descrição Padronizada],B92))+0.5))</f>
        <v>36</v>
      </c>
      <c r="G92" s="13">
        <f>IF(OR(B92="",B92="---"),"---",TRUNC(IFERROR(AVERAGEIFS(tabDados[Manutenção (%)],tabDados[Descrição Padronizada],B92,tabDados[Manutenção (%)],"&gt;"&amp;0),0)*10000)/10000)</f>
        <v>9.4000000000000004E-3</v>
      </c>
      <c r="H92" s="24">
        <f>IF(OR(B92="---",B92=""),"---",COUNTIF(tabDados[[#All],[Descrição Padronizada]],B92))</f>
        <v>51</v>
      </c>
      <c r="I92" s="24" t="s">
        <v>19</v>
      </c>
    </row>
    <row r="93" spans="1:9" x14ac:dyDescent="0.35">
      <c r="A93" s="15">
        <v>91</v>
      </c>
      <c r="B93" s="11" t="str">
        <v>extensão elétrica 30 m</v>
      </c>
      <c r="C93" s="16">
        <f t="array" ref="C93">IF(B93="","---",IFERROR(
   _xlfn.PERCENTILE.INC(
      IF((tabDados[Descrição Padronizada]=B93)*(tabDados[Valor Unitário]&lt;&gt;""),
         tabDados[Valor Unitário],""
      ),
   C$1),
   _xlfn.MINIFS(tabDados[Valor Unitário],tabDados[Descrição Padronizada],B93)
))</f>
        <v>120</v>
      </c>
      <c r="D93" s="16">
        <f t="array" ref="D93">IF(B93="","---",IFERROR(
   _xlfn.PERCENTILE.INC(
      IF((tabDados[Descrição Padronizada]=B93)*(tabDados[Valor Unitário]&lt;&gt;""),
         tabDados[Valor Unitário],""
      ),
   D$1),
   _xlfn.MAXIFS(tabDados[Valor Unitário],tabDados[Descrição Padronizada],B93)
))</f>
        <v>270</v>
      </c>
      <c r="E93" s="16">
        <f>IF(OR(B93="",B93="---"),"---",
   IFERROR(AVERAGEIFS(tabDados[Valor Unitário],tabDados[Descrição Padronizada],B93,tabDados[Valor Unitário],"&gt;="&amp;C93,tabDados[Valor Unitário],"&lt;="&amp;D93),AVERAGE(C93,D93))
)</f>
        <v>204.33952380952383</v>
      </c>
      <c r="F93" s="12">
        <f t="array" ref="F93">IF(OR(B93="",B93="---"),"---",TRUNC(IFERROR(MODE(IF((tabDados[Descrição Padronizada]=B93)*(tabDados[Vida Útil (meses)]&lt;&gt;""),tabDados[Vida Útil (meses)],"-")),AVERAGEIFS(tabDados[Vida Útil (meses)],tabDados[Descrição Padronizada],B93))+0.5))</f>
        <v>60</v>
      </c>
      <c r="G93" s="13">
        <f>IF(OR(B93="",B93="---"),"---",TRUNC(IFERROR(AVERAGEIFS(tabDados[Manutenção (%)],tabDados[Descrição Padronizada],B93,tabDados[Manutenção (%)],"&gt;"&amp;0),0)*10000)/10000)</f>
        <v>1.47E-2</v>
      </c>
      <c r="H93" s="24">
        <f>IF(OR(B93="---",B93=""),"---",COUNTIF(tabDados[[#All],[Descrição Padronizada]],B93))</f>
        <v>34</v>
      </c>
      <c r="I93" s="24" t="s">
        <v>19</v>
      </c>
    </row>
    <row r="94" spans="1:9" hidden="1" x14ac:dyDescent="0.35">
      <c r="A94" s="15">
        <v>92</v>
      </c>
      <c r="B94" s="11" t="str">
        <v>extensão elétrica 50 m</v>
      </c>
      <c r="C94" s="16">
        <f t="array" ref="C94">IF(B94="","---",IFERROR(
   _xlfn.PERCENTILE.INC(
      IF((tabDados[Descrição Padronizada]=B94)*(tabDados[Valor Unitário]&lt;&gt;""),
         tabDados[Valor Unitário],""
      ),
   C$1),
   _xlfn.MINIFS(tabDados[Valor Unitário],tabDados[Descrição Padronizada],B94)
))</f>
        <v>172.22</v>
      </c>
      <c r="D94" s="16">
        <f t="array" ref="D94">IF(B94="","---",IFERROR(
   _xlfn.PERCENTILE.INC(
      IF((tabDados[Descrição Padronizada]=B94)*(tabDados[Valor Unitário]&lt;&gt;""),
         tabDados[Valor Unitário],""
      ),
   D$1),
   _xlfn.MAXIFS(tabDados[Valor Unitário],tabDados[Descrição Padronizada],B94)
))</f>
        <v>422.90999999999997</v>
      </c>
      <c r="E94" s="16">
        <f>IF(OR(B94="",B94="---"),"---",
   IFERROR(AVERAGEIFS(tabDados[Valor Unitário],tabDados[Descrição Padronizada],B94,tabDados[Valor Unitário],"&gt;="&amp;C94,tabDados[Valor Unitário],"&lt;="&amp;D94),AVERAGE(C94,D94))
)</f>
        <v>193.21333333333334</v>
      </c>
      <c r="F94" s="12">
        <f t="array" ref="F94">IF(OR(B94="",B94="---"),"---",TRUNC(IFERROR(MODE(IF((tabDados[Descrição Padronizada]=B94)*(tabDados[Vida Útil (meses)]&lt;&gt;""),tabDados[Vida Útil (meses)],"-")),AVERAGEIFS(tabDados[Vida Útil (meses)],tabDados[Descrição Padronizada],B94))+0.5))</f>
        <v>36</v>
      </c>
      <c r="G94" s="13">
        <f>IF(OR(B94="",B94="---"),"---",TRUNC(IFERROR(AVERAGEIFS(tabDados[Manutenção (%)],tabDados[Descrição Padronizada],B94,tabDados[Manutenção (%)],"&gt;"&amp;0),0)*10000)/10000)</f>
        <v>1.67E-2</v>
      </c>
      <c r="H94" s="24">
        <f>IF(OR(B94="---",B94=""),"---",COUNTIF(tabDados[[#All],[Descrição Padronizada]],B94))</f>
        <v>4</v>
      </c>
      <c r="I94" s="24" t="s">
        <v>20</v>
      </c>
    </row>
    <row r="95" spans="1:9" hidden="1" x14ac:dyDescent="0.35">
      <c r="A95" s="15">
        <v>93</v>
      </c>
      <c r="B95" s="11" t="str">
        <v>extratora de carpete / tapete</v>
      </c>
      <c r="C95" s="16">
        <f t="array" ref="C95">IF(B95="","---",IFERROR(
   _xlfn.PERCENTILE.INC(
      IF((tabDados[Descrição Padronizada]=B95)*(tabDados[Valor Unitário]&lt;&gt;""),
         tabDados[Valor Unitário],""
      ),
   C$1),
   _xlfn.MINIFS(tabDados[Valor Unitário],tabDados[Descrição Padronizada],B95)
))</f>
        <v>1400</v>
      </c>
      <c r="D95" s="16">
        <f t="array" ref="D95">IF(B95="","---",IFERROR(
   _xlfn.PERCENTILE.INC(
      IF((tabDados[Descrição Padronizada]=B95)*(tabDados[Valor Unitário]&lt;&gt;""),
         tabDados[Valor Unitário],""
      ),
   D$1),
   _xlfn.MAXIFS(tabDados[Valor Unitário],tabDados[Descrição Padronizada],B95)
))</f>
        <v>3017.4749999999999</v>
      </c>
      <c r="E95" s="16">
        <f>IF(OR(B95="",B95="---"),"---",
   IFERROR(AVERAGEIFS(tabDados[Valor Unitário],tabDados[Descrição Padronizada],B95,tabDados[Valor Unitário],"&gt;="&amp;C95,tabDados[Valor Unitário],"&lt;="&amp;D95),AVERAGE(C95,D95))
)</f>
        <v>2103.3333333333335</v>
      </c>
      <c r="F95" s="12">
        <f t="array" ref="F95">IF(OR(B95="",B95="---"),"---",TRUNC(IFERROR(MODE(IF((tabDados[Descrição Padronizada]=B95)*(tabDados[Vida Útil (meses)]&lt;&gt;""),tabDados[Vida Útil (meses)],"-")),AVERAGEIFS(tabDados[Vida Útil (meses)],tabDados[Descrição Padronizada],B95))+0.5))</f>
        <v>60</v>
      </c>
      <c r="G95" s="13">
        <f>IF(OR(B95="",B95="---"),"---",TRUNC(IFERROR(AVERAGEIFS(tabDados[Manutenção (%)],tabDados[Descrição Padronizada],B95,tabDados[Manutenção (%)],"&gt;"&amp;0),0)*10000)/10000)</f>
        <v>1.2800000000000001E-2</v>
      </c>
      <c r="H95" s="24">
        <f>IF(OR(B95="---",B95=""),"---",COUNTIF(tabDados[[#All],[Descrição Padronizada]],B95))</f>
        <v>12</v>
      </c>
      <c r="I95" s="24" t="s">
        <v>20</v>
      </c>
    </row>
    <row r="96" spans="1:9" x14ac:dyDescent="0.35">
      <c r="A96" s="15">
        <v>94</v>
      </c>
      <c r="B96" s="11" t="str">
        <v>fone de ouvido lapela</v>
      </c>
      <c r="C96" s="16">
        <f t="array" ref="C96">IF(B96="","---",IFERROR(
   _xlfn.PERCENTILE.INC(
      IF((tabDados[Descrição Padronizada]=B96)*(tabDados[Valor Unitário]&lt;&gt;""),
         tabDados[Valor Unitário],""
      ),
   C$1),
   _xlfn.MINIFS(tabDados[Valor Unitário],tabDados[Descrição Padronizada],B96)
))</f>
        <v>44.16</v>
      </c>
      <c r="D96" s="16">
        <f t="array" ref="D96">IF(B96="","---",IFERROR(
   _xlfn.PERCENTILE.INC(
      IF((tabDados[Descrição Padronizada]=B96)*(tabDados[Valor Unitário]&lt;&gt;""),
         tabDados[Valor Unitário],""
      ),
   D$1),
   _xlfn.MAXIFS(tabDados[Valor Unitário],tabDados[Descrição Padronizada],B96)
))</f>
        <v>112</v>
      </c>
      <c r="E96" s="16">
        <f>IF(OR(B96="",B96="---"),"---",
   IFERROR(AVERAGEIFS(tabDados[Valor Unitário],tabDados[Descrição Padronizada],B96,tabDados[Valor Unitário],"&gt;="&amp;C96,tabDados[Valor Unitário],"&lt;="&amp;D96),AVERAGE(C96,D96))
)</f>
        <v>93.727692307692308</v>
      </c>
      <c r="F96" s="12">
        <f t="array" ref="F96">IF(OR(B96="",B96="---"),"---",TRUNC(IFERROR(MODE(IF((tabDados[Descrição Padronizada]=B96)*(tabDados[Vida Útil (meses)]&lt;&gt;""),tabDados[Vida Útil (meses)],"-")),AVERAGEIFS(tabDados[Vida Útil (meses)],tabDados[Descrição Padronizada],B96))+0.5))</f>
        <v>24</v>
      </c>
      <c r="G96" s="13">
        <f>IF(OR(B96="",B96="---"),"---",TRUNC(IFERROR(AVERAGEIFS(tabDados[Manutenção (%)],tabDados[Descrição Padronizada],B96,tabDados[Manutenção (%)],"&gt;"&amp;0),0)*10000)/10000)</f>
        <v>0</v>
      </c>
      <c r="H96" s="24">
        <f>IF(OR(B96="---",B96=""),"---",COUNTIF(tabDados[[#All],[Descrição Padronizada]],B96))</f>
        <v>23</v>
      </c>
      <c r="I96" s="24" t="s">
        <v>19</v>
      </c>
    </row>
    <row r="97" spans="1:9" hidden="1" x14ac:dyDescent="0.35">
      <c r="A97" s="15">
        <v>95</v>
      </c>
      <c r="B97" s="11" t="str">
        <v>frigobar</v>
      </c>
      <c r="C97" s="16">
        <f t="array" ref="C97">IF(B97="","---",IFERROR(
   _xlfn.PERCENTILE.INC(
      IF((tabDados[Descrição Padronizada]=B97)*(tabDados[Valor Unitário]&lt;&gt;""),
         tabDados[Valor Unitário],""
      ),
   C$1),
   _xlfn.MINIFS(tabDados[Valor Unitário],tabDados[Descrição Padronizada],B97)
))</f>
        <v>1299</v>
      </c>
      <c r="D97" s="16">
        <f t="array" ref="D97">IF(B97="","---",IFERROR(
   _xlfn.PERCENTILE.INC(
      IF((tabDados[Descrição Padronizada]=B97)*(tabDados[Valor Unitário]&lt;&gt;""),
         tabDados[Valor Unitário],""
      ),
   D$1),
   _xlfn.MAXIFS(tabDados[Valor Unitário],tabDados[Descrição Padronizada],B97)
))</f>
        <v>1299</v>
      </c>
      <c r="E97" s="16">
        <f>IF(OR(B97="",B97="---"),"---",
   IFERROR(AVERAGEIFS(tabDados[Valor Unitário],tabDados[Descrição Padronizada],B97,tabDados[Valor Unitário],"&gt;="&amp;C97,tabDados[Valor Unitário],"&lt;="&amp;D97),AVERAGE(C97,D97))
)</f>
        <v>1299</v>
      </c>
      <c r="F97" s="12">
        <f t="array" ref="F97">IF(OR(B97="",B97="---"),"---",TRUNC(IFERROR(MODE(IF((tabDados[Descrição Padronizada]=B97)*(tabDados[Vida Útil (meses)]&lt;&gt;""),tabDados[Vida Útil (meses)],"-")),AVERAGEIFS(tabDados[Vida Útil (meses)],tabDados[Descrição Padronizada],B97))+0.5))</f>
        <v>36</v>
      </c>
      <c r="G97" s="13">
        <f>IF(OR(B97="",B97="---"),"---",TRUNC(IFERROR(AVERAGEIFS(tabDados[Manutenção (%)],tabDados[Descrição Padronizada],B97,tabDados[Manutenção (%)],"&gt;"&amp;0),0)*10000)/10000)</f>
        <v>1.4999999999999999E-2</v>
      </c>
      <c r="H97" s="24">
        <f>IF(OR(B97="---",B97=""),"---",COUNTIF(tabDados[[#All],[Descrição Padronizada]],B97))</f>
        <v>1</v>
      </c>
      <c r="I97" s="24" t="s">
        <v>20</v>
      </c>
    </row>
    <row r="98" spans="1:9" hidden="1" x14ac:dyDescent="0.35">
      <c r="A98" s="15">
        <v>96</v>
      </c>
      <c r="B98" s="11" t="str">
        <v>geladeira</v>
      </c>
      <c r="C98" s="16">
        <f t="array" ref="C98">IF(B98="","---",IFERROR(
   _xlfn.PERCENTILE.INC(
      IF((tabDados[Descrição Padronizada]=B98)*(tabDados[Valor Unitário]&lt;&gt;""),
         tabDados[Valor Unitário],""
      ),
   C$1),
   _xlfn.MINIFS(tabDados[Valor Unitário],tabDados[Descrição Padronizada],B98)
))</f>
        <v>1350</v>
      </c>
      <c r="D98" s="16">
        <f t="array" ref="D98">IF(B98="","---",IFERROR(
   _xlfn.PERCENTILE.INC(
      IF((tabDados[Descrição Padronizada]=B98)*(tabDados[Valor Unitário]&lt;&gt;""),
         tabDados[Valor Unitário],""
      ),
   D$1),
   _xlfn.MAXIFS(tabDados[Valor Unitário],tabDados[Descrição Padronizada],B98)
))</f>
        <v>2250</v>
      </c>
      <c r="E98" s="16">
        <f>IF(OR(B98="",B98="---"),"---",
   IFERROR(AVERAGEIFS(tabDados[Valor Unitário],tabDados[Descrição Padronizada],B98,tabDados[Valor Unitário],"&gt;="&amp;C98,tabDados[Valor Unitário],"&lt;="&amp;D98),AVERAGE(C98,D98))
)</f>
        <v>1500</v>
      </c>
      <c r="F98" s="12">
        <f t="array" ref="F98">IF(OR(B98="",B98="---"),"---",TRUNC(IFERROR(MODE(IF((tabDados[Descrição Padronizada]=B98)*(tabDados[Vida Útil (meses)]&lt;&gt;""),tabDados[Vida Útil (meses)],"-")),AVERAGEIFS(tabDados[Vida Útil (meses)],tabDados[Descrição Padronizada],B98))+0.5))</f>
        <v>60</v>
      </c>
      <c r="G98" s="13">
        <f>IF(OR(B98="",B98="---"),"---",TRUNC(IFERROR(AVERAGEIFS(tabDados[Manutenção (%)],tabDados[Descrição Padronizada],B98,tabDados[Manutenção (%)],"&gt;"&amp;0),0)*10000)/10000)</f>
        <v>0</v>
      </c>
      <c r="H98" s="24">
        <f>IF(OR(B98="---",B98=""),"---",COUNTIF(tabDados[[#All],[Descrição Padronizada]],B98))</f>
        <v>3</v>
      </c>
      <c r="I98" s="24" t="s">
        <v>20</v>
      </c>
    </row>
    <row r="99" spans="1:9" x14ac:dyDescent="0.35">
      <c r="A99" s="15">
        <v>97</v>
      </c>
      <c r="B99" s="11" t="str">
        <v>hidrojateadora de alta pressão</v>
      </c>
      <c r="C99" s="16">
        <f t="array" ref="C99">IF(B99="","---",IFERROR(
   _xlfn.PERCENTILE.INC(
      IF((tabDados[Descrição Padronizada]=B99)*(tabDados[Valor Unitário]&lt;&gt;""),
         tabDados[Valor Unitário],""
      ),
   C$1),
   _xlfn.MINIFS(tabDados[Valor Unitário],tabDados[Descrição Padronizada],B99)
))</f>
        <v>2399</v>
      </c>
      <c r="D99" s="16">
        <f t="array" ref="D99">IF(B99="","---",IFERROR(
   _xlfn.PERCENTILE.INC(
      IF((tabDados[Descrição Padronizada]=B99)*(tabDados[Valor Unitário]&lt;&gt;""),
         tabDados[Valor Unitário],""
      ),
   D$1),
   _xlfn.MAXIFS(tabDados[Valor Unitário],tabDados[Descrição Padronizada],B99)
))</f>
        <v>4320</v>
      </c>
      <c r="E99" s="16">
        <f>IF(OR(B99="",B99="---"),"---",
   IFERROR(AVERAGEIFS(tabDados[Valor Unitário],tabDados[Descrição Padronizada],B99,tabDados[Valor Unitário],"&gt;="&amp;C99,tabDados[Valor Unitário],"&lt;="&amp;D99),AVERAGE(C99,D99))
)</f>
        <v>3182.0566250000002</v>
      </c>
      <c r="F99" s="12">
        <f t="array" ref="F99">IF(OR(B99="",B99="---"),"---",TRUNC(IFERROR(MODE(IF((tabDados[Descrição Padronizada]=B99)*(tabDados[Vida Útil (meses)]&lt;&gt;""),tabDados[Vida Útil (meses)],"-")),AVERAGEIFS(tabDados[Vida Útil (meses)],tabDados[Descrição Padronizada],B99))+0.5))</f>
        <v>60</v>
      </c>
      <c r="G99" s="13">
        <f>IF(OR(B99="",B99="---"),"---",TRUNC(IFERROR(AVERAGEIFS(tabDados[Manutenção (%)],tabDados[Descrição Padronizada],B99,tabDados[Manutenção (%)],"&gt;"&amp;0),0)*10000)/10000)</f>
        <v>1.7600000000000001E-2</v>
      </c>
      <c r="H99" s="24">
        <f>IF(OR(B99="---",B99=""),"---",COUNTIF(tabDados[[#All],[Descrição Padronizada]],B99))</f>
        <v>243</v>
      </c>
      <c r="I99" s="24" t="s">
        <v>19</v>
      </c>
    </row>
    <row r="100" spans="1:9" hidden="1" x14ac:dyDescent="0.35">
      <c r="A100" s="15">
        <v>98</v>
      </c>
      <c r="B100" s="11" t="str">
        <v>impressora</v>
      </c>
      <c r="C100" s="16">
        <f t="array" ref="C100">IF(B100="","---",IFERROR(
   _xlfn.PERCENTILE.INC(
      IF((tabDados[Descrição Padronizada]=B100)*(tabDados[Valor Unitário]&lt;&gt;""),
         tabDados[Valor Unitário],""
      ),
   C$1),
   _xlfn.MINIFS(tabDados[Valor Unitário],tabDados[Descrição Padronizada],B100)
))</f>
        <v>135.9725</v>
      </c>
      <c r="D100" s="16">
        <f t="array" ref="D100">IF(B100="","---",IFERROR(
   _xlfn.PERCENTILE.INC(
      IF((tabDados[Descrição Padronizada]=B100)*(tabDados[Valor Unitário]&lt;&gt;""),
         tabDados[Valor Unitário],""
      ),
   D$1),
   _xlfn.MAXIFS(tabDados[Valor Unitário],tabDados[Descrição Padronizada],B100)
))</f>
        <v>650</v>
      </c>
      <c r="E100" s="16">
        <f>IF(OR(B100="",B100="---"),"---",
   IFERROR(AVERAGEIFS(tabDados[Valor Unitário],tabDados[Descrição Padronizada],B100,tabDados[Valor Unitário],"&gt;="&amp;C100,tabDados[Valor Unitário],"&lt;="&amp;D100),AVERAGE(C100,D100))
)</f>
        <v>510</v>
      </c>
      <c r="F100" s="12">
        <f t="array" ref="F100">IF(OR(B100="",B100="---"),"---",TRUNC(IFERROR(MODE(IF((tabDados[Descrição Padronizada]=B100)*(tabDados[Vida Útil (meses)]&lt;&gt;""),tabDados[Vida Útil (meses)],"-")),AVERAGEIFS(tabDados[Vida Útil (meses)],tabDados[Descrição Padronizada],B100))+0.5))</f>
        <v>1</v>
      </c>
      <c r="G100" s="13">
        <f>IF(OR(B100="",B100="---"),"---",TRUNC(IFERROR(AVERAGEIFS(tabDados[Manutenção (%)],tabDados[Descrição Padronizada],B100,tabDados[Manutenção (%)],"&gt;"&amp;0),0)*10000)/10000)</f>
        <v>0</v>
      </c>
      <c r="H100" s="24">
        <f>IF(OR(B100="---",B100=""),"---",COUNTIF(tabDados[[#All],[Descrição Padronizada]],B100))</f>
        <v>6</v>
      </c>
      <c r="I100" s="24" t="s">
        <v>20</v>
      </c>
    </row>
    <row r="101" spans="1:9" x14ac:dyDescent="0.35">
      <c r="A101" s="15">
        <v>99</v>
      </c>
      <c r="B101" s="11" t="str">
        <v>kit jardinagem</v>
      </c>
      <c r="C101" s="16">
        <f t="array" ref="C101">IF(B101="","---",IFERROR(
   _xlfn.PERCENTILE.INC(
      IF((tabDados[Descrição Padronizada]=B101)*(tabDados[Valor Unitário]&lt;&gt;""),
         tabDados[Valor Unitário],""
      ),
   C$1),
   _xlfn.MINIFS(tabDados[Valor Unitário],tabDados[Descrição Padronizada],B101)
))</f>
        <v>1000</v>
      </c>
      <c r="D101" s="16">
        <f t="array" ref="D101">IF(B101="","---",IFERROR(
   _xlfn.PERCENTILE.INC(
      IF((tabDados[Descrição Padronizada]=B101)*(tabDados[Valor Unitário]&lt;&gt;""),
         tabDados[Valor Unitário],""
      ),
   D$1),
   _xlfn.MAXIFS(tabDados[Valor Unitário],tabDados[Descrição Padronizada],B101)
))</f>
        <v>1845</v>
      </c>
      <c r="E101" s="16">
        <f>IF(OR(B101="",B101="---"),"---",
   IFERROR(AVERAGEIFS(tabDados[Valor Unitário],tabDados[Descrição Padronizada],B101,tabDados[Valor Unitário],"&gt;="&amp;C101,tabDados[Valor Unitário],"&lt;="&amp;D101),AVERAGE(C101,D101))
)</f>
        <v>1365.8333333333333</v>
      </c>
      <c r="F101" s="12">
        <f t="array" ref="F101">IF(OR(B101="",B101="---"),"---",TRUNC(IFERROR(MODE(IF((tabDados[Descrição Padronizada]=B101)*(tabDados[Vida Útil (meses)]&lt;&gt;""),tabDados[Vida Útil (meses)],"-")),AVERAGEIFS(tabDados[Vida Útil (meses)],tabDados[Descrição Padronizada],B101))+0.5))</f>
        <v>60</v>
      </c>
      <c r="G101" s="13">
        <f>IF(OR(B101="",B101="---"),"---",TRUNC(IFERROR(AVERAGEIFS(tabDados[Manutenção (%)],tabDados[Descrição Padronizada],B101,tabDados[Manutenção (%)],"&gt;"&amp;0),0)*10000)/10000)</f>
        <v>1.89E-2</v>
      </c>
      <c r="H101" s="24">
        <f>IF(OR(B101="---",B101=""),"---",COUNTIF(tabDados[[#All],[Descrição Padronizada]],B101))</f>
        <v>20</v>
      </c>
      <c r="I101" s="24" t="s">
        <v>19</v>
      </c>
    </row>
    <row r="102" spans="1:9" x14ac:dyDescent="0.35">
      <c r="A102" s="15">
        <v>100</v>
      </c>
      <c r="B102" s="11" t="str">
        <v>kit limpa vidros completo</v>
      </c>
      <c r="C102" s="16">
        <f t="array" ref="C102">IF(B102="","---",IFERROR(
   _xlfn.PERCENTILE.INC(
      IF((tabDados[Descrição Padronizada]=B102)*(tabDados[Valor Unitário]&lt;&gt;""),
         tabDados[Valor Unitário],""
      ),
   C$1),
   _xlfn.MINIFS(tabDados[Valor Unitário],tabDados[Descrição Padronizada],B102)
))</f>
        <v>237.76</v>
      </c>
      <c r="D102" s="16">
        <f t="array" ref="D102">IF(B102="","---",IFERROR(
   _xlfn.PERCENTILE.INC(
      IF((tabDados[Descrição Padronizada]=B102)*(tabDados[Valor Unitário]&lt;&gt;""),
         tabDados[Valor Unitário],""
      ),
   D$1),
   _xlfn.MAXIFS(tabDados[Valor Unitário],tabDados[Descrição Padronizada],B102)
))</f>
        <v>400</v>
      </c>
      <c r="E102" s="16">
        <f>IF(OR(B102="",B102="---"),"---",
   IFERROR(AVERAGEIFS(tabDados[Valor Unitário],tabDados[Descrição Padronizada],B102,tabDados[Valor Unitário],"&gt;="&amp;C102,tabDados[Valor Unitário],"&lt;="&amp;D102),AVERAGE(C102,D102))
)</f>
        <v>313.5352272727273</v>
      </c>
      <c r="F102" s="12">
        <f t="array" ref="F102">IF(OR(B102="",B102="---"),"---",TRUNC(IFERROR(MODE(IF((tabDados[Descrição Padronizada]=B102)*(tabDados[Vida Útil (meses)]&lt;&gt;""),tabDados[Vida Útil (meses)],"-")),AVERAGEIFS(tabDados[Vida Útil (meses)],tabDados[Descrição Padronizada],B102))+0.5))</f>
        <v>60</v>
      </c>
      <c r="G102" s="13">
        <f>IF(OR(B102="",B102="---"),"---",TRUNC(IFERROR(AVERAGEIFS(tabDados[Manutenção (%)],tabDados[Descrição Padronizada],B102,tabDados[Manutenção (%)],"&gt;"&amp;0),0)*10000)/10000)</f>
        <v>1.3899999999999999E-2</v>
      </c>
      <c r="H102" s="24">
        <f>IF(OR(B102="---",B102=""),"---",COUNTIF(tabDados[[#All],[Descrição Padronizada]],B102))</f>
        <v>78</v>
      </c>
      <c r="I102" s="24" t="s">
        <v>19</v>
      </c>
    </row>
    <row r="103" spans="1:9" hidden="1" x14ac:dyDescent="0.35">
      <c r="A103" s="15">
        <v>101</v>
      </c>
      <c r="B103" s="11" t="str">
        <v>lava e seca</v>
      </c>
      <c r="C103" s="16">
        <f t="array" ref="C103">IF(B103="","---",IFERROR(
   _xlfn.PERCENTILE.INC(
      IF((tabDados[Descrição Padronizada]=B103)*(tabDados[Valor Unitário]&lt;&gt;""),
         tabDados[Valor Unitário],""
      ),
   C$1),
   _xlfn.MINIFS(tabDados[Valor Unitário],tabDados[Descrição Padronizada],B103)
))</f>
        <v>4690.76</v>
      </c>
      <c r="D103" s="16">
        <f t="array" ref="D103">IF(B103="","---",IFERROR(
   _xlfn.PERCENTILE.INC(
      IF((tabDados[Descrição Padronizada]=B103)*(tabDados[Valor Unitário]&lt;&gt;""),
         tabDados[Valor Unitário],""
      ),
   D$1),
   _xlfn.MAXIFS(tabDados[Valor Unitário],tabDados[Descrição Padronizada],B103)
))</f>
        <v>4690.76</v>
      </c>
      <c r="E103" s="16">
        <f>IF(OR(B103="",B103="---"),"---",
   IFERROR(AVERAGEIFS(tabDados[Valor Unitário],tabDados[Descrição Padronizada],B103,tabDados[Valor Unitário],"&gt;="&amp;C103,tabDados[Valor Unitário],"&lt;="&amp;D103),AVERAGE(C103,D103))
)</f>
        <v>4690.76</v>
      </c>
      <c r="F103" s="12">
        <f t="array" ref="F103">IF(OR(B103="",B103="---"),"---",TRUNC(IFERROR(MODE(IF((tabDados[Descrição Padronizada]=B103)*(tabDados[Vida Útil (meses)]&lt;&gt;""),tabDados[Vida Útil (meses)],"-")),AVERAGEIFS(tabDados[Vida Útil (meses)],tabDados[Descrição Padronizada],B103))+0.5))</f>
        <v>60</v>
      </c>
      <c r="G103" s="13">
        <f>IF(OR(B103="",B103="---"),"---",TRUNC(IFERROR(AVERAGEIFS(tabDados[Manutenção (%)],tabDados[Descrição Padronizada],B103,tabDados[Manutenção (%)],"&gt;"&amp;0),0)*10000)/10000)</f>
        <v>1.67E-2</v>
      </c>
      <c r="H103" s="24">
        <f>IF(OR(B103="---",B103=""),"---",COUNTIF(tabDados[[#All],[Descrição Padronizada]],B103))</f>
        <v>1</v>
      </c>
      <c r="I103" s="24" t="s">
        <v>20</v>
      </c>
    </row>
    <row r="104" spans="1:9" x14ac:dyDescent="0.35">
      <c r="A104" s="15">
        <v>102</v>
      </c>
      <c r="B104" s="11" t="str">
        <v>lavadora de escada rolante</v>
      </c>
      <c r="C104" s="16">
        <f t="array" ref="C104">IF(B104="","---",IFERROR(
   _xlfn.PERCENTILE.INC(
      IF((tabDados[Descrição Padronizada]=B104)*(tabDados[Valor Unitário]&lt;&gt;""),
         tabDados[Valor Unitário],""
      ),
   C$1),
   _xlfn.MINIFS(tabDados[Valor Unitário],tabDados[Descrição Padronizada],B104)
))</f>
        <v>5973.42</v>
      </c>
      <c r="D104" s="16">
        <f t="array" ref="D104">IF(B104="","---",IFERROR(
   _xlfn.PERCENTILE.INC(
      IF((tabDados[Descrição Padronizada]=B104)*(tabDados[Valor Unitário]&lt;&gt;""),
         tabDados[Valor Unitário],""
      ),
   D$1),
   _xlfn.MAXIFS(tabDados[Valor Unitário],tabDados[Descrição Padronizada],B104)
))</f>
        <v>77888.7</v>
      </c>
      <c r="E104" s="16">
        <f>IF(OR(B104="",B104="---"),"---",
   IFERROR(AVERAGEIFS(tabDados[Valor Unitário],tabDados[Descrição Padronizada],B104,tabDados[Valor Unitário],"&gt;="&amp;C104,tabDados[Valor Unitário],"&lt;="&amp;D104),AVERAGE(C104,D104))
)</f>
        <v>54390.048181818187</v>
      </c>
      <c r="F104" s="12">
        <f t="array" ref="F104">IF(OR(B104="",B104="---"),"---",TRUNC(IFERROR(MODE(IF((tabDados[Descrição Padronizada]=B104)*(tabDados[Vida Útil (meses)]&lt;&gt;""),tabDados[Vida Útil (meses)],"-")),AVERAGEIFS(tabDados[Vida Útil (meses)],tabDados[Descrição Padronizada],B104))+0.5))</f>
        <v>60</v>
      </c>
      <c r="G104" s="13">
        <f>IF(OR(B104="",B104="---"),"---",TRUNC(IFERROR(AVERAGEIFS(tabDados[Manutenção (%)],tabDados[Descrição Padronizada],B104,tabDados[Manutenção (%)],"&gt;"&amp;0),0)*10000)/10000)</f>
        <v>9.2999999999999992E-3</v>
      </c>
      <c r="H104" s="24">
        <f>IF(OR(B104="---",B104=""),"---",COUNTIF(tabDados[[#All],[Descrição Padronizada]],B104))</f>
        <v>22</v>
      </c>
      <c r="I104" s="24" t="s">
        <v>19</v>
      </c>
    </row>
    <row r="105" spans="1:9" x14ac:dyDescent="0.35">
      <c r="A105" s="15">
        <v>103</v>
      </c>
      <c r="B105" s="11" t="str">
        <v>lavadora de piso de operação a pé</v>
      </c>
      <c r="C105" s="16">
        <f t="array" ref="C105">IF(B105="","---",IFERROR(
   _xlfn.PERCENTILE.INC(
      IF((tabDados[Descrição Padronizada]=B105)*(tabDados[Valor Unitário]&lt;&gt;""),
         tabDados[Valor Unitário],""
      ),
   C$1),
   _xlfn.MINIFS(tabDados[Valor Unitário],tabDados[Descrição Padronizada],B105)
))</f>
        <v>9800</v>
      </c>
      <c r="D105" s="16">
        <f t="array" ref="D105">IF(B105="","---",IFERROR(
   _xlfn.PERCENTILE.INC(
      IF((tabDados[Descrição Padronizada]=B105)*(tabDados[Valor Unitário]&lt;&gt;""),
         tabDados[Valor Unitário],""
      ),
   D$1),
   _xlfn.MAXIFS(tabDados[Valor Unitário],tabDados[Descrição Padronizada],B105)
))</f>
        <v>24715.775000000001</v>
      </c>
      <c r="E105" s="16">
        <f>IF(OR(B105="",B105="---"),"---",
   IFERROR(AVERAGEIFS(tabDados[Valor Unitário],tabDados[Descrição Padronizada],B105,tabDados[Valor Unitário],"&gt;="&amp;C105,tabDados[Valor Unitário],"&lt;="&amp;D105),AVERAGE(C105,D105))
)</f>
        <v>17207.130140845067</v>
      </c>
      <c r="F105" s="12">
        <f t="array" ref="F105">IF(OR(B105="",B105="---"),"---",TRUNC(IFERROR(MODE(IF((tabDados[Descrição Padronizada]=B105)*(tabDados[Vida Útil (meses)]&lt;&gt;""),tabDados[Vida Útil (meses)],"-")),AVERAGEIFS(tabDados[Vida Útil (meses)],tabDados[Descrição Padronizada],B105))+0.5))</f>
        <v>60</v>
      </c>
      <c r="G105" s="13">
        <f>IF(OR(B105="",B105="---"),"---",TRUNC(IFERROR(AVERAGEIFS(tabDados[Manutenção (%)],tabDados[Descrição Padronizada],B105,tabDados[Manutenção (%)],"&gt;"&amp;0),0)*10000)/10000)</f>
        <v>2.8400000000000002E-2</v>
      </c>
      <c r="H105" s="24">
        <f>IF(OR(B105="---",B105=""),"---",COUNTIF(tabDados[[#All],[Descrição Padronizada]],B105))</f>
        <v>177</v>
      </c>
      <c r="I105" s="24" t="s">
        <v>19</v>
      </c>
    </row>
    <row r="106" spans="1:9" x14ac:dyDescent="0.35">
      <c r="A106" s="15">
        <v>104</v>
      </c>
      <c r="B106" s="11" t="str">
        <v>lavadora de piso tripulada</v>
      </c>
      <c r="C106" s="16">
        <f t="array" ref="C106">IF(B106="","---",IFERROR(
   _xlfn.PERCENTILE.INC(
      IF((tabDados[Descrição Padronizada]=B106)*(tabDados[Valor Unitário]&lt;&gt;""),
         tabDados[Valor Unitário],""
      ),
   C$1),
   _xlfn.MINIFS(tabDados[Valor Unitário],tabDados[Descrição Padronizada],B106)
))</f>
        <v>4849.67</v>
      </c>
      <c r="D106" s="16">
        <f t="array" ref="D106">IF(B106="","---",IFERROR(
   _xlfn.PERCENTILE.INC(
      IF((tabDados[Descrição Padronizada]=B106)*(tabDados[Valor Unitário]&lt;&gt;""),
         tabDados[Valor Unitário],""
      ),
   D$1),
   _xlfn.MAXIFS(tabDados[Valor Unitário],tabDados[Descrição Padronizada],B106)
))</f>
        <v>69955</v>
      </c>
      <c r="E106" s="16">
        <f>IF(OR(B106="",B106="---"),"---",
   IFERROR(AVERAGEIFS(tabDados[Valor Unitário],tabDados[Descrição Padronizada],B106,tabDados[Valor Unitário],"&gt;="&amp;C106,tabDados[Valor Unitário],"&lt;="&amp;D106),AVERAGE(C106,D106))
)</f>
        <v>35760.357307692298</v>
      </c>
      <c r="F106" s="12">
        <f t="array" ref="F106">IF(OR(B106="",B106="---"),"---",TRUNC(IFERROR(MODE(IF((tabDados[Descrição Padronizada]=B106)*(tabDados[Vida Útil (meses)]&lt;&gt;""),tabDados[Vida Útil (meses)],"-")),AVERAGEIFS(tabDados[Vida Útil (meses)],tabDados[Descrição Padronizada],B106))+0.5))</f>
        <v>60</v>
      </c>
      <c r="G106" s="13">
        <f>IF(OR(B106="",B106="---"),"---",TRUNC(IFERROR(AVERAGEIFS(tabDados[Manutenção (%)],tabDados[Descrição Padronizada],B106,tabDados[Manutenção (%)],"&gt;"&amp;0),0)*10000)/10000)</f>
        <v>9.9000000000000008E-3</v>
      </c>
      <c r="H106" s="24">
        <f>IF(OR(B106="---",B106=""),"---",COUNTIF(tabDados[[#All],[Descrição Padronizada]],B106))</f>
        <v>70</v>
      </c>
      <c r="I106" s="24" t="s">
        <v>19</v>
      </c>
    </row>
    <row r="107" spans="1:9" x14ac:dyDescent="0.35">
      <c r="A107" s="15">
        <v>105</v>
      </c>
      <c r="B107" s="11" t="str">
        <v>lavatina</v>
      </c>
      <c r="C107" s="16">
        <f t="array" ref="C107">IF(B107="","---",IFERROR(
   _xlfn.PERCENTILE.INC(
      IF((tabDados[Descrição Padronizada]=B107)*(tabDados[Valor Unitário]&lt;&gt;""),
         tabDados[Valor Unitário],""
      ),
   C$1),
   _xlfn.MINIFS(tabDados[Valor Unitário],tabDados[Descrição Padronizada],B107)
))</f>
        <v>4</v>
      </c>
      <c r="D107" s="16">
        <f t="array" ref="D107">IF(B107="","---",IFERROR(
   _xlfn.PERCENTILE.INC(
      IF((tabDados[Descrição Padronizada]=B107)*(tabDados[Valor Unitário]&lt;&gt;""),
         tabDados[Valor Unitário],""
      ),
   D$1),
   _xlfn.MAXIFS(tabDados[Valor Unitário],tabDados[Descrição Padronizada],B107)
))</f>
        <v>8.5</v>
      </c>
      <c r="E107" s="16">
        <f>IF(OR(B107="",B107="---"),"---",
   IFERROR(AVERAGEIFS(tabDados[Valor Unitário],tabDados[Descrição Padronizada],B107,tabDados[Valor Unitário],"&gt;="&amp;C107,tabDados[Valor Unitário],"&lt;="&amp;D107),AVERAGE(C107,D107))
)</f>
        <v>5.2121212121212119</v>
      </c>
      <c r="F107" s="12">
        <f t="array" ref="F107">IF(OR(B107="",B107="---"),"---",TRUNC(IFERROR(MODE(IF((tabDados[Descrição Padronizada]=B107)*(tabDados[Vida Útil (meses)]&lt;&gt;""),tabDados[Vida Útil (meses)],"-")),AVERAGEIFS(tabDados[Vida Útil (meses)],tabDados[Descrição Padronizada],B107))+0.5))</f>
        <v>12</v>
      </c>
      <c r="G107" s="13">
        <f>IF(OR(B107="",B107="---"),"---",TRUNC(IFERROR(AVERAGEIFS(tabDados[Manutenção (%)],tabDados[Descrição Padronizada],B107,tabDados[Manutenção (%)],"&gt;"&amp;0),0)*10000)/10000)</f>
        <v>0</v>
      </c>
      <c r="H107" s="24">
        <f>IF(OR(B107="---",B107=""),"---",COUNTIF(tabDados[[#All],[Descrição Padronizada]],B107))</f>
        <v>36</v>
      </c>
      <c r="I107" s="24" t="s">
        <v>19</v>
      </c>
    </row>
    <row r="108" spans="1:9" hidden="1" x14ac:dyDescent="0.35">
      <c r="A108" s="15">
        <v>106</v>
      </c>
      <c r="B108" s="11" t="str">
        <v>limpador de vidros automático</v>
      </c>
      <c r="C108" s="16">
        <f t="array" ref="C108">IF(B108="","---",IFERROR(
   _xlfn.PERCENTILE.INC(
      IF((tabDados[Descrição Padronizada]=B108)*(tabDados[Valor Unitário]&lt;&gt;""),
         tabDados[Valor Unitário],""
      ),
   C$1),
   _xlfn.MINIFS(tabDados[Valor Unitário],tabDados[Descrição Padronizada],B108)
))</f>
        <v>819.9</v>
      </c>
      <c r="D108" s="16">
        <f t="array" ref="D108">IF(B108="","---",IFERROR(
   _xlfn.PERCENTILE.INC(
      IF((tabDados[Descrição Padronizada]=B108)*(tabDados[Valor Unitário]&lt;&gt;""),
         tabDados[Valor Unitário],""
      ),
   D$1),
   _xlfn.MAXIFS(tabDados[Valor Unitário],tabDados[Descrição Padronizada],B108)
))</f>
        <v>1660.7224999999999</v>
      </c>
      <c r="E108" s="16">
        <f>IF(OR(B108="",B108="---"),"---",
   IFERROR(AVERAGEIFS(tabDados[Valor Unitário],tabDados[Descrição Padronizada],B108,tabDados[Valor Unitário],"&gt;="&amp;C108,tabDados[Valor Unitário],"&lt;="&amp;D108),AVERAGE(C108,D108))
)</f>
        <v>840.3983333333332</v>
      </c>
      <c r="F108" s="12">
        <f t="array" ref="F108">IF(OR(B108="",B108="---"),"---",TRUNC(IFERROR(MODE(IF((tabDados[Descrição Padronizada]=B108)*(tabDados[Vida Útil (meses)]&lt;&gt;""),tabDados[Vida Útil (meses)],"-")),AVERAGEIFS(tabDados[Vida Útil (meses)],tabDados[Descrição Padronizada],B108))+0.5))</f>
        <v>60</v>
      </c>
      <c r="G108" s="13">
        <f>IF(OR(B108="",B108="---"),"---",TRUNC(IFERROR(AVERAGEIFS(tabDados[Manutenção (%)],tabDados[Descrição Padronizada],B108,tabDados[Manutenção (%)],"&gt;"&amp;0),0)*10000)/10000)</f>
        <v>0</v>
      </c>
      <c r="H108" s="24">
        <f>IF(OR(B108="---",B108=""),"---",COUNTIF(tabDados[[#All],[Descrição Padronizada]],B108))</f>
        <v>10</v>
      </c>
      <c r="I108" s="24" t="s">
        <v>20</v>
      </c>
    </row>
    <row r="109" spans="1:9" hidden="1" x14ac:dyDescent="0.35">
      <c r="A109" s="15">
        <v>107</v>
      </c>
      <c r="B109" s="11" t="str">
        <v>limpador de vidros e janelas</v>
      </c>
      <c r="C109" s="16">
        <f t="array" ref="C109">IF(B109="","---",IFERROR(
   _xlfn.PERCENTILE.INC(
      IF((tabDados[Descrição Padronizada]=B109)*(tabDados[Valor Unitário]&lt;&gt;""),
         tabDados[Valor Unitário],""
      ),
   C$1),
   _xlfn.MINIFS(tabDados[Valor Unitário],tabDados[Descrição Padronizada],B109)
))</f>
        <v>2100</v>
      </c>
      <c r="D109" s="16">
        <f t="array" ref="D109">IF(B109="","---",IFERROR(
   _xlfn.PERCENTILE.INC(
      IF((tabDados[Descrição Padronizada]=B109)*(tabDados[Valor Unitário]&lt;&gt;""),
         tabDados[Valor Unitário],""
      ),
   D$1),
   _xlfn.MAXIFS(tabDados[Valor Unitário],tabDados[Descrição Padronizada],B109)
))</f>
        <v>2100</v>
      </c>
      <c r="E109" s="16">
        <f>IF(OR(B109="",B109="---"),"---",
   IFERROR(AVERAGEIFS(tabDados[Valor Unitário],tabDados[Descrição Padronizada],B109,tabDados[Valor Unitário],"&gt;="&amp;C109,tabDados[Valor Unitário],"&lt;="&amp;D109),AVERAGE(C109,D109))
)</f>
        <v>2100</v>
      </c>
      <c r="F109" s="12">
        <f t="array" ref="F109">IF(OR(B109="",B109="---"),"---",TRUNC(IFERROR(MODE(IF((tabDados[Descrição Padronizada]=B109)*(tabDados[Vida Útil (meses)]&lt;&gt;""),tabDados[Vida Útil (meses)],"-")),AVERAGEIFS(tabDados[Vida Útil (meses)],tabDados[Descrição Padronizada],B109))+0.5))</f>
        <v>60</v>
      </c>
      <c r="G109" s="13">
        <f>IF(OR(B109="",B109="---"),"---",TRUNC(IFERROR(AVERAGEIFS(tabDados[Manutenção (%)],tabDados[Descrição Padronizada],B109,tabDados[Manutenção (%)],"&gt;"&amp;0),0)*10000)/10000)</f>
        <v>1.11E-2</v>
      </c>
      <c r="H109" s="24">
        <f>IF(OR(B109="---",B109=""),"---",COUNTIF(tabDados[[#All],[Descrição Padronizada]],B109))</f>
        <v>10</v>
      </c>
      <c r="I109" s="24" t="s">
        <v>20</v>
      </c>
    </row>
    <row r="110" spans="1:9" hidden="1" x14ac:dyDescent="0.35">
      <c r="A110" s="15">
        <v>108</v>
      </c>
      <c r="B110" s="11" t="str">
        <v>mangueira de jardim 3/4 100 m</v>
      </c>
      <c r="C110" s="16">
        <f t="array" ref="C110">IF(B110="","---",IFERROR(
   _xlfn.PERCENTILE.INC(
      IF((tabDados[Descrição Padronizada]=B110)*(tabDados[Valor Unitário]&lt;&gt;""),
         tabDados[Valor Unitário],""
      ),
   C$1),
   _xlfn.MINIFS(tabDados[Valor Unitário],tabDados[Descrição Padronizada],B110)
))</f>
        <v>220</v>
      </c>
      <c r="D110" s="16">
        <f t="array" ref="D110">IF(B110="","---",IFERROR(
   _xlfn.PERCENTILE.INC(
      IF((tabDados[Descrição Padronizada]=B110)*(tabDados[Valor Unitário]&lt;&gt;""),
         tabDados[Valor Unitário],""
      ),
   D$1),
   _xlfn.MAXIFS(tabDados[Valor Unitário],tabDados[Descrição Padronizada],B110)
))</f>
        <v>399</v>
      </c>
      <c r="E110" s="16">
        <f>IF(OR(B110="",B110="---"),"---",
   IFERROR(AVERAGEIFS(tabDados[Valor Unitário],tabDados[Descrição Padronizada],B110,tabDados[Valor Unitário],"&gt;="&amp;C110,tabDados[Valor Unitário],"&lt;="&amp;D110),AVERAGE(C110,D110))
)</f>
        <v>362.125</v>
      </c>
      <c r="F110" s="12">
        <f t="array" ref="F110">IF(OR(B110="",B110="---"),"---",TRUNC(IFERROR(MODE(IF((tabDados[Descrição Padronizada]=B110)*(tabDados[Vida Útil (meses)]&lt;&gt;""),tabDados[Vida Útil (meses)],"-")),AVERAGEIFS(tabDados[Vida Útil (meses)],tabDados[Descrição Padronizada],B110))+0.5))</f>
        <v>60</v>
      </c>
      <c r="G110" s="13">
        <f>IF(OR(B110="",B110="---"),"---",TRUNC(IFERROR(AVERAGEIFS(tabDados[Manutenção (%)],tabDados[Descrição Padronizada],B110,tabDados[Manutenção (%)],"&gt;"&amp;0),0)*10000)/10000)</f>
        <v>0</v>
      </c>
      <c r="H110" s="24">
        <f>IF(OR(B110="---",B110=""),"---",COUNTIF(tabDados[[#All],[Descrição Padronizada]],B110))</f>
        <v>12</v>
      </c>
      <c r="I110" s="24" t="s">
        <v>20</v>
      </c>
    </row>
    <row r="111" spans="1:9" hidden="1" x14ac:dyDescent="0.35">
      <c r="A111" s="15">
        <v>109</v>
      </c>
      <c r="B111" s="11" t="str">
        <v>mangueira de jardim 3/4 20 m</v>
      </c>
      <c r="C111" s="16">
        <f t="array" ref="C111">IF(B111="","---",IFERROR(
   _xlfn.PERCENTILE.INC(
      IF((tabDados[Descrição Padronizada]=B111)*(tabDados[Valor Unitário]&lt;&gt;""),
         tabDados[Valor Unitário],""
      ),
   C$1),
   _xlfn.MINIFS(tabDados[Valor Unitário],tabDados[Descrição Padronizada],B111)
))</f>
        <v>80</v>
      </c>
      <c r="D111" s="16">
        <f t="array" ref="D111">IF(B111="","---",IFERROR(
   _xlfn.PERCENTILE.INC(
      IF((tabDados[Descrição Padronizada]=B111)*(tabDados[Valor Unitário]&lt;&gt;""),
         tabDados[Valor Unitário],""
      ),
   D$1),
   _xlfn.MAXIFS(tabDados[Valor Unitário],tabDados[Descrição Padronizada],B111)
))</f>
        <v>131.255</v>
      </c>
      <c r="E111" s="16">
        <f>IF(OR(B111="",B111="---"),"---",
   IFERROR(AVERAGEIFS(tabDados[Valor Unitário],tabDados[Descrição Padronizada],B111,tabDados[Valor Unitário],"&gt;="&amp;C111,tabDados[Valor Unitário],"&lt;="&amp;D111),AVERAGE(C111,D111))
)</f>
        <v>80</v>
      </c>
      <c r="F111" s="12">
        <f t="array" ref="F111">IF(OR(B111="",B111="---"),"---",TRUNC(IFERROR(MODE(IF((tabDados[Descrição Padronizada]=B111)*(tabDados[Vida Útil (meses)]&lt;&gt;""),tabDados[Vida Útil (meses)],"-")),AVERAGEIFS(tabDados[Vida Útil (meses)],tabDados[Descrição Padronizada],B111))+0.5))</f>
        <v>60</v>
      </c>
      <c r="G111" s="13">
        <f>IF(OR(B111="",B111="---"),"---",TRUNC(IFERROR(AVERAGEIFS(tabDados[Manutenção (%)],tabDados[Descrição Padronizada],B111,tabDados[Manutenção (%)],"&gt;"&amp;0),0)*10000)/10000)</f>
        <v>1.67E-2</v>
      </c>
      <c r="H111" s="24">
        <f>IF(OR(B111="---",B111=""),"---",COUNTIF(tabDados[[#All],[Descrição Padronizada]],B111))</f>
        <v>10</v>
      </c>
      <c r="I111" s="24" t="s">
        <v>20</v>
      </c>
    </row>
    <row r="112" spans="1:9" hidden="1" x14ac:dyDescent="0.35">
      <c r="A112" s="15">
        <v>110</v>
      </c>
      <c r="B112" s="11" t="str">
        <v>mangueira de jardim 3/4 30 m</v>
      </c>
      <c r="C112" s="16">
        <f t="array" ref="C112">IF(B112="","---",IFERROR(
   _xlfn.PERCENTILE.INC(
      IF((tabDados[Descrição Padronizada]=B112)*(tabDados[Valor Unitário]&lt;&gt;""),
         tabDados[Valor Unitário],""
      ),
   C$1),
   _xlfn.MINIFS(tabDados[Valor Unitário],tabDados[Descrição Padronizada],B112)
))</f>
        <v>206.69749999999999</v>
      </c>
      <c r="D112" s="16">
        <f t="array" ref="D112">IF(B112="","---",IFERROR(
   _xlfn.PERCENTILE.INC(
      IF((tabDados[Descrição Padronizada]=B112)*(tabDados[Valor Unitário]&lt;&gt;""),
         tabDados[Valor Unitário],""
      ),
   D$1),
   _xlfn.MAXIFS(tabDados[Valor Unitário],tabDados[Descrição Padronizada],B112)
))</f>
        <v>343.61249999999995</v>
      </c>
      <c r="E112" s="16">
        <f>IF(OR(B112="",B112="---"),"---",
   IFERROR(AVERAGEIFS(tabDados[Valor Unitário],tabDados[Descrição Padronizada],B112,tabDados[Valor Unitário],"&gt;="&amp;C112,tabDados[Valor Unitário],"&lt;="&amp;D112),AVERAGE(C112,D112))
)</f>
        <v>278.02499999999998</v>
      </c>
      <c r="F112" s="12">
        <f t="array" ref="F112">IF(OR(B112="",B112="---"),"---",TRUNC(IFERROR(MODE(IF((tabDados[Descrição Padronizada]=B112)*(tabDados[Vida Útil (meses)]&lt;&gt;""),tabDados[Vida Útil (meses)],"-")),AVERAGEIFS(tabDados[Vida Útil (meses)],tabDados[Descrição Padronizada],B112))+0.5))</f>
        <v>60</v>
      </c>
      <c r="G112" s="13">
        <f>IF(OR(B112="",B112="---"),"---",TRUNC(IFERROR(AVERAGEIFS(tabDados[Manutenção (%)],tabDados[Descrição Padronizada],B112,tabDados[Manutenção (%)],"&gt;"&amp;0),0)*10000)/10000)</f>
        <v>1.67E-2</v>
      </c>
      <c r="H112" s="24">
        <f>IF(OR(B112="---",B112=""),"---",COUNTIF(tabDados[[#All],[Descrição Padronizada]],B112))</f>
        <v>4</v>
      </c>
      <c r="I112" s="24" t="s">
        <v>20</v>
      </c>
    </row>
    <row r="113" spans="1:9" x14ac:dyDescent="0.35">
      <c r="A113" s="15">
        <v>111</v>
      </c>
      <c r="B113" s="11" t="str">
        <v>mangueira de jardim 3/4 50 m</v>
      </c>
      <c r="C113" s="16">
        <f t="array" ref="C113">IF(B113="","---",IFERROR(
   _xlfn.PERCENTILE.INC(
      IF((tabDados[Descrição Padronizada]=B113)*(tabDados[Valor Unitário]&lt;&gt;""),
         tabDados[Valor Unitário],""
      ),
   C$1),
   _xlfn.MINIFS(tabDados[Valor Unitário],tabDados[Descrição Padronizada],B113)
))</f>
        <v>160</v>
      </c>
      <c r="D113" s="16">
        <f t="array" ref="D113">IF(B113="","---",IFERROR(
   _xlfn.PERCENTILE.INC(
      IF((tabDados[Descrição Padronizada]=B113)*(tabDados[Valor Unitário]&lt;&gt;""),
         tabDados[Valor Unitário],""
      ),
   D$1),
   _xlfn.MAXIFS(tabDados[Valor Unitário],tabDados[Descrição Padronizada],B113)
))</f>
        <v>380</v>
      </c>
      <c r="E113" s="16">
        <f>IF(OR(B113="",B113="---"),"---",
   IFERROR(AVERAGEIFS(tabDados[Valor Unitário],tabDados[Descrição Padronizada],B113,tabDados[Valor Unitário],"&gt;="&amp;C113,tabDados[Valor Unitário],"&lt;="&amp;D113),AVERAGE(C113,D113))
)</f>
        <v>213.93025641025639</v>
      </c>
      <c r="F113" s="12">
        <f t="array" ref="F113">IF(OR(B113="",B113="---"),"---",TRUNC(IFERROR(MODE(IF((tabDados[Descrição Padronizada]=B113)*(tabDados[Vida Útil (meses)]&lt;&gt;""),tabDados[Vida Útil (meses)],"-")),AVERAGEIFS(tabDados[Vida Útil (meses)],tabDados[Descrição Padronizada],B113))+0.5))</f>
        <v>60</v>
      </c>
      <c r="G113" s="13">
        <f>IF(OR(B113="",B113="---"),"---",TRUNC(IFERROR(AVERAGEIFS(tabDados[Manutenção (%)],tabDados[Descrição Padronizada],B113,tabDados[Manutenção (%)],"&gt;"&amp;0),0)*10000)/10000)</f>
        <v>1.67E-2</v>
      </c>
      <c r="H113" s="24">
        <f>IF(OR(B113="---",B113=""),"---",COUNTIF(tabDados[[#All],[Descrição Padronizada]],B113))</f>
        <v>51</v>
      </c>
      <c r="I113" s="24" t="s">
        <v>19</v>
      </c>
    </row>
    <row r="114" spans="1:9" x14ac:dyDescent="0.35">
      <c r="A114" s="15">
        <v>112</v>
      </c>
      <c r="B114" s="11" t="str">
        <v>mangueira trançada</v>
      </c>
      <c r="C114" s="16">
        <f t="array" ref="C114">IF(B114="","---",IFERROR(
   _xlfn.PERCENTILE.INC(
      IF((tabDados[Descrição Padronizada]=B114)*(tabDados[Valor Unitário]&lt;&gt;""),
         tabDados[Valor Unitário],""
      ),
   C$1),
   _xlfn.MINIFS(tabDados[Valor Unitário],tabDados[Descrição Padronizada],B114)
))</f>
        <v>135</v>
      </c>
      <c r="D114" s="16">
        <f t="array" ref="D114">IF(B114="","---",IFERROR(
   _xlfn.PERCENTILE.INC(
      IF((tabDados[Descrição Padronizada]=B114)*(tabDados[Valor Unitário]&lt;&gt;""),
         tabDados[Valor Unitário],""
      ),
   D$1),
   _xlfn.MAXIFS(tabDados[Valor Unitário],tabDados[Descrição Padronizada],B114)
))</f>
        <v>300</v>
      </c>
      <c r="E114" s="16">
        <f>IF(OR(B114="",B114="---"),"---",
   IFERROR(AVERAGEIFS(tabDados[Valor Unitário],tabDados[Descrição Padronizada],B114,tabDados[Valor Unitário],"&gt;="&amp;C114,tabDados[Valor Unitário],"&lt;="&amp;D114),AVERAGE(C114,D114))
)</f>
        <v>164.84647058823532</v>
      </c>
      <c r="F114" s="12">
        <f t="array" ref="F114">IF(OR(B114="",B114="---"),"---",TRUNC(IFERROR(MODE(IF((tabDados[Descrição Padronizada]=B114)*(tabDados[Vida Útil (meses)]&lt;&gt;""),tabDados[Vida Útil (meses)],"-")),AVERAGEIFS(tabDados[Vida Útil (meses)],tabDados[Descrição Padronizada],B114))+0.5))</f>
        <v>6</v>
      </c>
      <c r="G114" s="13">
        <f>IF(OR(B114="",B114="---"),"---",TRUNC(IFERROR(AVERAGEIFS(tabDados[Manutenção (%)],tabDados[Descrição Padronizada],B114,tabDados[Manutenção (%)],"&gt;"&amp;0),0)*10000)/10000)</f>
        <v>1.44E-2</v>
      </c>
      <c r="H114" s="24">
        <f>IF(OR(B114="---",B114=""),"---",COUNTIF(tabDados[[#All],[Descrição Padronizada]],B114))</f>
        <v>25</v>
      </c>
      <c r="I114" s="24" t="s">
        <v>19</v>
      </c>
    </row>
    <row r="115" spans="1:9" x14ac:dyDescent="0.35">
      <c r="A115" s="15">
        <v>113</v>
      </c>
      <c r="B115" s="11" t="str">
        <v>mão mecânica</v>
      </c>
      <c r="C115" s="16">
        <f t="array" ref="C115">IF(B115="","---",IFERROR(
   _xlfn.PERCENTILE.INC(
      IF((tabDados[Descrição Padronizada]=B115)*(tabDados[Valor Unitário]&lt;&gt;""),
         tabDados[Valor Unitário],""
      ),
   C$1),
   _xlfn.MINIFS(tabDados[Valor Unitário],tabDados[Descrição Padronizada],B115)
))</f>
        <v>51.93</v>
      </c>
      <c r="D115" s="16">
        <f t="array" ref="D115">IF(B115="","---",IFERROR(
   _xlfn.PERCENTILE.INC(
      IF((tabDados[Descrição Padronizada]=B115)*(tabDados[Valor Unitário]&lt;&gt;""),
         tabDados[Valor Unitário],""
      ),
   D$1),
   _xlfn.MAXIFS(tabDados[Valor Unitário],tabDados[Descrição Padronizada],B115)
))</f>
        <v>81.337500000000006</v>
      </c>
      <c r="E115" s="16">
        <f>IF(OR(B115="",B115="---"),"---",
   IFERROR(AVERAGEIFS(tabDados[Valor Unitário],tabDados[Descrição Padronizada],B115,tabDados[Valor Unitário],"&gt;="&amp;C115,tabDados[Valor Unitário],"&lt;="&amp;D115),AVERAGE(C115,D115))
)</f>
        <v>68.827368421052626</v>
      </c>
      <c r="F115" s="12">
        <f t="array" ref="F115">IF(OR(B115="",B115="---"),"---",TRUNC(IFERROR(MODE(IF((tabDados[Descrição Padronizada]=B115)*(tabDados[Vida Útil (meses)]&lt;&gt;""),tabDados[Vida Útil (meses)],"-")),AVERAGEIFS(tabDados[Vida Útil (meses)],tabDados[Descrição Padronizada],B115))+0.5))</f>
        <v>60</v>
      </c>
      <c r="G115" s="13">
        <f>IF(OR(B115="",B115="---"),"---",TRUNC(IFERROR(AVERAGEIFS(tabDados[Manutenção (%)],tabDados[Descrição Padronizada],B115,tabDados[Manutenção (%)],"&gt;"&amp;0),0)*10000)/10000)</f>
        <v>1.55E-2</v>
      </c>
      <c r="H115" s="24">
        <f>IF(OR(B115="---",B115=""),"---",COUNTIF(tabDados[[#All],[Descrição Padronizada]],B115))</f>
        <v>32</v>
      </c>
      <c r="I115" s="24" t="s">
        <v>19</v>
      </c>
    </row>
    <row r="116" spans="1:9" x14ac:dyDescent="0.35">
      <c r="A116" s="15">
        <v>114</v>
      </c>
      <c r="B116" s="11" t="str">
        <v>máquina de lavar roupas</v>
      </c>
      <c r="C116" s="16">
        <f t="array" ref="C116">IF(B116="","---",IFERROR(
   _xlfn.PERCENTILE.INC(
      IF((tabDados[Descrição Padronizada]=B116)*(tabDados[Valor Unitário]&lt;&gt;""),
         tabDados[Valor Unitário],""
      ),
   C$1),
   _xlfn.MINIFS(tabDados[Valor Unitário],tabDados[Descrição Padronizada],B116)
))</f>
        <v>1500</v>
      </c>
      <c r="D116" s="16">
        <f t="array" ref="D116">IF(B116="","---",IFERROR(
   _xlfn.PERCENTILE.INC(
      IF((tabDados[Descrição Padronizada]=B116)*(tabDados[Valor Unitário]&lt;&gt;""),
         tabDados[Valor Unitário],""
      ),
   D$1),
   _xlfn.MAXIFS(tabDados[Valor Unitário],tabDados[Descrição Padronizada],B116)
))</f>
        <v>3000</v>
      </c>
      <c r="E116" s="16">
        <f>IF(OR(B116="",B116="---"),"---",
   IFERROR(AVERAGEIFS(tabDados[Valor Unitário],tabDados[Descrição Padronizada],B116,tabDados[Valor Unitário],"&gt;="&amp;C116,tabDados[Valor Unitário],"&lt;="&amp;D116),AVERAGE(C116,D116))
)</f>
        <v>1982.7216666666668</v>
      </c>
      <c r="F116" s="12">
        <f t="array" ref="F116">IF(OR(B116="",B116="---"),"---",TRUNC(IFERROR(MODE(IF((tabDados[Descrição Padronizada]=B116)*(tabDados[Vida Útil (meses)]&lt;&gt;""),tabDados[Vida Útil (meses)],"-")),AVERAGEIFS(tabDados[Vida Útil (meses)],tabDados[Descrição Padronizada],B116))+0.5))</f>
        <v>60</v>
      </c>
      <c r="G116" s="13">
        <f>IF(OR(B116="",B116="---"),"---",TRUNC(IFERROR(AVERAGEIFS(tabDados[Manutenção (%)],tabDados[Descrição Padronizada],B116,tabDados[Manutenção (%)],"&gt;"&amp;0),0)*10000)/10000)</f>
        <v>3.2500000000000001E-2</v>
      </c>
      <c r="H116" s="24">
        <f>IF(OR(B116="---",B116=""),"---",COUNTIF(tabDados[[#All],[Descrição Padronizada]],B116))</f>
        <v>45</v>
      </c>
      <c r="I116" s="24" t="s">
        <v>19</v>
      </c>
    </row>
    <row r="117" spans="1:9" hidden="1" x14ac:dyDescent="0.35">
      <c r="A117" s="15">
        <v>115</v>
      </c>
      <c r="B117" s="11" t="str">
        <v>máquina removedora de chiclete</v>
      </c>
      <c r="C117" s="16">
        <f t="array" ref="C117">IF(B117="","---",IFERROR(
   _xlfn.PERCENTILE.INC(
      IF((tabDados[Descrição Padronizada]=B117)*(tabDados[Valor Unitário]&lt;&gt;""),
         tabDados[Valor Unitário],""
      ),
   C$1),
   _xlfn.MINIFS(tabDados[Valor Unitário],tabDados[Descrição Padronizada],B117)
))</f>
        <v>7000</v>
      </c>
      <c r="D117" s="16">
        <f t="array" ref="D117">IF(B117="","---",IFERROR(
   _xlfn.PERCENTILE.INC(
      IF((tabDados[Descrição Padronizada]=B117)*(tabDados[Valor Unitário]&lt;&gt;""),
         tabDados[Valor Unitário],""
      ),
   D$1),
   _xlfn.MAXIFS(tabDados[Valor Unitário],tabDados[Descrição Padronizada],B117)
))</f>
        <v>7500</v>
      </c>
      <c r="E117" s="16">
        <f>IF(OR(B117="",B117="---"),"---",
   IFERROR(AVERAGEIFS(tabDados[Valor Unitário],tabDados[Descrição Padronizada],B117,tabDados[Valor Unitário],"&gt;="&amp;C117,tabDados[Valor Unitário],"&lt;="&amp;D117),AVERAGE(C117,D117))
)</f>
        <v>7100</v>
      </c>
      <c r="F117" s="12">
        <f t="array" ref="F117">IF(OR(B117="",B117="---"),"---",TRUNC(IFERROR(MODE(IF((tabDados[Descrição Padronizada]=B117)*(tabDados[Vida Útil (meses)]&lt;&gt;""),tabDados[Vida Útil (meses)],"-")),AVERAGEIFS(tabDados[Vida Útil (meses)],tabDados[Descrição Padronizada],B117))+0.5))</f>
        <v>60</v>
      </c>
      <c r="G117" s="13">
        <f>IF(OR(B117="",B117="---"),"---",TRUNC(IFERROR(AVERAGEIFS(tabDados[Manutenção (%)],tabDados[Descrição Padronizada],B117,tabDados[Manutenção (%)],"&gt;"&amp;0),0)*10000)/10000)</f>
        <v>9.1000000000000004E-3</v>
      </c>
      <c r="H117" s="24">
        <f>IF(OR(B117="---",B117=""),"---",COUNTIF(tabDados[[#All],[Descrição Padronizada]],B117))</f>
        <v>9</v>
      </c>
      <c r="I117" s="24" t="s">
        <v>20</v>
      </c>
    </row>
    <row r="118" spans="1:9" hidden="1" x14ac:dyDescent="0.35">
      <c r="A118" s="15">
        <v>116</v>
      </c>
      <c r="B118" s="11" t="str">
        <v>mesa com 2 gavetas</v>
      </c>
      <c r="C118" s="16">
        <f t="array" ref="C118">IF(B118="","---",IFERROR(
   _xlfn.PERCENTILE.INC(
      IF((tabDados[Descrição Padronizada]=B118)*(tabDados[Valor Unitário]&lt;&gt;""),
         tabDados[Valor Unitário],""
      ),
   C$1),
   _xlfn.MINIFS(tabDados[Valor Unitário],tabDados[Descrição Padronizada],B118)
))</f>
        <v>435</v>
      </c>
      <c r="D118" s="16">
        <f t="array" ref="D118">IF(B118="","---",IFERROR(
   _xlfn.PERCENTILE.INC(
      IF((tabDados[Descrição Padronizada]=B118)*(tabDados[Valor Unitário]&lt;&gt;""),
         tabDados[Valor Unitário],""
      ),
   D$1),
   _xlfn.MAXIFS(tabDados[Valor Unitário],tabDados[Descrição Padronizada],B118)
))</f>
        <v>556.79999999999995</v>
      </c>
      <c r="E118" s="16">
        <f>IF(OR(B118="",B118="---"),"---",
   IFERROR(AVERAGEIFS(tabDados[Valor Unitário],tabDados[Descrição Padronizada],B118,tabDados[Valor Unitário],"&gt;="&amp;C118,tabDados[Valor Unitário],"&lt;="&amp;D118),AVERAGE(C118,D118))
)</f>
        <v>475.59999999999997</v>
      </c>
      <c r="F118" s="12">
        <f t="array" ref="F118">IF(OR(B118="",B118="---"),"---",TRUNC(IFERROR(MODE(IF((tabDados[Descrição Padronizada]=B118)*(tabDados[Vida Útil (meses)]&lt;&gt;""),tabDados[Vida Útil (meses)],"-")),AVERAGEIFS(tabDados[Vida Útil (meses)],tabDados[Descrição Padronizada],B118))+0.5))</f>
        <v>12</v>
      </c>
      <c r="G118" s="13">
        <f>IF(OR(B118="",B118="---"),"---",TRUNC(IFERROR(AVERAGEIFS(tabDados[Manutenção (%)],tabDados[Descrição Padronizada],B118,tabDados[Manutenção (%)],"&gt;"&amp;0),0)*10000)/10000)</f>
        <v>1.67E-2</v>
      </c>
      <c r="H118" s="24">
        <f>IF(OR(B118="---",B118=""),"---",COUNTIF(tabDados[[#All],[Descrição Padronizada]],B118))</f>
        <v>5</v>
      </c>
      <c r="I118" s="24" t="s">
        <v>20</v>
      </c>
    </row>
    <row r="119" spans="1:9" hidden="1" x14ac:dyDescent="0.35">
      <c r="A119" s="15">
        <v>117</v>
      </c>
      <c r="B119" s="11" t="str">
        <v>mesa com 3 gavetas</v>
      </c>
      <c r="C119" s="16">
        <f t="array" ref="C119">IF(B119="","---",IFERROR(
   _xlfn.PERCENTILE.INC(
      IF((tabDados[Descrição Padronizada]=B119)*(tabDados[Valor Unitário]&lt;&gt;""),
         tabDados[Valor Unitário],""
      ),
   C$1),
   _xlfn.MINIFS(tabDados[Valor Unitário],tabDados[Descrição Padronizada],B119)
))</f>
        <v>531</v>
      </c>
      <c r="D119" s="16">
        <f t="array" ref="D119">IF(B119="","---",IFERROR(
   _xlfn.PERCENTILE.INC(
      IF((tabDados[Descrição Padronizada]=B119)*(tabDados[Valor Unitário]&lt;&gt;""),
         tabDados[Valor Unitário],""
      ),
   D$1),
   _xlfn.MAXIFS(tabDados[Valor Unitário],tabDados[Descrição Padronizada],B119)
))</f>
        <v>600</v>
      </c>
      <c r="E119" s="16">
        <f>IF(OR(B119="",B119="---"),"---",
   IFERROR(AVERAGEIFS(tabDados[Valor Unitário],tabDados[Descrição Padronizada],B119,tabDados[Valor Unitário],"&gt;="&amp;C119,tabDados[Valor Unitário],"&lt;="&amp;D119),AVERAGE(C119,D119))
)</f>
        <v>580.28571428571433</v>
      </c>
      <c r="F119" s="12">
        <f t="array" ref="F119">IF(OR(B119="",B119="---"),"---",TRUNC(IFERROR(MODE(IF((tabDados[Descrição Padronizada]=B119)*(tabDados[Vida Útil (meses)]&lt;&gt;""),tabDados[Vida Útil (meses)],"-")),AVERAGEIFS(tabDados[Vida Útil (meses)],tabDados[Descrição Padronizada],B119))+0.5))</f>
        <v>60</v>
      </c>
      <c r="G119" s="13">
        <f>IF(OR(B119="",B119="---"),"---",TRUNC(IFERROR(AVERAGEIFS(tabDados[Manutenção (%)],tabDados[Descrição Padronizada],B119,tabDados[Manutenção (%)],"&gt;"&amp;0),0)*10000)/10000)</f>
        <v>1.67E-2</v>
      </c>
      <c r="H119" s="24">
        <f>IF(OR(B119="---",B119=""),"---",COUNTIF(tabDados[[#All],[Descrição Padronizada]],B119))</f>
        <v>13</v>
      </c>
      <c r="I119" s="24" t="s">
        <v>20</v>
      </c>
    </row>
    <row r="120" spans="1:9" hidden="1" x14ac:dyDescent="0.35">
      <c r="A120" s="15">
        <v>118</v>
      </c>
      <c r="B120" s="11" t="str">
        <v>microondas</v>
      </c>
      <c r="C120" s="16">
        <f t="array" ref="C120">IF(B120="","---",IFERROR(
   _xlfn.PERCENTILE.INC(
      IF((tabDados[Descrição Padronizada]=B120)*(tabDados[Valor Unitário]&lt;&gt;""),
         tabDados[Valor Unitário],""
      ),
   C$1),
   _xlfn.MINIFS(tabDados[Valor Unitário],tabDados[Descrição Padronizada],B120)
))</f>
        <v>699</v>
      </c>
      <c r="D120" s="16">
        <f t="array" ref="D120">IF(B120="","---",IFERROR(
   _xlfn.PERCENTILE.INC(
      IF((tabDados[Descrição Padronizada]=B120)*(tabDados[Valor Unitário]&lt;&gt;""),
         tabDados[Valor Unitário],""
      ),
   D$1),
   _xlfn.MAXIFS(tabDados[Valor Unitário],tabDados[Descrição Padronizada],B120)
))</f>
        <v>875</v>
      </c>
      <c r="E120" s="16">
        <f>IF(OR(B120="",B120="---"),"---",
   IFERROR(AVERAGEIFS(tabDados[Valor Unitário],tabDados[Descrição Padronizada],B120,tabDados[Valor Unitário],"&gt;="&amp;C120,tabDados[Valor Unitário],"&lt;="&amp;D120),AVERAGE(C120,D120))
)</f>
        <v>732.66666666666663</v>
      </c>
      <c r="F120" s="12">
        <f t="array" ref="F120">IF(OR(B120="",B120="---"),"---",TRUNC(IFERROR(MODE(IF((tabDados[Descrição Padronizada]=B120)*(tabDados[Vida Útil (meses)]&lt;&gt;""),tabDados[Vida Útil (meses)],"-")),AVERAGEIFS(tabDados[Vida Útil (meses)],tabDados[Descrição Padronizada],B120))+0.5))</f>
        <v>36</v>
      </c>
      <c r="G120" s="13">
        <f>IF(OR(B120="",B120="---"),"---",TRUNC(IFERROR(AVERAGEIFS(tabDados[Manutenção (%)],tabDados[Descrição Padronizada],B120,tabDados[Manutenção (%)],"&gt;"&amp;0),0)*10000)/10000)</f>
        <v>1.5800000000000002E-2</v>
      </c>
      <c r="H120" s="24">
        <f>IF(OR(B120="---",B120=""),"---",COUNTIF(tabDados[[#All],[Descrição Padronizada]],B120))</f>
        <v>4</v>
      </c>
      <c r="I120" s="24" t="s">
        <v>20</v>
      </c>
    </row>
    <row r="121" spans="1:9" hidden="1" x14ac:dyDescent="0.35">
      <c r="A121" s="15">
        <v>119</v>
      </c>
      <c r="B121" s="11" t="str">
        <v>modem 4g</v>
      </c>
      <c r="C121" s="16">
        <f t="array" ref="C121">IF(B121="","---",IFERROR(
   _xlfn.PERCENTILE.INC(
      IF((tabDados[Descrição Padronizada]=B121)*(tabDados[Valor Unitário]&lt;&gt;""),
         tabDados[Valor Unitário],""
      ),
   C$1),
   _xlfn.MINIFS(tabDados[Valor Unitário],tabDados[Descrição Padronizada],B121)
))</f>
        <v>134.13</v>
      </c>
      <c r="D121" s="16">
        <f t="array" ref="D121">IF(B121="","---",IFERROR(
   _xlfn.PERCENTILE.INC(
      IF((tabDados[Descrição Padronizada]=B121)*(tabDados[Valor Unitário]&lt;&gt;""),
         tabDados[Valor Unitário],""
      ),
   D$1),
   _xlfn.MAXIFS(tabDados[Valor Unitário],tabDados[Descrição Padronizada],B121)
))</f>
        <v>134.13</v>
      </c>
      <c r="E121" s="16">
        <f>IF(OR(B121="",B121="---"),"---",
   IFERROR(AVERAGEIFS(tabDados[Valor Unitário],tabDados[Descrição Padronizada],B121,tabDados[Valor Unitário],"&gt;="&amp;C121,tabDados[Valor Unitário],"&lt;="&amp;D121),AVERAGE(C121,D121))
)</f>
        <v>134.13</v>
      </c>
      <c r="F121" s="12">
        <f t="array" ref="F121">IF(OR(B121="",B121="---"),"---",TRUNC(IFERROR(MODE(IF((tabDados[Descrição Padronizada]=B121)*(tabDados[Vida Útil (meses)]&lt;&gt;""),tabDados[Vida Útil (meses)],"-")),AVERAGEIFS(tabDados[Vida Útil (meses)],tabDados[Descrição Padronizada],B121))+0.5))</f>
        <v>1</v>
      </c>
      <c r="G121" s="13">
        <f>IF(OR(B121="",B121="---"),"---",TRUNC(IFERROR(AVERAGEIFS(tabDados[Manutenção (%)],tabDados[Descrição Padronizada],B121,tabDados[Manutenção (%)],"&gt;"&amp;0),0)*10000)/10000)</f>
        <v>0</v>
      </c>
      <c r="H121" s="24">
        <f>IF(OR(B121="---",B121=""),"---",COUNTIF(tabDados[[#All],[Descrição Padronizada]],B121))</f>
        <v>1</v>
      </c>
      <c r="I121" s="24" t="s">
        <v>20</v>
      </c>
    </row>
    <row r="122" spans="1:9" x14ac:dyDescent="0.35">
      <c r="A122" s="15">
        <v>120</v>
      </c>
      <c r="B122" s="11" t="str">
        <v>mop água 60 cm</v>
      </c>
      <c r="C122" s="16">
        <f t="array" ref="C122">IF(B122="","---",IFERROR(
   _xlfn.PERCENTILE.INC(
      IF((tabDados[Descrição Padronizada]=B122)*(tabDados[Valor Unitário]&lt;&gt;""),
         tabDados[Valor Unitário],""
      ),
   C$1),
   _xlfn.MINIFS(tabDados[Valor Unitário],tabDados[Descrição Padronizada],B122)
))</f>
        <v>37.5</v>
      </c>
      <c r="D122" s="16">
        <f t="array" ref="D122">IF(B122="","---",IFERROR(
   _xlfn.PERCENTILE.INC(
      IF((tabDados[Descrição Padronizada]=B122)*(tabDados[Valor Unitário]&lt;&gt;""),
         tabDados[Valor Unitário],""
      ),
   D$1),
   _xlfn.MAXIFS(tabDados[Valor Unitário],tabDados[Descrição Padronizada],B122)
))</f>
        <v>79.5</v>
      </c>
      <c r="E122" s="16">
        <f>IF(OR(B122="",B122="---"),"---",
   IFERROR(AVERAGEIFS(tabDados[Valor Unitário],tabDados[Descrição Padronizada],B122,tabDados[Valor Unitário],"&gt;="&amp;C122,tabDados[Valor Unitário],"&lt;="&amp;D122),AVERAGE(C122,D122))
)</f>
        <v>63.551333333333332</v>
      </c>
      <c r="F122" s="12">
        <f t="array" ref="F122">IF(OR(B122="",B122="---"),"---",TRUNC(IFERROR(MODE(IF((tabDados[Descrição Padronizada]=B122)*(tabDados[Vida Útil (meses)]&lt;&gt;""),tabDados[Vida Útil (meses)],"-")),AVERAGEIFS(tabDados[Vida Útil (meses)],tabDados[Descrição Padronizada],B122))+0.5))</f>
        <v>12</v>
      </c>
      <c r="G122" s="13">
        <f>IF(OR(B122="",B122="---"),"---",TRUNC(IFERROR(AVERAGEIFS(tabDados[Manutenção (%)],tabDados[Descrição Padronizada],B122,tabDados[Manutenção (%)],"&gt;"&amp;0),0)*10000)/10000)</f>
        <v>1.5299999999999999E-2</v>
      </c>
      <c r="H122" s="24">
        <f>IF(OR(B122="---",B122=""),"---",COUNTIF(tabDados[[#All],[Descrição Padronizada]],B122))</f>
        <v>31</v>
      </c>
      <c r="I122" s="24" t="s">
        <v>19</v>
      </c>
    </row>
    <row r="123" spans="1:9" hidden="1" x14ac:dyDescent="0.35">
      <c r="A123" s="15">
        <v>121</v>
      </c>
      <c r="B123" s="11" t="str">
        <v>mop pó 120 cm completo</v>
      </c>
      <c r="C123" s="16">
        <f t="array" ref="C123">IF(B123="","---",IFERROR(
   _xlfn.PERCENTILE.INC(
      IF((tabDados[Descrição Padronizada]=B123)*(tabDados[Valor Unitário]&lt;&gt;""),
         tabDados[Valor Unitário],""
      ),
   C$1),
   _xlfn.MINIFS(tabDados[Valor Unitário],tabDados[Descrição Padronizada],B123)
))</f>
        <v>96.674999999999997</v>
      </c>
      <c r="D123" s="16">
        <f t="array" ref="D123">IF(B123="","---",IFERROR(
   _xlfn.PERCENTILE.INC(
      IF((tabDados[Descrição Padronizada]=B123)*(tabDados[Valor Unitário]&lt;&gt;""),
         tabDados[Valor Unitário],""
      ),
   D$1),
   _xlfn.MAXIFS(tabDados[Valor Unitário],tabDados[Descrição Padronizada],B123)
))</f>
        <v>103.85</v>
      </c>
      <c r="E123" s="16">
        <f>IF(OR(B123="",B123="---"),"---",
   IFERROR(AVERAGEIFS(tabDados[Valor Unitário],tabDados[Descrição Padronizada],B123,tabDados[Valor Unitário],"&gt;="&amp;C123,tabDados[Valor Unitário],"&lt;="&amp;D123),AVERAGE(C123,D123))
)</f>
        <v>103.85</v>
      </c>
      <c r="F123" s="12">
        <f t="array" ref="F123">IF(OR(B123="",B123="---"),"---",TRUNC(IFERROR(MODE(IF((tabDados[Descrição Padronizada]=B123)*(tabDados[Vida Útil (meses)]&lt;&gt;""),tabDados[Vida Útil (meses)],"-")),AVERAGEIFS(tabDados[Vida Útil (meses)],tabDados[Descrição Padronizada],B123))+0.5))</f>
        <v>36</v>
      </c>
      <c r="G123" s="13">
        <f>IF(OR(B123="",B123="---"),"---",TRUNC(IFERROR(AVERAGEIFS(tabDados[Manutenção (%)],tabDados[Descrição Padronizada],B123,tabDados[Manutenção (%)],"&gt;"&amp;0),0)*10000)/10000)</f>
        <v>1.67E-2</v>
      </c>
      <c r="H123" s="24">
        <f>IF(OR(B123="---",B123=""),"---",COUNTIF(tabDados[[#All],[Descrição Padronizada]],B123))</f>
        <v>3</v>
      </c>
      <c r="I123" s="24" t="s">
        <v>20</v>
      </c>
    </row>
    <row r="124" spans="1:9" x14ac:dyDescent="0.35">
      <c r="A124" s="15">
        <v>122</v>
      </c>
      <c r="B124" s="11" t="str">
        <v>mop pó 60 cm completo</v>
      </c>
      <c r="C124" s="16">
        <f t="array" ref="C124">IF(B124="","---",IFERROR(
   _xlfn.PERCENTILE.INC(
      IF((tabDados[Descrição Padronizada]=B124)*(tabDados[Valor Unitário]&lt;&gt;""),
         tabDados[Valor Unitário],""
      ),
   C$1),
   _xlfn.MINIFS(tabDados[Valor Unitário],tabDados[Descrição Padronizada],B124)
))</f>
        <v>60</v>
      </c>
      <c r="D124" s="16">
        <f t="array" ref="D124">IF(B124="","---",IFERROR(
   _xlfn.PERCENTILE.INC(
      IF((tabDados[Descrição Padronizada]=B124)*(tabDados[Valor Unitário]&lt;&gt;""),
         tabDados[Valor Unitário],""
      ),
   D$1),
   _xlfn.MAXIFS(tabDados[Valor Unitário],tabDados[Descrição Padronizada],B124)
))</f>
        <v>134.55000000000001</v>
      </c>
      <c r="E124" s="16">
        <f>IF(OR(B124="",B124="---"),"---",
   IFERROR(AVERAGEIFS(tabDados[Valor Unitário],tabDados[Descrição Padronizada],B124,tabDados[Valor Unitário],"&gt;="&amp;C124,tabDados[Valor Unitário],"&lt;="&amp;D124),AVERAGE(C124,D124))
)</f>
        <v>96.702340425531943</v>
      </c>
      <c r="F124" s="12">
        <f t="array" ref="F124">IF(OR(B124="",B124="---"),"---",TRUNC(IFERROR(MODE(IF((tabDados[Descrição Padronizada]=B124)*(tabDados[Vida Útil (meses)]&lt;&gt;""),tabDados[Vida Útil (meses)],"-")),AVERAGEIFS(tabDados[Vida Útil (meses)],tabDados[Descrição Padronizada],B124))+0.5))</f>
        <v>12</v>
      </c>
      <c r="G124" s="13">
        <f>IF(OR(B124="",B124="---"),"---",TRUNC(IFERROR(AVERAGEIFS(tabDados[Manutenção (%)],tabDados[Descrição Padronizada],B124,tabDados[Manutenção (%)],"&gt;"&amp;0),0)*10000)/10000)</f>
        <v>1.46E-2</v>
      </c>
      <c r="H124" s="24">
        <f>IF(OR(B124="---",B124=""),"---",COUNTIF(tabDados[[#All],[Descrição Padronizada]],B124))</f>
        <v>74</v>
      </c>
      <c r="I124" s="24" t="s">
        <v>19</v>
      </c>
    </row>
    <row r="125" spans="1:9" hidden="1" x14ac:dyDescent="0.35">
      <c r="A125" s="15">
        <v>123</v>
      </c>
      <c r="B125" s="11" t="str">
        <v>mop pó 60 cm refil</v>
      </c>
      <c r="C125" s="16">
        <f t="array" ref="C125">IF(B125="","---",IFERROR(
   _xlfn.PERCENTILE.INC(
      IF((tabDados[Descrição Padronizada]=B125)*(tabDados[Valor Unitário]&lt;&gt;""),
         tabDados[Valor Unitário],""
      ),
   C$1),
   _xlfn.MINIFS(tabDados[Valor Unitário],tabDados[Descrição Padronizada],B125)
))</f>
        <v>36.6</v>
      </c>
      <c r="D125" s="16">
        <f t="array" ref="D125">IF(B125="","---",IFERROR(
   _xlfn.PERCENTILE.INC(
      IF((tabDados[Descrição Padronizada]=B125)*(tabDados[Valor Unitário]&lt;&gt;""),
         tabDados[Valor Unitário],""
      ),
   D$1),
   _xlfn.MAXIFS(tabDados[Valor Unitário],tabDados[Descrição Padronizada],B125)
))</f>
        <v>76.37</v>
      </c>
      <c r="E125" s="16">
        <f>IF(OR(B125="",B125="---"),"---",
   IFERROR(AVERAGEIFS(tabDados[Valor Unitário],tabDados[Descrição Padronizada],B125,tabDados[Valor Unitário],"&gt;="&amp;C125,tabDados[Valor Unitário],"&lt;="&amp;D125),AVERAGE(C125,D125))
)</f>
        <v>54.2</v>
      </c>
      <c r="F125" s="12">
        <f t="array" ref="F125">IF(OR(B125="",B125="---"),"---",TRUNC(IFERROR(MODE(IF((tabDados[Descrição Padronizada]=B125)*(tabDados[Vida Útil (meses)]&lt;&gt;""),tabDados[Vida Útil (meses)],"-")),AVERAGEIFS(tabDados[Vida Útil (meses)],tabDados[Descrição Padronizada],B125))+0.5))</f>
        <v>1</v>
      </c>
      <c r="G125" s="13">
        <f>IF(OR(B125="",B125="---"),"---",TRUNC(IFERROR(AVERAGEIFS(tabDados[Manutenção (%)],tabDados[Descrição Padronizada],B125,tabDados[Manutenção (%)],"&gt;"&amp;0),0)*10000)/10000)</f>
        <v>1.67E-2</v>
      </c>
      <c r="H125" s="24">
        <f>IF(OR(B125="---",B125=""),"---",COUNTIF(tabDados[[#All],[Descrição Padronizada]],B125))</f>
        <v>3</v>
      </c>
      <c r="I125" s="24" t="s">
        <v>20</v>
      </c>
    </row>
    <row r="126" spans="1:9" hidden="1" x14ac:dyDescent="0.35">
      <c r="A126" s="15">
        <v>124</v>
      </c>
      <c r="B126" s="11" t="str">
        <v>mop pó 80 cm completo</v>
      </c>
      <c r="C126" s="16">
        <f t="array" ref="C126">IF(B126="","---",IFERROR(
   _xlfn.PERCENTILE.INC(
      IF((tabDados[Descrição Padronizada]=B126)*(tabDados[Valor Unitário]&lt;&gt;""),
         tabDados[Valor Unitário],""
      ),
   C$1),
   _xlfn.MINIFS(tabDados[Valor Unitário],tabDados[Descrição Padronizada],B126)
))</f>
        <v>79.025000000000006</v>
      </c>
      <c r="D126" s="16">
        <f t="array" ref="D126">IF(B126="","---",IFERROR(
   _xlfn.PERCENTILE.INC(
      IF((tabDados[Descrição Padronizada]=B126)*(tabDados[Valor Unitário]&lt;&gt;""),
         tabDados[Valor Unitário],""
      ),
   D$1),
   _xlfn.MAXIFS(tabDados[Valor Unitário],tabDados[Descrição Padronizada],B126)
))</f>
        <v>103.85</v>
      </c>
      <c r="E126" s="16">
        <f>IF(OR(B126="",B126="---"),"---",
   IFERROR(AVERAGEIFS(tabDados[Valor Unitário],tabDados[Descrição Padronizada],B126,tabDados[Valor Unitário],"&gt;="&amp;C126,tabDados[Valor Unitário],"&lt;="&amp;D126),AVERAGE(C126,D126))
)</f>
        <v>103.85</v>
      </c>
      <c r="F126" s="12">
        <f t="array" ref="F126">IF(OR(B126="",B126="---"),"---",TRUNC(IFERROR(MODE(IF((tabDados[Descrição Padronizada]=B126)*(tabDados[Vida Útil (meses)]&lt;&gt;""),tabDados[Vida Útil (meses)],"-")),AVERAGEIFS(tabDados[Vida Útil (meses)],tabDados[Descrição Padronizada],B126))+0.5))</f>
        <v>36</v>
      </c>
      <c r="G126" s="13">
        <f>IF(OR(B126="",B126="---"),"---",TRUNC(IFERROR(AVERAGEIFS(tabDados[Manutenção (%)],tabDados[Descrição Padronizada],B126,tabDados[Manutenção (%)],"&gt;"&amp;0),0)*10000)/10000)</f>
        <v>1.67E-2</v>
      </c>
      <c r="H126" s="24">
        <f>IF(OR(B126="---",B126=""),"---",COUNTIF(tabDados[[#All],[Descrição Padronizada]],B126))</f>
        <v>3</v>
      </c>
      <c r="I126" s="24" t="s">
        <v>20</v>
      </c>
    </row>
    <row r="127" spans="1:9" hidden="1" x14ac:dyDescent="0.35">
      <c r="A127" s="15">
        <v>125</v>
      </c>
      <c r="B127" s="11" t="str">
        <v>moto scooter elétrica</v>
      </c>
      <c r="C127" s="16">
        <f t="array" ref="C127">IF(B127="","---",IFERROR(
   _xlfn.PERCENTILE.INC(
      IF((tabDados[Descrição Padronizada]=B127)*(tabDados[Valor Unitário]&lt;&gt;""),
         tabDados[Valor Unitário],""
      ),
   C$1),
   _xlfn.MINIFS(tabDados[Valor Unitário],tabDados[Descrição Padronizada],B127)
))</f>
        <v>3625</v>
      </c>
      <c r="D127" s="16">
        <f t="array" ref="D127">IF(B127="","---",IFERROR(
   _xlfn.PERCENTILE.INC(
      IF((tabDados[Descrição Padronizada]=B127)*(tabDados[Valor Unitário]&lt;&gt;""),
         tabDados[Valor Unitário],""
      ),
   D$1),
   _xlfn.MAXIFS(tabDados[Valor Unitário],tabDados[Descrição Padronizada],B127)
))</f>
        <v>4923.5</v>
      </c>
      <c r="E127" s="16">
        <f>IF(OR(B127="",B127="---"),"---",
   IFERROR(AVERAGEIFS(tabDados[Valor Unitário],tabDados[Descrição Padronizada],B127,tabDados[Valor Unitário],"&gt;="&amp;C127,tabDados[Valor Unitário],"&lt;="&amp;D127),AVERAGE(C127,D127))
)</f>
        <v>4099</v>
      </c>
      <c r="F127" s="12">
        <f t="array" ref="F127">IF(OR(B127="",B127="---"),"---",TRUNC(IFERROR(MODE(IF((tabDados[Descrição Padronizada]=B127)*(tabDados[Vida Útil (meses)]&lt;&gt;""),tabDados[Vida Útil (meses)],"-")),AVERAGEIFS(tabDados[Vida Útil (meses)],tabDados[Descrição Padronizada],B127))+0.5))</f>
        <v>60</v>
      </c>
      <c r="G127" s="13">
        <f>IF(OR(B127="",B127="---"),"---",TRUNC(IFERROR(AVERAGEIFS(tabDados[Manutenção (%)],tabDados[Descrição Padronizada],B127,tabDados[Manutenção (%)],"&gt;"&amp;0),0)*10000)/10000)</f>
        <v>1.8100000000000002E-2</v>
      </c>
      <c r="H127" s="24">
        <f>IF(OR(B127="---",B127=""),"---",COUNTIF(tabDados[[#All],[Descrição Padronizada]],B127))</f>
        <v>4</v>
      </c>
      <c r="I127" s="24" t="s">
        <v>20</v>
      </c>
    </row>
    <row r="128" spans="1:9" hidden="1" x14ac:dyDescent="0.35">
      <c r="A128" s="15">
        <v>126</v>
      </c>
      <c r="B128" s="11" t="str">
        <v>notebook</v>
      </c>
      <c r="C128" s="16">
        <f t="array" ref="C128">IF(B128="","---",IFERROR(
   _xlfn.PERCENTILE.INC(
      IF((tabDados[Descrição Padronizada]=B128)*(tabDados[Valor Unitário]&lt;&gt;""),
         tabDados[Valor Unitário],""
      ),
   C$1),
   _xlfn.MINIFS(tabDados[Valor Unitário],tabDados[Descrição Padronizada],B128)
))</f>
        <v>157.80500000000001</v>
      </c>
      <c r="D128" s="16">
        <f t="array" ref="D128">IF(B128="","---",IFERROR(
   _xlfn.PERCENTILE.INC(
      IF((tabDados[Descrição Padronizada]=B128)*(tabDados[Valor Unitário]&lt;&gt;""),
         tabDados[Valor Unitário],""
      ),
   D$1),
   _xlfn.MAXIFS(tabDados[Valor Unitário],tabDados[Descrição Padronizada],B128)
))</f>
        <v>3500</v>
      </c>
      <c r="E128" s="16">
        <f>IF(OR(B128="",B128="---"),"---",
   IFERROR(AVERAGEIFS(tabDados[Valor Unitário],tabDados[Descrição Padronizada],B128,tabDados[Valor Unitário],"&gt;="&amp;C128,tabDados[Valor Unitário],"&lt;="&amp;D128),AVERAGE(C128,D128))
)</f>
        <v>2400</v>
      </c>
      <c r="F128" s="12">
        <f t="array" ref="F128">IF(OR(B128="",B128="---"),"---",TRUNC(IFERROR(MODE(IF((tabDados[Descrição Padronizada]=B128)*(tabDados[Vida Útil (meses)]&lt;&gt;""),tabDados[Vida Útil (meses)],"-")),AVERAGEIFS(tabDados[Vida Útil (meses)],tabDados[Descrição Padronizada],B128))+0.5))</f>
        <v>1</v>
      </c>
      <c r="G128" s="13">
        <f>IF(OR(B128="",B128="---"),"---",TRUNC(IFERROR(AVERAGEIFS(tabDados[Manutenção (%)],tabDados[Descrição Padronizada],B128,tabDados[Manutenção (%)],"&gt;"&amp;0),0)*10000)/10000)</f>
        <v>7.4999999999999997E-3</v>
      </c>
      <c r="H128" s="24">
        <f>IF(OR(B128="---",B128=""),"---",COUNTIF(tabDados[[#All],[Descrição Padronizada]],B128))</f>
        <v>6</v>
      </c>
      <c r="I128" s="24" t="s">
        <v>20</v>
      </c>
    </row>
    <row r="129" spans="1:9" hidden="1" x14ac:dyDescent="0.35">
      <c r="A129" s="15">
        <v>127</v>
      </c>
      <c r="B129" s="11" t="str">
        <v>organizador de acessórios</v>
      </c>
      <c r="C129" s="16">
        <f t="array" ref="C129">IF(B129="","---",IFERROR(
   _xlfn.PERCENTILE.INC(
      IF((tabDados[Descrição Padronizada]=B129)*(tabDados[Valor Unitário]&lt;&gt;""),
         tabDados[Valor Unitário],""
      ),
   C$1),
   _xlfn.MINIFS(tabDados[Valor Unitário],tabDados[Descrição Padronizada],B129)
))</f>
        <v>66.497500000000002</v>
      </c>
      <c r="D129" s="16">
        <f t="array" ref="D129">IF(B129="","---",IFERROR(
   _xlfn.PERCENTILE.INC(
      IF((tabDados[Descrição Padronizada]=B129)*(tabDados[Valor Unitário]&lt;&gt;""),
         tabDados[Valor Unitário],""
      ),
   D$1),
   _xlfn.MAXIFS(tabDados[Valor Unitário],tabDados[Descrição Padronizada],B129)
))</f>
        <v>73.989999999999995</v>
      </c>
      <c r="E129" s="16">
        <f>IF(OR(B129="",B129="---"),"---",
   IFERROR(AVERAGEIFS(tabDados[Valor Unitário],tabDados[Descrição Padronizada],B129,tabDados[Valor Unitário],"&gt;="&amp;C129,tabDados[Valor Unitário],"&lt;="&amp;D129),AVERAGE(C129,D129))
)</f>
        <v>73.989999999999995</v>
      </c>
      <c r="F129" s="12">
        <f t="array" ref="F129">IF(OR(B129="",B129="---"),"---",TRUNC(IFERROR(MODE(IF((tabDados[Descrição Padronizada]=B129)*(tabDados[Vida Útil (meses)]&lt;&gt;""),tabDados[Vida Útil (meses)],"-")),AVERAGEIFS(tabDados[Vida Útil (meses)],tabDados[Descrição Padronizada],B129))+0.5))</f>
        <v>60</v>
      </c>
      <c r="G129" s="13">
        <f>IF(OR(B129="",B129="---"),"---",TRUNC(IFERROR(AVERAGEIFS(tabDados[Manutenção (%)],tabDados[Descrição Padronizada],B129,tabDados[Manutenção (%)],"&gt;"&amp;0),0)*10000)/10000)</f>
        <v>0</v>
      </c>
      <c r="H129" s="24">
        <f>IF(OR(B129="---",B129=""),"---",COUNTIF(tabDados[[#All],[Descrição Padronizada]],B129))</f>
        <v>10</v>
      </c>
      <c r="I129" s="24" t="s">
        <v>20</v>
      </c>
    </row>
    <row r="130" spans="1:9" hidden="1" x14ac:dyDescent="0.35">
      <c r="A130" s="15">
        <v>128</v>
      </c>
      <c r="B130" s="11" t="str">
        <v>pá bituqueira</v>
      </c>
      <c r="C130" s="16">
        <f t="array" ref="C130">IF(B130="","---",IFERROR(
   _xlfn.PERCENTILE.INC(
      IF((tabDados[Descrição Padronizada]=B130)*(tabDados[Valor Unitário]&lt;&gt;""),
         tabDados[Valor Unitário],""
      ),
   C$1),
   _xlfn.MINIFS(tabDados[Valor Unitário],tabDados[Descrição Padronizada],B130)
))</f>
        <v>15</v>
      </c>
      <c r="D130" s="16">
        <f t="array" ref="D130">IF(B130="","---",IFERROR(
   _xlfn.PERCENTILE.INC(
      IF((tabDados[Descrição Padronizada]=B130)*(tabDados[Valor Unitário]&lt;&gt;""),
         tabDados[Valor Unitário],""
      ),
   D$1),
   _xlfn.MAXIFS(tabDados[Valor Unitário],tabDados[Descrição Padronizada],B130)
))</f>
        <v>39.020000000000003</v>
      </c>
      <c r="E130" s="16">
        <f>IF(OR(B130="",B130="---"),"---",
   IFERROR(AVERAGEIFS(tabDados[Valor Unitário],tabDados[Descrição Padronizada],B130,tabDados[Valor Unitário],"&gt;="&amp;C130,tabDados[Valor Unitário],"&lt;="&amp;D130),AVERAGE(C130,D130))
)</f>
        <v>23.71166666666667</v>
      </c>
      <c r="F130" s="12">
        <f t="array" ref="F130">IF(OR(B130="",B130="---"),"---",TRUNC(IFERROR(MODE(IF((tabDados[Descrição Padronizada]=B130)*(tabDados[Vida Útil (meses)]&lt;&gt;""),tabDados[Vida Útil (meses)],"-")),AVERAGEIFS(tabDados[Vida Útil (meses)],tabDados[Descrição Padronizada],B130))+0.5))</f>
        <v>12</v>
      </c>
      <c r="G130" s="13">
        <f>IF(OR(B130="",B130="---"),"---",TRUNC(IFERROR(AVERAGEIFS(tabDados[Manutenção (%)],tabDados[Descrição Padronizada],B130,tabDados[Manutenção (%)],"&gt;"&amp;0),0)*10000)/10000)</f>
        <v>1.44E-2</v>
      </c>
      <c r="H130" s="24">
        <f>IF(OR(B130="---",B130=""),"---",COUNTIF(tabDados[[#All],[Descrição Padronizada]],B130))</f>
        <v>9</v>
      </c>
      <c r="I130" s="24" t="s">
        <v>20</v>
      </c>
    </row>
    <row r="131" spans="1:9" x14ac:dyDescent="0.35">
      <c r="A131" s="15">
        <v>129</v>
      </c>
      <c r="B131" s="11" t="str">
        <v>pá coletora</v>
      </c>
      <c r="C131" s="16">
        <f t="array" ref="C131">IF(B131="","---",IFERROR(
   _xlfn.PERCENTILE.INC(
      IF((tabDados[Descrição Padronizada]=B131)*(tabDados[Valor Unitário]&lt;&gt;""),
         tabDados[Valor Unitário],""
      ),
   C$1),
   _xlfn.MINIFS(tabDados[Valor Unitário],tabDados[Descrição Padronizada],B131)
))</f>
        <v>23</v>
      </c>
      <c r="D131" s="16">
        <f t="array" ref="D131">IF(B131="","---",IFERROR(
   _xlfn.PERCENTILE.INC(
      IF((tabDados[Descrição Padronizada]=B131)*(tabDados[Valor Unitário]&lt;&gt;""),
         tabDados[Valor Unitário],""
      ),
   D$1),
   _xlfn.MAXIFS(tabDados[Valor Unitário],tabDados[Descrição Padronizada],B131)
))</f>
        <v>43</v>
      </c>
      <c r="E131" s="16">
        <f>IF(OR(B131="",B131="---"),"---",
   IFERROR(AVERAGEIFS(tabDados[Valor Unitário],tabDados[Descrição Padronizada],B131,tabDados[Valor Unitário],"&gt;="&amp;C131,tabDados[Valor Unitário],"&lt;="&amp;D131),AVERAGE(C131,D131))
)</f>
        <v>32.601449275362313</v>
      </c>
      <c r="F131" s="12">
        <f t="array" ref="F131">IF(OR(B131="",B131="---"),"---",TRUNC(IFERROR(MODE(IF((tabDados[Descrição Padronizada]=B131)*(tabDados[Vida Útil (meses)]&lt;&gt;""),tabDados[Vida Útil (meses)],"-")),AVERAGEIFS(tabDados[Vida Útil (meses)],tabDados[Descrição Padronizada],B131))+0.5))</f>
        <v>12</v>
      </c>
      <c r="G131" s="13">
        <f>IF(OR(B131="",B131="---"),"---",TRUNC(IFERROR(AVERAGEIFS(tabDados[Manutenção (%)],tabDados[Descrição Padronizada],B131,tabDados[Manutenção (%)],"&gt;"&amp;0),0)*10000)/10000)</f>
        <v>1.44E-2</v>
      </c>
      <c r="H131" s="24">
        <f>IF(OR(B131="---",B131=""),"---",COUNTIF(tabDados[[#All],[Descrição Padronizada]],B131))</f>
        <v>128</v>
      </c>
      <c r="I131" s="24" t="s">
        <v>19</v>
      </c>
    </row>
    <row r="132" spans="1:9" hidden="1" x14ac:dyDescent="0.35">
      <c r="A132" s="15">
        <v>130</v>
      </c>
      <c r="B132" s="11" t="str">
        <v>pegador de objeto com garra mecânica</v>
      </c>
      <c r="C132" s="16">
        <f t="array" ref="C132">IF(B132="","---",IFERROR(
   _xlfn.PERCENTILE.INC(
      IF((tabDados[Descrição Padronizada]=B132)*(tabDados[Valor Unitário]&lt;&gt;""),
         tabDados[Valor Unitário],""
      ),
   C$1),
   _xlfn.MINIFS(tabDados[Valor Unitário],tabDados[Descrição Padronizada],B132)
))</f>
        <v>130</v>
      </c>
      <c r="D132" s="16">
        <f t="array" ref="D132">IF(B132="","---",IFERROR(
   _xlfn.PERCENTILE.INC(
      IF((tabDados[Descrição Padronizada]=B132)*(tabDados[Valor Unitário]&lt;&gt;""),
         tabDados[Valor Unitário],""
      ),
   D$1),
   _xlfn.MAXIFS(tabDados[Valor Unitário],tabDados[Descrição Padronizada],B132)
))</f>
        <v>145</v>
      </c>
      <c r="E132" s="16">
        <f>IF(OR(B132="",B132="---"),"---",
   IFERROR(AVERAGEIFS(tabDados[Valor Unitário],tabDados[Descrição Padronizada],B132,tabDados[Valor Unitário],"&gt;="&amp;C132,tabDados[Valor Unitário],"&lt;="&amp;D132),AVERAGE(C132,D132))
)</f>
        <v>130</v>
      </c>
      <c r="F132" s="12">
        <f t="array" ref="F132">IF(OR(B132="",B132="---"),"---",TRUNC(IFERROR(MODE(IF((tabDados[Descrição Padronizada]=B132)*(tabDados[Vida Útil (meses)]&lt;&gt;""),tabDados[Vida Útil (meses)],"-")),AVERAGEIFS(tabDados[Vida Útil (meses)],tabDados[Descrição Padronizada],B132))+0.5))</f>
        <v>60</v>
      </c>
      <c r="G132" s="13">
        <f>IF(OR(B132="",B132="---"),"---",TRUNC(IFERROR(AVERAGEIFS(tabDados[Manutenção (%)],tabDados[Descrição Padronizada],B132,tabDados[Manutenção (%)],"&gt;"&amp;0),0)*10000)/10000)</f>
        <v>1.67E-2</v>
      </c>
      <c r="H132" s="24">
        <f>IF(OR(B132="---",B132=""),"---",COUNTIF(tabDados[[#All],[Descrição Padronizada]],B132))</f>
        <v>10</v>
      </c>
      <c r="I132" s="24" t="s">
        <v>20</v>
      </c>
    </row>
    <row r="133" spans="1:9" x14ac:dyDescent="0.35">
      <c r="A133" s="15">
        <v>131</v>
      </c>
      <c r="B133" s="11" t="str">
        <v>placa de sinalização</v>
      </c>
      <c r="C133" s="16">
        <f t="array" ref="C133">IF(B133="","---",IFERROR(
   _xlfn.PERCENTILE.INC(
      IF((tabDados[Descrição Padronizada]=B133)*(tabDados[Valor Unitário]&lt;&gt;""),
         tabDados[Valor Unitário],""
      ),
   C$1),
   _xlfn.MINIFS(tabDados[Valor Unitário],tabDados[Descrição Padronizada],B133)
))</f>
        <v>32</v>
      </c>
      <c r="D133" s="16">
        <f t="array" ref="D133">IF(B133="","---",IFERROR(
   _xlfn.PERCENTILE.INC(
      IF((tabDados[Descrição Padronizada]=B133)*(tabDados[Valor Unitário]&lt;&gt;""),
         tabDados[Valor Unitário],""
      ),
   D$1),
   _xlfn.MAXIFS(tabDados[Valor Unitário],tabDados[Descrição Padronizada],B133)
))</f>
        <v>52.32</v>
      </c>
      <c r="E133" s="16">
        <f>IF(OR(B133="",B133="---"),"---",
   IFERROR(AVERAGEIFS(tabDados[Valor Unitário],tabDados[Descrição Padronizada],B133,tabDados[Valor Unitário],"&gt;="&amp;C133,tabDados[Valor Unitário],"&lt;="&amp;D133),AVERAGE(C133,D133))
)</f>
        <v>40.5616129032258</v>
      </c>
      <c r="F133" s="12">
        <f t="array" ref="F133">IF(OR(B133="",B133="---"),"---",TRUNC(IFERROR(MODE(IF((tabDados[Descrição Padronizada]=B133)*(tabDados[Vida Útil (meses)]&lt;&gt;""),tabDados[Vida Útil (meses)],"-")),AVERAGEIFS(tabDados[Vida Útil (meses)],tabDados[Descrição Padronizada],B133))+0.5))</f>
        <v>60</v>
      </c>
      <c r="G133" s="13">
        <f>IF(OR(B133="",B133="---"),"---",TRUNC(IFERROR(AVERAGEIFS(tabDados[Manutenção (%)],tabDados[Descrição Padronizada],B133,tabDados[Manutenção (%)],"&gt;"&amp;0),0)*10000)/10000)</f>
        <v>1.49E-2</v>
      </c>
      <c r="H133" s="24">
        <f>IF(OR(B133="---",B133=""),"---",COUNTIF(tabDados[[#All],[Descrição Padronizada]],B133))</f>
        <v>148</v>
      </c>
      <c r="I133" s="24" t="s">
        <v>19</v>
      </c>
    </row>
    <row r="134" spans="1:9" hidden="1" x14ac:dyDescent="0.35">
      <c r="A134" s="15">
        <v>132</v>
      </c>
      <c r="B134" s="11" t="str">
        <v>podador</v>
      </c>
      <c r="C134" s="16">
        <f t="array" ref="C134">IF(B134="","---",IFERROR(
   _xlfn.PERCENTILE.INC(
      IF((tabDados[Descrição Padronizada]=B134)*(tabDados[Valor Unitário]&lt;&gt;""),
         tabDados[Valor Unitário],""
      ),
   C$1),
   _xlfn.MINIFS(tabDados[Valor Unitário],tabDados[Descrição Padronizada],B134)
))</f>
        <v>1899.9</v>
      </c>
      <c r="D134" s="16">
        <f t="array" ref="D134">IF(B134="","---",IFERROR(
   _xlfn.PERCENTILE.INC(
      IF((tabDados[Descrição Padronizada]=B134)*(tabDados[Valor Unitário]&lt;&gt;""),
         tabDados[Valor Unitário],""
      ),
   D$1),
   _xlfn.MAXIFS(tabDados[Valor Unitário],tabDados[Descrição Padronizada],B134)
))</f>
        <v>1899.9</v>
      </c>
      <c r="E134" s="16">
        <f>IF(OR(B134="",B134="---"),"---",
   IFERROR(AVERAGEIFS(tabDados[Valor Unitário],tabDados[Descrição Padronizada],B134,tabDados[Valor Unitário],"&gt;="&amp;C134,tabDados[Valor Unitário],"&lt;="&amp;D134),AVERAGE(C134,D134))
)</f>
        <v>1899.8999999999999</v>
      </c>
      <c r="F134" s="12">
        <f t="array" ref="F134">IF(OR(B134="",B134="---"),"---",TRUNC(IFERROR(MODE(IF((tabDados[Descrição Padronizada]=B134)*(tabDados[Vida Útil (meses)]&lt;&gt;""),tabDados[Vida Útil (meses)],"-")),AVERAGEIFS(tabDados[Vida Útil (meses)],tabDados[Descrição Padronizada],B134))+0.5))</f>
        <v>60</v>
      </c>
      <c r="G134" s="13">
        <f>IF(OR(B134="",B134="---"),"---",TRUNC(IFERROR(AVERAGEIFS(tabDados[Manutenção (%)],tabDados[Descrição Padronizada],B134,tabDados[Manutenção (%)],"&gt;"&amp;0),0)*10000)/10000)</f>
        <v>1.03E-2</v>
      </c>
      <c r="H134" s="24">
        <f>IF(OR(B134="---",B134=""),"---",COUNTIF(tabDados[[#All],[Descrição Padronizada]],B134))</f>
        <v>10</v>
      </c>
      <c r="I134" s="24" t="s">
        <v>20</v>
      </c>
    </row>
    <row r="135" spans="1:9" x14ac:dyDescent="0.35">
      <c r="A135" s="15">
        <v>133</v>
      </c>
      <c r="B135" s="11" t="str">
        <v>polidora de piso alta rotação</v>
      </c>
      <c r="C135" s="16">
        <f t="array" ref="C135">IF(B135="","---",IFERROR(
   _xlfn.PERCENTILE.INC(
      IF((tabDados[Descrição Padronizada]=B135)*(tabDados[Valor Unitário]&lt;&gt;""),
         tabDados[Valor Unitário],""
      ),
   C$1),
   _xlfn.MINIFS(tabDados[Valor Unitário],tabDados[Descrição Padronizada],B135)
))</f>
        <v>4565.9575000000004</v>
      </c>
      <c r="D135" s="16">
        <f t="array" ref="D135">IF(B135="","---",IFERROR(
   _xlfn.PERCENTILE.INC(
      IF((tabDados[Descrição Padronizada]=B135)*(tabDados[Valor Unitário]&lt;&gt;""),
         tabDados[Valor Unitário],""
      ),
   D$1),
   _xlfn.MAXIFS(tabDados[Valor Unitário],tabDados[Descrição Padronizada],B135)
))</f>
        <v>16542.662499999999</v>
      </c>
      <c r="E135" s="16">
        <f>IF(OR(B135="",B135="---"),"---",
   IFERROR(AVERAGEIFS(tabDados[Valor Unitário],tabDados[Descrição Padronizada],B135,tabDados[Valor Unitário],"&gt;="&amp;C135,tabDados[Valor Unitário],"&lt;="&amp;D135),AVERAGE(C135,D135))
)</f>
        <v>7468.7350000000006</v>
      </c>
      <c r="F135" s="12">
        <f t="array" ref="F135">IF(OR(B135="",B135="---"),"---",TRUNC(IFERROR(MODE(IF((tabDados[Descrição Padronizada]=B135)*(tabDados[Vida Útil (meses)]&lt;&gt;""),tabDados[Vida Útil (meses)],"-")),AVERAGEIFS(tabDados[Vida Útil (meses)],tabDados[Descrição Padronizada],B135))+0.5))</f>
        <v>60</v>
      </c>
      <c r="G135" s="13">
        <f>IF(OR(B135="",B135="---"),"---",TRUNC(IFERROR(AVERAGEIFS(tabDados[Manutenção (%)],tabDados[Descrição Padronizada],B135,tabDados[Manutenção (%)],"&gt;"&amp;0),0)*10000)/10000)</f>
        <v>9.9000000000000008E-3</v>
      </c>
      <c r="H135" s="24">
        <f>IF(OR(B135="---",B135=""),"---",COUNTIF(tabDados[[#All],[Descrição Padronizada]],B135))</f>
        <v>20</v>
      </c>
      <c r="I135" s="24" t="s">
        <v>19</v>
      </c>
    </row>
    <row r="136" spans="1:9" hidden="1" x14ac:dyDescent="0.35">
      <c r="A136" s="15">
        <v>134</v>
      </c>
      <c r="B136" s="11" t="str">
        <v>prateleira</v>
      </c>
      <c r="C136" s="16">
        <f t="array" ref="C136">IF(B136="","---",IFERROR(
   _xlfn.PERCENTILE.INC(
      IF((tabDados[Descrição Padronizada]=B136)*(tabDados[Valor Unitário]&lt;&gt;""),
         tabDados[Valor Unitário],""
      ),
   C$1),
   _xlfn.MINIFS(tabDados[Valor Unitário],tabDados[Descrição Padronizada],B136)
))</f>
        <v>325</v>
      </c>
      <c r="D136" s="16">
        <f t="array" ref="D136">IF(B136="","---",IFERROR(
   _xlfn.PERCENTILE.INC(
      IF((tabDados[Descrição Padronizada]=B136)*(tabDados[Valor Unitário]&lt;&gt;""),
         tabDados[Valor Unitário],""
      ),
   D$1),
   _xlfn.MAXIFS(tabDados[Valor Unitário],tabDados[Descrição Padronizada],B136)
))</f>
        <v>396.5</v>
      </c>
      <c r="E136" s="16">
        <f>IF(OR(B136="",B136="---"),"---",
   IFERROR(AVERAGEIFS(tabDados[Valor Unitário],tabDados[Descrição Padronizada],B136,tabDados[Valor Unitário],"&gt;="&amp;C136,tabDados[Valor Unitário],"&lt;="&amp;D136),AVERAGE(C136,D136))
)</f>
        <v>348.83333333333331</v>
      </c>
      <c r="F136" s="12">
        <f t="array" ref="F136">IF(OR(B136="",B136="---"),"---",TRUNC(IFERROR(MODE(IF((tabDados[Descrição Padronizada]=B136)*(tabDados[Vida Útil (meses)]&lt;&gt;""),tabDados[Vida Útil (meses)],"-")),AVERAGEIFS(tabDados[Vida Útil (meses)],tabDados[Descrição Padronizada],B136))+0.5))</f>
        <v>12</v>
      </c>
      <c r="G136" s="13">
        <f>IF(OR(B136="",B136="---"),"---",TRUNC(IFERROR(AVERAGEIFS(tabDados[Manutenção (%)],tabDados[Descrição Padronizada],B136,tabDados[Manutenção (%)],"&gt;"&amp;0),0)*10000)/10000)</f>
        <v>1.67E-2</v>
      </c>
      <c r="H136" s="24">
        <f>IF(OR(B136="---",B136=""),"---",COUNTIF(tabDados[[#All],[Descrição Padronizada]],B136))</f>
        <v>5</v>
      </c>
      <c r="I136" s="24" t="s">
        <v>20</v>
      </c>
    </row>
    <row r="137" spans="1:9" x14ac:dyDescent="0.35">
      <c r="A137" s="15">
        <v>135</v>
      </c>
      <c r="B137" s="11" t="str">
        <v>rádio ht digital</v>
      </c>
      <c r="C137" s="16">
        <f t="array" ref="C137">IF(B137="","---",IFERROR(
   _xlfn.PERCENTILE.INC(
      IF((tabDados[Descrição Padronizada]=B137)*(tabDados[Valor Unitário]&lt;&gt;""),
         tabDados[Valor Unitário],""
      ),
   C$1),
   _xlfn.MINIFS(tabDados[Valor Unitário],tabDados[Descrição Padronizada],B137)
))</f>
        <v>50</v>
      </c>
      <c r="D137" s="16">
        <f t="array" ref="D137">IF(B137="","---",IFERROR(
   _xlfn.PERCENTILE.INC(
      IF((tabDados[Descrição Padronizada]=B137)*(tabDados[Valor Unitário]&lt;&gt;""),
         tabDados[Valor Unitário],""
      ),
   D$1),
   _xlfn.MAXIFS(tabDados[Valor Unitário],tabDados[Descrição Padronizada],B137)
))</f>
        <v>80</v>
      </c>
      <c r="E137" s="16">
        <f>IF(OR(B137="",B137="---"),"---",
   IFERROR(AVERAGEIFS(tabDados[Valor Unitário],tabDados[Descrição Padronizada],B137,tabDados[Valor Unitário],"&gt;="&amp;C137,tabDados[Valor Unitário],"&lt;="&amp;D137),AVERAGE(C137,D137))
)</f>
        <v>55.272790697674417</v>
      </c>
      <c r="F137" s="12">
        <f t="array" ref="F137">IF(OR(B137="",B137="---"),"---",TRUNC(IFERROR(MODE(IF((tabDados[Descrição Padronizada]=B137)*(tabDados[Vida Útil (meses)]&lt;&gt;""),tabDados[Vida Útil (meses)],"-")),AVERAGEIFS(tabDados[Vida Útil (meses)],tabDados[Descrição Padronizada],B137))+0.5))</f>
        <v>1</v>
      </c>
      <c r="G137" s="13">
        <f>IF(OR(B137="",B137="---"),"---",TRUNC(IFERROR(AVERAGEIFS(tabDados[Manutenção (%)],tabDados[Descrição Padronizada],B137,tabDados[Manutenção (%)],"&gt;"&amp;0),0)*10000)/10000)</f>
        <v>0</v>
      </c>
      <c r="H137" s="24">
        <f>IF(OR(B137="---",B137=""),"---",COUNTIF(tabDados[[#All],[Descrição Padronizada]],B137))</f>
        <v>60</v>
      </c>
      <c r="I137" s="24" t="s">
        <v>19</v>
      </c>
    </row>
    <row r="138" spans="1:9" hidden="1" x14ac:dyDescent="0.35">
      <c r="A138" s="15">
        <v>136</v>
      </c>
      <c r="B138" s="11" t="str">
        <v>raspador multiuso</v>
      </c>
      <c r="C138" s="16">
        <f t="array" ref="C138">IF(B138="","---",IFERROR(
   _xlfn.PERCENTILE.INC(
      IF((tabDados[Descrição Padronizada]=B138)*(tabDados[Valor Unitário]&lt;&gt;""),
         tabDados[Valor Unitário],""
      ),
   C$1),
   _xlfn.MINIFS(tabDados[Valor Unitário],tabDados[Descrição Padronizada],B138)
))</f>
        <v>45</v>
      </c>
      <c r="D138" s="16">
        <f t="array" ref="D138">IF(B138="","---",IFERROR(
   _xlfn.PERCENTILE.INC(
      IF((tabDados[Descrição Padronizada]=B138)*(tabDados[Valor Unitário]&lt;&gt;""),
         tabDados[Valor Unitário],""
      ),
   D$1),
   _xlfn.MAXIFS(tabDados[Valor Unitário],tabDados[Descrição Padronizada],B138)
))</f>
        <v>58.5</v>
      </c>
      <c r="E138" s="16">
        <f>IF(OR(B138="",B138="---"),"---",
   IFERROR(AVERAGEIFS(tabDados[Valor Unitário],tabDados[Descrição Padronizada],B138,tabDados[Valor Unitário],"&gt;="&amp;C138,tabDados[Valor Unitário],"&lt;="&amp;D138),AVERAGE(C138,D138))
)</f>
        <v>47.7</v>
      </c>
      <c r="F138" s="12">
        <f t="array" ref="F138">IF(OR(B138="",B138="---"),"---",TRUNC(IFERROR(MODE(IF((tabDados[Descrição Padronizada]=B138)*(tabDados[Vida Útil (meses)]&lt;&gt;""),tabDados[Vida Útil (meses)],"-")),AVERAGEIFS(tabDados[Vida Útil (meses)],tabDados[Descrição Padronizada],B138))+0.5))</f>
        <v>60</v>
      </c>
      <c r="G138" s="13">
        <f>IF(OR(B138="",B138="---"),"---",TRUNC(IFERROR(AVERAGEIFS(tabDados[Manutenção (%)],tabDados[Descrição Padronizada],B138,tabDados[Manutenção (%)],"&gt;"&amp;0),0)*10000)/10000)</f>
        <v>1.67E-2</v>
      </c>
      <c r="H138" s="24">
        <f>IF(OR(B138="---",B138=""),"---",COUNTIF(tabDados[[#All],[Descrição Padronizada]],B138))</f>
        <v>9</v>
      </c>
      <c r="I138" s="24" t="s">
        <v>20</v>
      </c>
    </row>
    <row r="139" spans="1:9" hidden="1" x14ac:dyDescent="0.35">
      <c r="A139" s="15">
        <v>137</v>
      </c>
      <c r="B139" s="11" t="str">
        <v>refil de mop água</v>
      </c>
      <c r="C139" s="16">
        <f t="array" ref="C139">IF(B139="","---",IFERROR(
   _xlfn.PERCENTILE.INC(
      IF((tabDados[Descrição Padronizada]=B139)*(tabDados[Valor Unitário]&lt;&gt;""),
         tabDados[Valor Unitário],""
      ),
   C$1),
   _xlfn.MINIFS(tabDados[Valor Unitário],tabDados[Descrição Padronizada],B139)
))</f>
        <v>15</v>
      </c>
      <c r="D139" s="16">
        <f t="array" ref="D139">IF(B139="","---",IFERROR(
   _xlfn.PERCENTILE.INC(
      IF((tabDados[Descrição Padronizada]=B139)*(tabDados[Valor Unitário]&lt;&gt;""),
         tabDados[Valor Unitário],""
      ),
   D$1),
   _xlfn.MAXIFS(tabDados[Valor Unitário],tabDados[Descrição Padronizada],B139)
))</f>
        <v>43.125</v>
      </c>
      <c r="E139" s="16">
        <f>IF(OR(B139="",B139="---"),"---",
   IFERROR(AVERAGEIFS(tabDados[Valor Unitário],tabDados[Descrição Padronizada],B139,tabDados[Valor Unitário],"&gt;="&amp;C139,tabDados[Valor Unitário],"&lt;="&amp;D139),AVERAGE(C139,D139))
)</f>
        <v>23.75</v>
      </c>
      <c r="F139" s="12">
        <f t="array" ref="F139">IF(OR(B139="",B139="---"),"---",TRUNC(IFERROR(MODE(IF((tabDados[Descrição Padronizada]=B139)*(tabDados[Vida Útil (meses)]&lt;&gt;""),tabDados[Vida Útil (meses)],"-")),AVERAGEIFS(tabDados[Vida Útil (meses)],tabDados[Descrição Padronizada],B139))+0.5))</f>
        <v>6</v>
      </c>
      <c r="G139" s="13">
        <f>IF(OR(B139="",B139="---"),"---",TRUNC(IFERROR(AVERAGEIFS(tabDados[Manutenção (%)],tabDados[Descrição Padronizada],B139,tabDados[Manutenção (%)],"&gt;"&amp;0),0)*10000)/10000)</f>
        <v>0</v>
      </c>
      <c r="H139" s="24">
        <f>IF(OR(B139="---",B139=""),"---",COUNTIF(tabDados[[#All],[Descrição Padronizada]],B139))</f>
        <v>4</v>
      </c>
      <c r="I139" s="24" t="s">
        <v>20</v>
      </c>
    </row>
    <row r="140" spans="1:9" x14ac:dyDescent="0.35">
      <c r="A140" s="15">
        <v>138</v>
      </c>
      <c r="B140" s="11" t="str">
        <v>refil em microfibra</v>
      </c>
      <c r="C140" s="16">
        <f t="array" ref="C140">IF(B140="","---",IFERROR(
   _xlfn.PERCENTILE.INC(
      IF((tabDados[Descrição Padronizada]=B140)*(tabDados[Valor Unitário]&lt;&gt;""),
         tabDados[Valor Unitário],""
      ),
   C$1),
   _xlfn.MINIFS(tabDados[Valor Unitário],tabDados[Descrição Padronizada],B140)
))</f>
        <v>42</v>
      </c>
      <c r="D140" s="16">
        <f t="array" ref="D140">IF(B140="","---",IFERROR(
   _xlfn.PERCENTILE.INC(
      IF((tabDados[Descrição Padronizada]=B140)*(tabDados[Valor Unitário]&lt;&gt;""),
         tabDados[Valor Unitário],""
      ),
   D$1),
   _xlfn.MAXIFS(tabDados[Valor Unitário],tabDados[Descrição Padronizada],B140)
))</f>
        <v>190</v>
      </c>
      <c r="E140" s="16">
        <f>IF(OR(B140="",B140="---"),"---",
   IFERROR(AVERAGEIFS(tabDados[Valor Unitário],tabDados[Descrição Padronizada],B140,tabDados[Valor Unitário],"&gt;="&amp;C140,tabDados[Valor Unitário],"&lt;="&amp;D140),AVERAGE(C140,D140))
)</f>
        <v>103.91176470588235</v>
      </c>
      <c r="F140" s="12">
        <f t="array" ref="F140">IF(OR(B140="",B140="---"),"---",TRUNC(IFERROR(MODE(IF((tabDados[Descrição Padronizada]=B140)*(tabDados[Vida Útil (meses)]&lt;&gt;""),tabDados[Vida Útil (meses)],"-")),AVERAGEIFS(tabDados[Vida Útil (meses)],tabDados[Descrição Padronizada],B140))+0.5))</f>
        <v>12</v>
      </c>
      <c r="G140" s="13">
        <f>IF(OR(B140="",B140="---"),"---",TRUNC(IFERROR(AVERAGEIFS(tabDados[Manutenção (%)],tabDados[Descrição Padronizada],B140,tabDados[Manutenção (%)],"&gt;"&amp;0),0)*10000)/10000)</f>
        <v>1.2200000000000001E-2</v>
      </c>
      <c r="H140" s="24">
        <f>IF(OR(B140="---",B140=""),"---",COUNTIF(tabDados[[#All],[Descrição Padronizada]],B140))</f>
        <v>20</v>
      </c>
      <c r="I140" s="24" t="s">
        <v>19</v>
      </c>
    </row>
    <row r="141" spans="1:9" x14ac:dyDescent="0.35">
      <c r="A141" s="15">
        <v>139</v>
      </c>
      <c r="B141" s="11" t="str">
        <v>relógio de ponto</v>
      </c>
      <c r="C141" s="16">
        <f t="array" ref="C141">IF(B141="","---",IFERROR(
   _xlfn.PERCENTILE.INC(
      IF((tabDados[Descrição Padronizada]=B141)*(tabDados[Valor Unitário]&lt;&gt;""),
         tabDados[Valor Unitário],""
      ),
   C$1),
   _xlfn.MINIFS(tabDados[Valor Unitário],tabDados[Descrição Padronizada],B141)
))</f>
        <v>29</v>
      </c>
      <c r="D141" s="16">
        <f t="array" ref="D141">IF(B141="","---",IFERROR(
   _xlfn.PERCENTILE.INC(
      IF((tabDados[Descrição Padronizada]=B141)*(tabDados[Valor Unitário]&lt;&gt;""),
         tabDados[Valor Unitário],""
      ),
   D$1),
   _xlfn.MAXIFS(tabDados[Valor Unitário],tabDados[Descrição Padronizada],B141)
))</f>
        <v>135.58500000000001</v>
      </c>
      <c r="E141" s="16">
        <f>IF(OR(B141="",B141="---"),"---",
   IFERROR(AVERAGEIFS(tabDados[Valor Unitário],tabDados[Descrição Padronizada],B141,tabDados[Valor Unitário],"&gt;="&amp;C141,tabDados[Valor Unitário],"&lt;="&amp;D141),AVERAGE(C141,D141))
)</f>
        <v>54.642857142857153</v>
      </c>
      <c r="F141" s="12">
        <f t="array" ref="F141">IF(OR(B141="",B141="---"),"---",TRUNC(IFERROR(MODE(IF((tabDados[Descrição Padronizada]=B141)*(tabDados[Vida Útil (meses)]&lt;&gt;""),tabDados[Vida Útil (meses)],"-")),AVERAGEIFS(tabDados[Vida Útil (meses)],tabDados[Descrição Padronizada],B141))+0.5))</f>
        <v>1</v>
      </c>
      <c r="G141" s="13">
        <f>IF(OR(B141="",B141="---"),"---",TRUNC(IFERROR(AVERAGEIFS(tabDados[Manutenção (%)],tabDados[Descrição Padronizada],B141,tabDados[Manutenção (%)],"&gt;"&amp;0),0)*10000)/10000)</f>
        <v>1.5299999999999999E-2</v>
      </c>
      <c r="H141" s="24">
        <f>IF(OR(B141="---",B141=""),"---",COUNTIF(tabDados[[#All],[Descrição Padronizada]],B141))</f>
        <v>52</v>
      </c>
      <c r="I141" s="24" t="s">
        <v>19</v>
      </c>
    </row>
    <row r="142" spans="1:9" hidden="1" x14ac:dyDescent="0.35">
      <c r="A142" s="15">
        <v>140</v>
      </c>
      <c r="B142" s="11" t="str">
        <v>removedora de cera</v>
      </c>
      <c r="C142" s="16">
        <f t="array" ref="C142">IF(B142="","---",IFERROR(
   _xlfn.PERCENTILE.INC(
      IF((tabDados[Descrição Padronizada]=B142)*(tabDados[Valor Unitário]&lt;&gt;""),
         tabDados[Valor Unitário],""
      ),
   C$1),
   _xlfn.MINIFS(tabDados[Valor Unitário],tabDados[Descrição Padronizada],B142)
))</f>
        <v>5258.2750000000005</v>
      </c>
      <c r="D142" s="16">
        <f t="array" ref="D142">IF(B142="","---",IFERROR(
   _xlfn.PERCENTILE.INC(
      IF((tabDados[Descrição Padronizada]=B142)*(tabDados[Valor Unitário]&lt;&gt;""),
         tabDados[Valor Unitário],""
      ),
   D$1),
   _xlfn.MAXIFS(tabDados[Valor Unitário],tabDados[Descrição Padronizada],B142)
))</f>
        <v>17400</v>
      </c>
      <c r="E142" s="16">
        <f>IF(OR(B142="",B142="---"),"---",
   IFERROR(AVERAGEIFS(tabDados[Valor Unitário],tabDados[Descrição Padronizada],B142,tabDados[Valor Unitário],"&gt;="&amp;C142,tabDados[Valor Unitário],"&lt;="&amp;D142),AVERAGE(C142,D142))
)</f>
        <v>10974.131666666668</v>
      </c>
      <c r="F142" s="12">
        <f t="array" ref="F142">IF(OR(B142="",B142="---"),"---",TRUNC(IFERROR(MODE(IF((tabDados[Descrição Padronizada]=B142)*(tabDados[Vida Útil (meses)]&lt;&gt;""),tabDados[Vida Útil (meses)],"-")),AVERAGEIFS(tabDados[Vida Útil (meses)],tabDados[Descrição Padronizada],B142))+0.5))</f>
        <v>60</v>
      </c>
      <c r="G142" s="13">
        <f>IF(OR(B142="",B142="---"),"---",TRUNC(IFERROR(AVERAGEIFS(tabDados[Manutenção (%)],tabDados[Descrição Padronizada],B142,tabDados[Manutenção (%)],"&gt;"&amp;0),0)*10000)/10000)</f>
        <v>1.1900000000000001E-2</v>
      </c>
      <c r="H142" s="24">
        <f>IF(OR(B142="---",B142=""),"---",COUNTIF(tabDados[[#All],[Descrição Padronizada]],B142))</f>
        <v>14</v>
      </c>
      <c r="I142" s="24" t="s">
        <v>20</v>
      </c>
    </row>
    <row r="143" spans="1:9" hidden="1" x14ac:dyDescent="0.35">
      <c r="A143" s="15">
        <v>141</v>
      </c>
      <c r="B143" s="11" t="str">
        <v>roçadeira</v>
      </c>
      <c r="C143" s="16">
        <f t="array" ref="C143">IF(B143="","---",IFERROR(
   _xlfn.PERCENTILE.INC(
      IF((tabDados[Descrição Padronizada]=B143)*(tabDados[Valor Unitário]&lt;&gt;""),
         tabDados[Valor Unitário],""
      ),
   C$1),
   _xlfn.MINIFS(tabDados[Valor Unitário],tabDados[Descrição Padronizada],B143)
))</f>
        <v>1900</v>
      </c>
      <c r="D143" s="16">
        <f t="array" ref="D143">IF(B143="","---",IFERROR(
   _xlfn.PERCENTILE.INC(
      IF((tabDados[Descrição Padronizada]=B143)*(tabDados[Valor Unitário]&lt;&gt;""),
         tabDados[Valor Unitário],""
      ),
   D$1),
   _xlfn.MAXIFS(tabDados[Valor Unitário],tabDados[Descrição Padronizada],B143)
))</f>
        <v>3512.5</v>
      </c>
      <c r="E143" s="16">
        <f>IF(OR(B143="",B143="---"),"---",
   IFERROR(AVERAGEIFS(tabDados[Valor Unitário],tabDados[Descrição Padronizada],B143,tabDados[Valor Unitário],"&gt;="&amp;C143,tabDados[Valor Unitário],"&lt;="&amp;D143),AVERAGE(C143,D143))
)</f>
        <v>2133.3333333333335</v>
      </c>
      <c r="F143" s="12">
        <f t="array" ref="F143">IF(OR(B143="",B143="---"),"---",TRUNC(IFERROR(MODE(IF((tabDados[Descrição Padronizada]=B143)*(tabDados[Vida Útil (meses)]&lt;&gt;""),tabDados[Vida Útil (meses)],"-")),AVERAGEIFS(tabDados[Vida Útil (meses)],tabDados[Descrição Padronizada],B143))+0.5))</f>
        <v>60</v>
      </c>
      <c r="G143" s="13">
        <f>IF(OR(B143="",B143="---"),"---",TRUNC(IFERROR(AVERAGEIFS(tabDados[Manutenção (%)],tabDados[Descrição Padronizada],B143,tabDados[Manutenção (%)],"&gt;"&amp;0),0)*10000)/10000)</f>
        <v>1.03E-2</v>
      </c>
      <c r="H143" s="24">
        <f>IF(OR(B143="---",B143=""),"---",COUNTIF(tabDados[[#All],[Descrição Padronizada]],B143))</f>
        <v>10</v>
      </c>
      <c r="I143" s="24" t="s">
        <v>20</v>
      </c>
    </row>
    <row r="144" spans="1:9" hidden="1" x14ac:dyDescent="0.35">
      <c r="A144" s="15">
        <v>142</v>
      </c>
      <c r="B144" s="11" t="str">
        <v>rodo 100 cm</v>
      </c>
      <c r="C144" s="16">
        <f t="array" ref="C144">IF(B144="","---",IFERROR(
   _xlfn.PERCENTILE.INC(
      IF((tabDados[Descrição Padronizada]=B144)*(tabDados[Valor Unitário]&lt;&gt;""),
         tabDados[Valor Unitário],""
      ),
   C$1),
   _xlfn.MINIFS(tabDados[Valor Unitário],tabDados[Descrição Padronizada],B144)
))</f>
        <v>17.1875</v>
      </c>
      <c r="D144" s="16">
        <f t="array" ref="D144">IF(B144="","---",IFERROR(
   _xlfn.PERCENTILE.INC(
      IF((tabDados[Descrição Padronizada]=B144)*(tabDados[Valor Unitário]&lt;&gt;""),
         tabDados[Valor Unitário],""
      ),
   D$1),
   _xlfn.MAXIFS(tabDados[Valor Unitário],tabDados[Descrição Padronizada],B144)
))</f>
        <v>19</v>
      </c>
      <c r="E144" s="16">
        <f>IF(OR(B144="",B144="---"),"---",
   IFERROR(AVERAGEIFS(tabDados[Valor Unitário],tabDados[Descrição Padronizada],B144,tabDados[Valor Unitário],"&gt;="&amp;C144,tabDados[Valor Unitário],"&lt;="&amp;D144),AVERAGE(C144,D144))
)</f>
        <v>19</v>
      </c>
      <c r="F144" s="12">
        <f t="array" ref="F144">IF(OR(B144="",B144="---"),"---",TRUNC(IFERROR(MODE(IF((tabDados[Descrição Padronizada]=B144)*(tabDados[Vida Útil (meses)]&lt;&gt;""),tabDados[Vida Útil (meses)],"-")),AVERAGEIFS(tabDados[Vida Útil (meses)],tabDados[Descrição Padronizada],B144))+0.5))</f>
        <v>12</v>
      </c>
      <c r="G144" s="13">
        <f>IF(OR(B144="",B144="---"),"---",TRUNC(IFERROR(AVERAGEIFS(tabDados[Manutenção (%)],tabDados[Descrição Padronizada],B144,tabDados[Manutenção (%)],"&gt;"&amp;0),0)*10000)/10000)</f>
        <v>0</v>
      </c>
      <c r="H144" s="24">
        <f>IF(OR(B144="---",B144=""),"---",COUNTIF(tabDados[[#All],[Descrição Padronizada]],B144))</f>
        <v>12</v>
      </c>
      <c r="I144" s="24" t="s">
        <v>20</v>
      </c>
    </row>
    <row r="145" spans="1:9" x14ac:dyDescent="0.35">
      <c r="A145" s="15">
        <v>143</v>
      </c>
      <c r="B145" s="11" t="str">
        <v>rodo 40 cm</v>
      </c>
      <c r="C145" s="16">
        <f t="array" ref="C145">IF(B145="","---",IFERROR(
   _xlfn.PERCENTILE.INC(
      IF((tabDados[Descrição Padronizada]=B145)*(tabDados[Valor Unitário]&lt;&gt;""),
         tabDados[Valor Unitário],""
      ),
   C$1),
   _xlfn.MINIFS(tabDados[Valor Unitário],tabDados[Descrição Padronizada],B145)
))</f>
        <v>13</v>
      </c>
      <c r="D145" s="16">
        <f t="array" ref="D145">IF(B145="","---",IFERROR(
   _xlfn.PERCENTILE.INC(
      IF((tabDados[Descrição Padronizada]=B145)*(tabDados[Valor Unitário]&lt;&gt;""),
         tabDados[Valor Unitário],""
      ),
   D$1),
   _xlfn.MAXIFS(tabDados[Valor Unitário],tabDados[Descrição Padronizada],B145)
))</f>
        <v>13</v>
      </c>
      <c r="E145" s="16">
        <f>IF(OR(B145="",B145="---"),"---",
   IFERROR(AVERAGEIFS(tabDados[Valor Unitário],tabDados[Descrição Padronizada],B145,tabDados[Valor Unitário],"&gt;="&amp;C145,tabDados[Valor Unitário],"&lt;="&amp;D145),AVERAGE(C145,D145))
)</f>
        <v>13</v>
      </c>
      <c r="F145" s="12">
        <f t="array" ref="F145">IF(OR(B145="",B145="---"),"---",TRUNC(IFERROR(MODE(IF((tabDados[Descrição Padronizada]=B145)*(tabDados[Vida Útil (meses)]&lt;&gt;""),tabDados[Vida Útil (meses)],"-")),AVERAGEIFS(tabDados[Vida Útil (meses)],tabDados[Descrição Padronizada],B145))+0.5))</f>
        <v>12</v>
      </c>
      <c r="G145" s="13">
        <f>IF(OR(B145="",B145="---"),"---",TRUNC(IFERROR(AVERAGEIFS(tabDados[Manutenção (%)],tabDados[Descrição Padronizada],B145,tabDados[Manutenção (%)],"&gt;"&amp;0),0)*10000)/10000)</f>
        <v>0</v>
      </c>
      <c r="H145" s="24">
        <f>IF(OR(B145="---",B145=""),"---",COUNTIF(tabDados[[#All],[Descrição Padronizada]],B145))</f>
        <v>40</v>
      </c>
      <c r="I145" s="24" t="s">
        <v>19</v>
      </c>
    </row>
    <row r="146" spans="1:9" hidden="1" x14ac:dyDescent="0.35">
      <c r="A146" s="15">
        <v>144</v>
      </c>
      <c r="B146" s="11" t="str">
        <v>rodo 45 cm</v>
      </c>
      <c r="C146" s="16">
        <f t="array" ref="C146">IF(B146="","---",IFERROR(
   _xlfn.PERCENTILE.INC(
      IF((tabDados[Descrição Padronizada]=B146)*(tabDados[Valor Unitário]&lt;&gt;""),
         tabDados[Valor Unitário],""
      ),
   C$1),
   _xlfn.MINIFS(tabDados[Valor Unitário],tabDados[Descrição Padronizada],B146)
))</f>
        <v>11.02</v>
      </c>
      <c r="D146" s="16">
        <f t="array" ref="D146">IF(B146="","---",IFERROR(
   _xlfn.PERCENTILE.INC(
      IF((tabDados[Descrição Padronizada]=B146)*(tabDados[Valor Unitário]&lt;&gt;""),
         tabDados[Valor Unitário],""
      ),
   D$1),
   _xlfn.MAXIFS(tabDados[Valor Unitário],tabDados[Descrição Padronizada],B146)
))</f>
        <v>17.060000000000002</v>
      </c>
      <c r="E146" s="16">
        <f>IF(OR(B146="",B146="---"),"---",
   IFERROR(AVERAGEIFS(tabDados[Valor Unitário],tabDados[Descrição Padronizada],B146,tabDados[Valor Unitário],"&gt;="&amp;C146,tabDados[Valor Unitário],"&lt;="&amp;D146),AVERAGE(C146,D146))
)</f>
        <v>11.02</v>
      </c>
      <c r="F146" s="12">
        <f t="array" ref="F146">IF(OR(B146="",B146="---"),"---",TRUNC(IFERROR(MODE(IF((tabDados[Descrição Padronizada]=B146)*(tabDados[Vida Útil (meses)]&lt;&gt;""),tabDados[Vida Útil (meses)],"-")),AVERAGEIFS(tabDados[Vida Útil (meses)],tabDados[Descrição Padronizada],B146))+0.5))</f>
        <v>6</v>
      </c>
      <c r="G146" s="13">
        <f>IF(OR(B146="",B146="---"),"---",TRUNC(IFERROR(AVERAGEIFS(tabDados[Manutenção (%)],tabDados[Descrição Padronizada],B146,tabDados[Manutenção (%)],"&gt;"&amp;0),0)*10000)/10000)</f>
        <v>1.67E-2</v>
      </c>
      <c r="H146" s="24">
        <f>IF(OR(B146="---",B146=""),"---",COUNTIF(tabDados[[#All],[Descrição Padronizada]],B146))</f>
        <v>3</v>
      </c>
      <c r="I146" s="24" t="s">
        <v>20</v>
      </c>
    </row>
    <row r="147" spans="1:9" x14ac:dyDescent="0.35">
      <c r="A147" s="15">
        <v>145</v>
      </c>
      <c r="B147" s="11" t="str">
        <v>rodo 60 cm</v>
      </c>
      <c r="C147" s="16">
        <f t="array" ref="C147">IF(B147="","---",IFERROR(
   _xlfn.PERCENTILE.INC(
      IF((tabDados[Descrição Padronizada]=B147)*(tabDados[Valor Unitário]&lt;&gt;""),
         tabDados[Valor Unitário],""
      ),
   C$1),
   _xlfn.MINIFS(tabDados[Valor Unitário],tabDados[Descrição Padronizada],B147)
))</f>
        <v>12.6875</v>
      </c>
      <c r="D147" s="16">
        <f t="array" ref="D147">IF(B147="","---",IFERROR(
   _xlfn.PERCENTILE.INC(
      IF((tabDados[Descrição Padronizada]=B147)*(tabDados[Valor Unitário]&lt;&gt;""),
         tabDados[Valor Unitário],""
      ),
   D$1),
   _xlfn.MAXIFS(tabDados[Valor Unitário],tabDados[Descrição Padronizada],B147)
))</f>
        <v>16</v>
      </c>
      <c r="E147" s="16">
        <f>IF(OR(B147="",B147="---"),"---",
   IFERROR(AVERAGEIFS(tabDados[Valor Unitário],tabDados[Descrição Padronizada],B147,tabDados[Valor Unitário],"&gt;="&amp;C147,tabDados[Valor Unitário],"&lt;="&amp;D147),AVERAGE(C147,D147))
)</f>
        <v>14.363636363636363</v>
      </c>
      <c r="F147" s="12">
        <f t="array" ref="F147">IF(OR(B147="",B147="---"),"---",TRUNC(IFERROR(MODE(IF((tabDados[Descrição Padronizada]=B147)*(tabDados[Vida Útil (meses)]&lt;&gt;""),tabDados[Vida Útil (meses)],"-")),AVERAGEIFS(tabDados[Vida Útil (meses)],tabDados[Descrição Padronizada],B147))+0.5))</f>
        <v>12</v>
      </c>
      <c r="G147" s="13">
        <f>IF(OR(B147="",B147="---"),"---",TRUNC(IFERROR(AVERAGEIFS(tabDados[Manutenção (%)],tabDados[Descrição Padronizada],B147,tabDados[Manutenção (%)],"&gt;"&amp;0),0)*10000)/10000)</f>
        <v>0</v>
      </c>
      <c r="H147" s="24">
        <f>IF(OR(B147="---",B147=""),"---",COUNTIF(tabDados[[#All],[Descrição Padronizada]],B147))</f>
        <v>32</v>
      </c>
      <c r="I147" s="24" t="s">
        <v>19</v>
      </c>
    </row>
    <row r="148" spans="1:9" hidden="1" x14ac:dyDescent="0.35">
      <c r="A148" s="15">
        <v>146</v>
      </c>
      <c r="B148" s="11" t="str">
        <v>rodo com propulsor</v>
      </c>
      <c r="C148" s="16">
        <f t="array" ref="C148">IF(B148="","---",IFERROR(
   _xlfn.PERCENTILE.INC(
      IF((tabDados[Descrição Padronizada]=B148)*(tabDados[Valor Unitário]&lt;&gt;""),
         tabDados[Valor Unitário],""
      ),
   C$1),
   _xlfn.MINIFS(tabDados[Valor Unitário],tabDados[Descrição Padronizada],B148)
))</f>
        <v>280</v>
      </c>
      <c r="D148" s="16">
        <f t="array" ref="D148">IF(B148="","---",IFERROR(
   _xlfn.PERCENTILE.INC(
      IF((tabDados[Descrição Padronizada]=B148)*(tabDados[Valor Unitário]&lt;&gt;""),
         tabDados[Valor Unitário],""
      ),
   D$1),
   _xlfn.MAXIFS(tabDados[Valor Unitário],tabDados[Descrição Padronizada],B148)
))</f>
        <v>544.16</v>
      </c>
      <c r="E148" s="16">
        <f>IF(OR(B148="",B148="---"),"---",
   IFERROR(AVERAGEIFS(tabDados[Valor Unitário],tabDados[Descrição Padronizada],B148,tabDados[Valor Unitário],"&gt;="&amp;C148,tabDados[Valor Unitário],"&lt;="&amp;D148),AVERAGE(C148,D148))
)</f>
        <v>511.13999999999993</v>
      </c>
      <c r="F148" s="12">
        <f t="array" ref="F148">IF(OR(B148="",B148="---"),"---",TRUNC(IFERROR(MODE(IF((tabDados[Descrição Padronizada]=B148)*(tabDados[Vida Útil (meses)]&lt;&gt;""),tabDados[Vida Útil (meses)],"-")),AVERAGEIFS(tabDados[Vida Útil (meses)],tabDados[Descrição Padronizada],B148))+0.5))</f>
        <v>60</v>
      </c>
      <c r="G148" s="13">
        <f>IF(OR(B148="",B148="---"),"---",TRUNC(IFERROR(AVERAGEIFS(tabDados[Manutenção (%)],tabDados[Descrição Padronizada],B148,tabDados[Manutenção (%)],"&gt;"&amp;0),0)*10000)/10000)</f>
        <v>1.3299999999999999E-2</v>
      </c>
      <c r="H148" s="24">
        <f>IF(OR(B148="---",B148=""),"---",COUNTIF(tabDados[[#All],[Descrição Padronizada]],B148))</f>
        <v>13</v>
      </c>
      <c r="I148" s="24" t="s">
        <v>20</v>
      </c>
    </row>
    <row r="149" spans="1:9" x14ac:dyDescent="0.35">
      <c r="A149" s="15">
        <v>147</v>
      </c>
      <c r="B149" s="11" t="str">
        <v>rodo twister</v>
      </c>
      <c r="C149" s="16">
        <f t="array" ref="C149">IF(B149="","---",IFERROR(
   _xlfn.PERCENTILE.INC(
      IF((tabDados[Descrição Padronizada]=B149)*(tabDados[Valor Unitário]&lt;&gt;""),
         tabDados[Valor Unitário],""
      ),
   C$1),
   _xlfn.MINIFS(tabDados[Valor Unitário],tabDados[Descrição Padronizada],B149)
))</f>
        <v>54.9</v>
      </c>
      <c r="D149" s="16">
        <f t="array" ref="D149">IF(B149="","---",IFERROR(
   _xlfn.PERCENTILE.INC(
      IF((tabDados[Descrição Padronizada]=B149)*(tabDados[Valor Unitário]&lt;&gt;""),
         tabDados[Valor Unitário],""
      ),
   D$1),
   _xlfn.MAXIFS(tabDados[Valor Unitário],tabDados[Descrição Padronizada],B149)
))</f>
        <v>82</v>
      </c>
      <c r="E149" s="16">
        <f>IF(OR(B149="",B149="---"),"---",
   IFERROR(AVERAGEIFS(tabDados[Valor Unitário],tabDados[Descrição Padronizada],B149,tabDados[Valor Unitário],"&gt;="&amp;C149,tabDados[Valor Unitário],"&lt;="&amp;D149),AVERAGE(C149,D149))
)</f>
        <v>70.86999999999999</v>
      </c>
      <c r="F149" s="12">
        <f t="array" ref="F149">IF(OR(B149="",B149="---"),"---",TRUNC(IFERROR(MODE(IF((tabDados[Descrição Padronizada]=B149)*(tabDados[Vida Útil (meses)]&lt;&gt;""),tabDados[Vida Útil (meses)],"-")),AVERAGEIFS(tabDados[Vida Útil (meses)],tabDados[Descrição Padronizada],B149))+0.5))</f>
        <v>60</v>
      </c>
      <c r="G149" s="13">
        <f>IF(OR(B149="",B149="---"),"---",TRUNC(IFERROR(AVERAGEIFS(tabDados[Manutenção (%)],tabDados[Descrição Padronizada],B149,tabDados[Manutenção (%)],"&gt;"&amp;0),0)*10000)/10000)</f>
        <v>1.44E-2</v>
      </c>
      <c r="H149" s="24">
        <f>IF(OR(B149="---",B149=""),"---",COUNTIF(tabDados[[#All],[Descrição Padronizada]],B149))</f>
        <v>20</v>
      </c>
      <c r="I149" s="24" t="s">
        <v>19</v>
      </c>
    </row>
    <row r="150" spans="1:9" hidden="1" x14ac:dyDescent="0.35">
      <c r="A150" s="15">
        <v>148</v>
      </c>
      <c r="B150" s="11" t="str">
        <v>secador de piso apito</v>
      </c>
      <c r="C150" s="16">
        <f t="array" ref="C150">IF(B150="","---",IFERROR(
   _xlfn.PERCENTILE.INC(
      IF((tabDados[Descrição Padronizada]=B150)*(tabDados[Valor Unitário]&lt;&gt;""),
         tabDados[Valor Unitário],""
      ),
   C$1),
   _xlfn.MINIFS(tabDados[Valor Unitário],tabDados[Descrição Padronizada],B150)
))</f>
        <v>2547.6424999999999</v>
      </c>
      <c r="D150" s="16">
        <f t="array" ref="D150">IF(B150="","---",IFERROR(
   _xlfn.PERCENTILE.INC(
      IF((tabDados[Descrição Padronizada]=B150)*(tabDados[Valor Unitário]&lt;&gt;""),
         tabDados[Valor Unitário],""
      ),
   D$1),
   _xlfn.MAXIFS(tabDados[Valor Unitário],tabDados[Descrição Padronizada],B150)
))</f>
        <v>3600.7599999999998</v>
      </c>
      <c r="E150" s="16">
        <f>IF(OR(B150="",B150="---"),"---",
   IFERROR(AVERAGEIFS(tabDados[Valor Unitário],tabDados[Descrição Padronizada],B150,tabDados[Valor Unitário],"&gt;="&amp;C150,tabDados[Valor Unitário],"&lt;="&amp;D150),AVERAGE(C150,D150))
)</f>
        <v>2998.3</v>
      </c>
      <c r="F150" s="12">
        <f t="array" ref="F150">IF(OR(B150="",B150="---"),"---",TRUNC(IFERROR(MODE(IF((tabDados[Descrição Padronizada]=B150)*(tabDados[Vida Útil (meses)]&lt;&gt;""),tabDados[Vida Útil (meses)],"-")),AVERAGEIFS(tabDados[Vida Útil (meses)],tabDados[Descrição Padronizada],B150))+0.5))</f>
        <v>60</v>
      </c>
      <c r="G150" s="13">
        <f>IF(OR(B150="",B150="---"),"---",TRUNC(IFERROR(AVERAGEIFS(tabDados[Manutenção (%)],tabDados[Descrição Padronizada],B150,tabDados[Manutenção (%)],"&gt;"&amp;0),0)*10000)/10000)</f>
        <v>1.21E-2</v>
      </c>
      <c r="H150" s="24">
        <f>IF(OR(B150="---",B150=""),"---",COUNTIF(tabDados[[#All],[Descrição Padronizada]],B150))</f>
        <v>4</v>
      </c>
      <c r="I150" s="24" t="s">
        <v>20</v>
      </c>
    </row>
    <row r="151" spans="1:9" hidden="1" x14ac:dyDescent="0.35">
      <c r="A151" s="15">
        <v>149</v>
      </c>
      <c r="B151" s="11" t="str">
        <v>secadora de roupas</v>
      </c>
      <c r="C151" s="16">
        <f t="array" ref="C151">IF(B151="","---",IFERROR(
   _xlfn.PERCENTILE.INC(
      IF((tabDados[Descrição Padronizada]=B151)*(tabDados[Valor Unitário]&lt;&gt;""),
         tabDados[Valor Unitário],""
      ),
   C$1),
   _xlfn.MINIFS(tabDados[Valor Unitário],tabDados[Descrição Padronizada],B151)
))</f>
        <v>2489.5749999999998</v>
      </c>
      <c r="D151" s="16">
        <f t="array" ref="D151">IF(B151="","---",IFERROR(
   _xlfn.PERCENTILE.INC(
      IF((tabDados[Descrição Padronizada]=B151)*(tabDados[Valor Unitário]&lt;&gt;""),
         tabDados[Valor Unitário],""
      ),
   D$1),
   _xlfn.MAXIFS(tabDados[Valor Unitário],tabDados[Descrição Padronizada],B151)
))</f>
        <v>2850</v>
      </c>
      <c r="E151" s="16">
        <f>IF(OR(B151="",B151="---"),"---",
   IFERROR(AVERAGEIFS(tabDados[Valor Unitário],tabDados[Descrição Padronizada],B151,tabDados[Valor Unitário],"&gt;="&amp;C151,tabDados[Valor Unitário],"&lt;="&amp;D151),AVERAGE(C151,D151))
)</f>
        <v>2700</v>
      </c>
      <c r="F151" s="12">
        <f t="array" ref="F151">IF(OR(B151="",B151="---"),"---",TRUNC(IFERROR(MODE(IF((tabDados[Descrição Padronizada]=B151)*(tabDados[Vida Útil (meses)]&lt;&gt;""),tabDados[Vida Útil (meses)],"-")),AVERAGEIFS(tabDados[Vida Útil (meses)],tabDados[Descrição Padronizada],B151))+0.5))</f>
        <v>48</v>
      </c>
      <c r="G151" s="13">
        <f>IF(OR(B151="",B151="---"),"---",TRUNC(IFERROR(AVERAGEIFS(tabDados[Manutenção (%)],tabDados[Descrição Padronizada],B151,tabDados[Manutenção (%)],"&gt;"&amp;0),0)*10000)/10000)</f>
        <v>1.5800000000000002E-2</v>
      </c>
      <c r="H151" s="24">
        <f>IF(OR(B151="---",B151=""),"---",COUNTIF(tabDados[[#All],[Descrição Padronizada]],B151))</f>
        <v>3</v>
      </c>
      <c r="I151" s="24" t="s">
        <v>20</v>
      </c>
    </row>
    <row r="152" spans="1:9" x14ac:dyDescent="0.35">
      <c r="A152" s="15">
        <v>150</v>
      </c>
      <c r="B152" s="11" t="str">
        <v>soprador de folhas</v>
      </c>
      <c r="C152" s="16">
        <f t="array" ref="C152">IF(B152="","---",IFERROR(
   _xlfn.PERCENTILE.INC(
      IF((tabDados[Descrição Padronizada]=B152)*(tabDados[Valor Unitário]&lt;&gt;""),
         tabDados[Valor Unitário],""
      ),
   C$1),
   _xlfn.MINIFS(tabDados[Valor Unitário],tabDados[Descrição Padronizada],B152)
))</f>
        <v>1544.45</v>
      </c>
      <c r="D152" s="16">
        <f t="array" ref="D152">IF(B152="","---",IFERROR(
   _xlfn.PERCENTILE.INC(
      IF((tabDados[Descrição Padronizada]=B152)*(tabDados[Valor Unitário]&lt;&gt;""),
         tabDados[Valor Unitário],""
      ),
   D$1),
   _xlfn.MAXIFS(tabDados[Valor Unitário],tabDados[Descrição Padronizada],B152)
))</f>
        <v>3392.5</v>
      </c>
      <c r="E152" s="16">
        <f>IF(OR(B152="",B152="---"),"---",
   IFERROR(AVERAGEIFS(tabDados[Valor Unitário],tabDados[Descrição Padronizada],B152,tabDados[Valor Unitário],"&gt;="&amp;C152,tabDados[Valor Unitário],"&lt;="&amp;D152),AVERAGE(C152,D152))
)</f>
        <v>2336.0899999999997</v>
      </c>
      <c r="F152" s="12">
        <f t="array" ref="F152">IF(OR(B152="",B152="---"),"---",TRUNC(IFERROR(MODE(IF((tabDados[Descrição Padronizada]=B152)*(tabDados[Vida Útil (meses)]&lt;&gt;""),tabDados[Vida Útil (meses)],"-")),AVERAGEIFS(tabDados[Vida Útil (meses)],tabDados[Descrição Padronizada],B152))+0.5))</f>
        <v>60</v>
      </c>
      <c r="G152" s="13">
        <f>IF(OR(B152="",B152="---"),"---",TRUNC(IFERROR(AVERAGEIFS(tabDados[Manutenção (%)],tabDados[Descrição Padronizada],B152,tabDados[Manutenção (%)],"&gt;"&amp;0),0)*10000)/10000)</f>
        <v>1.38E-2</v>
      </c>
      <c r="H152" s="24">
        <f>IF(OR(B152="---",B152=""),"---",COUNTIF(tabDados[[#All],[Descrição Padronizada]],B152))</f>
        <v>52</v>
      </c>
      <c r="I152" s="24" t="s">
        <v>19</v>
      </c>
    </row>
    <row r="153" spans="1:9" x14ac:dyDescent="0.35">
      <c r="A153" s="15">
        <v>151</v>
      </c>
      <c r="B153" s="11" t="str">
        <v>suporte limpa tudo</v>
      </c>
      <c r="C153" s="16">
        <f t="array" ref="C153">IF(B153="","---",IFERROR(
   _xlfn.PERCENTILE.INC(
      IF((tabDados[Descrição Padronizada]=B153)*(tabDados[Valor Unitário]&lt;&gt;""),
         tabDados[Valor Unitário],""
      ),
   C$1),
   _xlfn.MINIFS(tabDados[Valor Unitário],tabDados[Descrição Padronizada],B153)
))</f>
        <v>28.5</v>
      </c>
      <c r="D153" s="16">
        <f t="array" ref="D153">IF(B153="","---",IFERROR(
   _xlfn.PERCENTILE.INC(
      IF((tabDados[Descrição Padronizada]=B153)*(tabDados[Valor Unitário]&lt;&gt;""),
         tabDados[Valor Unitário],""
      ),
   D$1),
   _xlfn.MAXIFS(tabDados[Valor Unitário],tabDados[Descrição Padronizada],B153)
))</f>
        <v>55</v>
      </c>
      <c r="E153" s="16">
        <f>IF(OR(B153="",B153="---"),"---",
   IFERROR(AVERAGEIFS(tabDados[Valor Unitário],tabDados[Descrição Padronizada],B153,tabDados[Valor Unitário],"&gt;="&amp;C153,tabDados[Valor Unitário],"&lt;="&amp;D153),AVERAGE(C153,D153))
)</f>
        <v>47.341641791044772</v>
      </c>
      <c r="F153" s="12">
        <f t="array" ref="F153">IF(OR(B153="",B153="---"),"---",TRUNC(IFERROR(MODE(IF((tabDados[Descrição Padronizada]=B153)*(tabDados[Vida Útil (meses)]&lt;&gt;""),tabDados[Vida Útil (meses)],"-")),AVERAGEIFS(tabDados[Vida Útil (meses)],tabDados[Descrição Padronizada],B153))+0.5))</f>
        <v>24</v>
      </c>
      <c r="G153" s="13">
        <f>IF(OR(B153="",B153="---"),"---",TRUNC(IFERROR(AVERAGEIFS(tabDados[Manutenção (%)],tabDados[Descrição Padronizada],B153,tabDados[Manutenção (%)],"&gt;"&amp;0),0)*10000)/10000)</f>
        <v>1.8499999999999999E-2</v>
      </c>
      <c r="H153" s="24">
        <f>IF(OR(B153="---",B153=""),"---",COUNTIF(tabDados[[#All],[Descrição Padronizada]],B153))</f>
        <v>105</v>
      </c>
      <c r="I153" s="24" t="s">
        <v>19</v>
      </c>
    </row>
    <row r="154" spans="1:9" hidden="1" x14ac:dyDescent="0.35">
      <c r="A154" s="15">
        <v>152</v>
      </c>
      <c r="B154" s="11" t="str">
        <v>suporte manual para refis em velcro</v>
      </c>
      <c r="C154" s="16">
        <f t="array" ref="C154">IF(B154="","---",IFERROR(
   _xlfn.PERCENTILE.INC(
      IF((tabDados[Descrição Padronizada]=B154)*(tabDados[Valor Unitário]&lt;&gt;""),
         tabDados[Valor Unitário],""
      ),
   C$1),
   _xlfn.MINIFS(tabDados[Valor Unitário],tabDados[Descrição Padronizada],B154)
))</f>
        <v>92.5</v>
      </c>
      <c r="D154" s="16">
        <f t="array" ref="D154">IF(B154="","---",IFERROR(
   _xlfn.PERCENTILE.INC(
      IF((tabDados[Descrição Padronizada]=B154)*(tabDados[Valor Unitário]&lt;&gt;""),
         tabDados[Valor Unitário],""
      ),
   D$1),
   _xlfn.MAXIFS(tabDados[Valor Unitário],tabDados[Descrição Padronizada],B154)
))</f>
        <v>130</v>
      </c>
      <c r="E154" s="16">
        <f>IF(OR(B154="",B154="---"),"---",
   IFERROR(AVERAGEIFS(tabDados[Valor Unitário],tabDados[Descrição Padronizada],B154,tabDados[Valor Unitário],"&gt;="&amp;C154,tabDados[Valor Unitário],"&lt;="&amp;D154),AVERAGE(C154,D154))
)</f>
        <v>130</v>
      </c>
      <c r="F154" s="12">
        <f t="array" ref="F154">IF(OR(B154="",B154="---"),"---",TRUNC(IFERROR(MODE(IF((tabDados[Descrição Padronizada]=B154)*(tabDados[Vida Útil (meses)]&lt;&gt;""),tabDados[Vida Útil (meses)],"-")),AVERAGEIFS(tabDados[Vida Útil (meses)],tabDados[Descrição Padronizada],B154))+0.5))</f>
        <v>60</v>
      </c>
      <c r="G154" s="13">
        <f>IF(OR(B154="",B154="---"),"---",TRUNC(IFERROR(AVERAGEIFS(tabDados[Manutenção (%)],tabDados[Descrição Padronizada],B154,tabDados[Manutenção (%)],"&gt;"&amp;0),0)*10000)/10000)</f>
        <v>1.3299999999999999E-2</v>
      </c>
      <c r="H154" s="24">
        <f>IF(OR(B154="---",B154=""),"---",COUNTIF(tabDados[[#All],[Descrição Padronizada]],B154))</f>
        <v>10</v>
      </c>
      <c r="I154" s="24" t="s">
        <v>20</v>
      </c>
    </row>
    <row r="155" spans="1:9" hidden="1" x14ac:dyDescent="0.35">
      <c r="A155" s="15">
        <v>153</v>
      </c>
      <c r="B155" s="11" t="str">
        <v>suporte para mop água</v>
      </c>
      <c r="C155" s="16">
        <f t="array" ref="C155">IF(B155="","---",IFERROR(
   _xlfn.PERCENTILE.INC(
      IF((tabDados[Descrição Padronizada]=B155)*(tabDados[Valor Unitário]&lt;&gt;""),
         tabDados[Valor Unitário],""
      ),
   C$1),
   _xlfn.MINIFS(tabDados[Valor Unitário],tabDados[Descrição Padronizada],B155)
))</f>
        <v>19.100000000000001</v>
      </c>
      <c r="D155" s="16">
        <f t="array" ref="D155">IF(B155="","---",IFERROR(
   _xlfn.PERCENTILE.INC(
      IF((tabDados[Descrição Padronizada]=B155)*(tabDados[Valor Unitário]&lt;&gt;""),
         tabDados[Valor Unitário],""
      ),
   D$1),
   _xlfn.MAXIFS(tabDados[Valor Unitário],tabDados[Descrição Padronizada],B155)
))</f>
        <v>61</v>
      </c>
      <c r="E155" s="16">
        <f>IF(OR(B155="",B155="---"),"---",
   IFERROR(AVERAGEIFS(tabDados[Valor Unitário],tabDados[Descrição Padronizada],B155,tabDados[Valor Unitário],"&gt;="&amp;C155,tabDados[Valor Unitário],"&lt;="&amp;D155),AVERAGE(C155,D155))
)</f>
        <v>32.5</v>
      </c>
      <c r="F155" s="12">
        <f t="array" ref="F155">IF(OR(B155="",B155="---"),"---",TRUNC(IFERROR(MODE(IF((tabDados[Descrição Padronizada]=B155)*(tabDados[Vida Útil (meses)]&lt;&gt;""),tabDados[Vida Útil (meses)],"-")),AVERAGEIFS(tabDados[Vida Útil (meses)],tabDados[Descrição Padronizada],B155))+0.5))</f>
        <v>24</v>
      </c>
      <c r="G155" s="13">
        <f>IF(OR(B155="",B155="---"),"---",TRUNC(IFERROR(AVERAGEIFS(tabDados[Manutenção (%)],tabDados[Descrição Padronizada],B155,tabDados[Manutenção (%)],"&gt;"&amp;0),0)*10000)/10000)</f>
        <v>1.67E-2</v>
      </c>
      <c r="H155" s="24">
        <f>IF(OR(B155="---",B155=""),"---",COUNTIF(tabDados[[#All],[Descrição Padronizada]],B155))</f>
        <v>3</v>
      </c>
      <c r="I155" s="24" t="s">
        <v>20</v>
      </c>
    </row>
    <row r="156" spans="1:9" hidden="1" x14ac:dyDescent="0.35">
      <c r="A156" s="15">
        <v>154</v>
      </c>
      <c r="B156" s="11" t="str">
        <v>suporte para mop pó</v>
      </c>
      <c r="C156" s="16">
        <f t="array" ref="C156">IF(B156="","---",IFERROR(
   _xlfn.PERCENTILE.INC(
      IF((tabDados[Descrição Padronizada]=B156)*(tabDados[Valor Unitário]&lt;&gt;""),
         tabDados[Valor Unitário],""
      ),
   C$1),
   _xlfn.MINIFS(tabDados[Valor Unitário],tabDados[Descrição Padronizada],B156)
))</f>
        <v>33.520000000000003</v>
      </c>
      <c r="D156" s="16">
        <f t="array" ref="D156">IF(B156="","---",IFERROR(
   _xlfn.PERCENTILE.INC(
      IF((tabDados[Descrição Padronizada]=B156)*(tabDados[Valor Unitário]&lt;&gt;""),
         tabDados[Valor Unitário],""
      ),
   D$1),
   _xlfn.MAXIFS(tabDados[Valor Unitário],tabDados[Descrição Padronizada],B156)
))</f>
        <v>42.524999999999999</v>
      </c>
      <c r="E156" s="16">
        <f>IF(OR(B156="",B156="---"),"---",
   IFERROR(AVERAGEIFS(tabDados[Valor Unitário],tabDados[Descrição Padronizada],B156,tabDados[Valor Unitário],"&gt;="&amp;C156,tabDados[Valor Unitário],"&lt;="&amp;D156),AVERAGE(C156,D156))
)</f>
        <v>34.4</v>
      </c>
      <c r="F156" s="12">
        <f t="array" ref="F156">IF(OR(B156="",B156="---"),"---",TRUNC(IFERROR(MODE(IF((tabDados[Descrição Padronizada]=B156)*(tabDados[Vida Útil (meses)]&lt;&gt;""),tabDados[Vida Útil (meses)],"-")),AVERAGEIFS(tabDados[Vida Útil (meses)],tabDados[Descrição Padronizada],B156))+0.5))</f>
        <v>36</v>
      </c>
      <c r="G156" s="13">
        <f>IF(OR(B156="",B156="---"),"---",TRUNC(IFERROR(AVERAGEIFS(tabDados[Manutenção (%)],tabDados[Descrição Padronizada],B156,tabDados[Manutenção (%)],"&gt;"&amp;0),0)*10000)/10000)</f>
        <v>1.3299999999999999E-2</v>
      </c>
      <c r="H156" s="24">
        <f>IF(OR(B156="---",B156=""),"---",COUNTIF(tabDados[[#All],[Descrição Padronizada]],B156))</f>
        <v>18</v>
      </c>
      <c r="I156" s="24" t="s">
        <v>20</v>
      </c>
    </row>
    <row r="157" spans="1:9" hidden="1" x14ac:dyDescent="0.35">
      <c r="A157" s="15">
        <v>155</v>
      </c>
      <c r="B157" s="11" t="str">
        <v>tanque de água em gaiola</v>
      </c>
      <c r="C157" s="16">
        <f t="array" ref="C157">IF(B157="","---",IFERROR(
   _xlfn.PERCENTILE.INC(
      IF((tabDados[Descrição Padronizada]=B157)*(tabDados[Valor Unitário]&lt;&gt;""),
         tabDados[Valor Unitário],""
      ),
   C$1),
   _xlfn.MINIFS(tabDados[Valor Unitário],tabDados[Descrição Padronizada],B157)
))</f>
        <v>300</v>
      </c>
      <c r="D157" s="16">
        <f t="array" ref="D157">IF(B157="","---",IFERROR(
   _xlfn.PERCENTILE.INC(
      IF((tabDados[Descrição Padronizada]=B157)*(tabDados[Valor Unitário]&lt;&gt;""),
         tabDados[Valor Unitário],""
      ),
   D$1),
   _xlfn.MAXIFS(tabDados[Valor Unitário],tabDados[Descrição Padronizada],B157)
))</f>
        <v>457.5</v>
      </c>
      <c r="E157" s="16">
        <f>IF(OR(B157="",B157="---"),"---",
   IFERROR(AVERAGEIFS(tabDados[Valor Unitário],tabDados[Descrição Padronizada],B157,tabDados[Valor Unitário],"&gt;="&amp;C157,tabDados[Valor Unitário],"&lt;="&amp;D157),AVERAGE(C157,D157))
)</f>
        <v>350</v>
      </c>
      <c r="F157" s="12">
        <f t="array" ref="F157">IF(OR(B157="",B157="---"),"---",TRUNC(IFERROR(MODE(IF((tabDados[Descrição Padronizada]=B157)*(tabDados[Vida Útil (meses)]&lt;&gt;""),tabDados[Vida Útil (meses)],"-")),AVERAGEIFS(tabDados[Vida Útil (meses)],tabDados[Descrição Padronizada],B157))+0.5))</f>
        <v>36</v>
      </c>
      <c r="G157" s="13">
        <f>IF(OR(B157="",B157="---"),"---",TRUNC(IFERROR(AVERAGEIFS(tabDados[Manutenção (%)],tabDados[Descrição Padronizada],B157,tabDados[Manutenção (%)],"&gt;"&amp;0),0)*10000)/10000)</f>
        <v>0</v>
      </c>
      <c r="H157" s="24">
        <f>IF(OR(B157="---",B157=""),"---",COUNTIF(tabDados[[#All],[Descrição Padronizada]],B157))</f>
        <v>12</v>
      </c>
      <c r="I157" s="24" t="s">
        <v>20</v>
      </c>
    </row>
    <row r="158" spans="1:9" hidden="1" x14ac:dyDescent="0.35">
      <c r="A158" s="15">
        <v>156</v>
      </c>
      <c r="B158" s="11" t="str">
        <v>tanquinho</v>
      </c>
      <c r="C158" s="16">
        <f t="array" ref="C158">IF(B158="","---",IFERROR(
   _xlfn.PERCENTILE.INC(
      IF((tabDados[Descrição Padronizada]=B158)*(tabDados[Valor Unitário]&lt;&gt;""),
         tabDados[Valor Unitário],""
      ),
   C$1),
   _xlfn.MINIFS(tabDados[Valor Unitário],tabDados[Descrição Padronizada],B158)
))</f>
        <v>1303.2750000000001</v>
      </c>
      <c r="D158" s="16">
        <f t="array" ref="D158">IF(B158="","---",IFERROR(
   _xlfn.PERCENTILE.INC(
      IF((tabDados[Descrição Padronizada]=B158)*(tabDados[Valor Unitário]&lt;&gt;""),
         tabDados[Valor Unitário],""
      ),
   D$1),
   _xlfn.MAXIFS(tabDados[Valor Unitário],tabDados[Descrição Padronizada],B158)
))</f>
        <v>1737.75</v>
      </c>
      <c r="E158" s="16">
        <f>IF(OR(B158="",B158="---"),"---",
   IFERROR(AVERAGEIFS(tabDados[Valor Unitário],tabDados[Descrição Padronizada],B158,tabDados[Valor Unitário],"&gt;="&amp;C158,tabDados[Valor Unitário],"&lt;="&amp;D158),AVERAGE(C158,D158))
)</f>
        <v>1500</v>
      </c>
      <c r="F158" s="12">
        <f t="array" ref="F158">IF(OR(B158="",B158="---"),"---",TRUNC(IFERROR(MODE(IF((tabDados[Descrição Padronizada]=B158)*(tabDados[Vida Útil (meses)]&lt;&gt;""),tabDados[Vida Útil (meses)],"-")),AVERAGEIFS(tabDados[Vida Útil (meses)],tabDados[Descrição Padronizada],B158))+0.5))</f>
        <v>60</v>
      </c>
      <c r="G158" s="13">
        <f>IF(OR(B158="",B158="---"),"---",TRUNC(IFERROR(AVERAGEIFS(tabDados[Manutenção (%)],tabDados[Descrição Padronizada],B158,tabDados[Manutenção (%)],"&gt;"&amp;0),0)*10000)/10000)</f>
        <v>0.01</v>
      </c>
      <c r="H158" s="24">
        <f>IF(OR(B158="---",B158=""),"---",COUNTIF(tabDados[[#All],[Descrição Padronizada]],B158))</f>
        <v>4</v>
      </c>
      <c r="I158" s="24" t="s">
        <v>20</v>
      </c>
    </row>
    <row r="159" spans="1:9" x14ac:dyDescent="0.35">
      <c r="A159" s="15">
        <v>157</v>
      </c>
      <c r="B159" s="11" t="str">
        <v>triciclo</v>
      </c>
      <c r="C159" s="16">
        <f t="array" ref="C159">IF(B159="","---",IFERROR(
   _xlfn.PERCENTILE.INC(
      IF((tabDados[Descrição Padronizada]=B159)*(tabDados[Valor Unitário]&lt;&gt;""),
         tabDados[Valor Unitário],""
      ),
   C$1),
   _xlfn.MINIFS(tabDados[Valor Unitário],tabDados[Descrição Padronizada],B159)
))</f>
        <v>1500</v>
      </c>
      <c r="D159" s="16">
        <f t="array" ref="D159">IF(B159="","---",IFERROR(
   _xlfn.PERCENTILE.INC(
      IF((tabDados[Descrição Padronizada]=B159)*(tabDados[Valor Unitário]&lt;&gt;""),
         tabDados[Valor Unitário],""
      ),
   D$1),
   _xlfn.MAXIFS(tabDados[Valor Unitário],tabDados[Descrição Padronizada],B159)
))</f>
        <v>2924.25</v>
      </c>
      <c r="E159" s="16">
        <f>IF(OR(B159="",B159="---"),"---",
   IFERROR(AVERAGEIFS(tabDados[Valor Unitário],tabDados[Descrição Padronizada],B159,tabDados[Valor Unitário],"&gt;="&amp;C159,tabDados[Valor Unitário],"&lt;="&amp;D159),AVERAGE(C159,D159))
)</f>
        <v>1809.8333333333333</v>
      </c>
      <c r="F159" s="12">
        <f t="array" ref="F159">IF(OR(B159="",B159="---"),"---",TRUNC(IFERROR(MODE(IF((tabDados[Descrição Padronizada]=B159)*(tabDados[Vida Útil (meses)]&lt;&gt;""),tabDados[Vida Útil (meses)],"-")),AVERAGEIFS(tabDados[Vida Útil (meses)],tabDados[Descrição Padronizada],B159))+0.5))</f>
        <v>36</v>
      </c>
      <c r="G159" s="13">
        <f>IF(OR(B159="",B159="---"),"---",TRUNC(IFERROR(AVERAGEIFS(tabDados[Manutenção (%)],tabDados[Descrição Padronizada],B159,tabDados[Manutenção (%)],"&gt;"&amp;0),0)*10000)/10000)</f>
        <v>0</v>
      </c>
      <c r="H159" s="24">
        <f>IF(OR(B159="---",B159=""),"---",COUNTIF(tabDados[[#All],[Descrição Padronizada]],B159))</f>
        <v>24</v>
      </c>
      <c r="I159" s="24" t="s">
        <v>19</v>
      </c>
    </row>
    <row r="160" spans="1:9" hidden="1" x14ac:dyDescent="0.35">
      <c r="A160" s="15">
        <v>158</v>
      </c>
      <c r="B160" s="11" t="str">
        <v>varal de chão</v>
      </c>
      <c r="C160" s="16">
        <f t="array" ref="C160">IF(B160="","---",IFERROR(
   _xlfn.PERCENTILE.INC(
      IF((tabDados[Descrição Padronizada]=B160)*(tabDados[Valor Unitário]&lt;&gt;""),
         tabDados[Valor Unitário],""
      ),
   C$1),
   _xlfn.MINIFS(tabDados[Valor Unitário],tabDados[Descrição Padronizada],B160)
))</f>
        <v>78.98</v>
      </c>
      <c r="D160" s="16">
        <f t="array" ref="D160">IF(B160="","---",IFERROR(
   _xlfn.PERCENTILE.INC(
      IF((tabDados[Descrição Padronizada]=B160)*(tabDados[Valor Unitário]&lt;&gt;""),
         tabDados[Valor Unitário],""
      ),
   D$1),
   _xlfn.MAXIFS(tabDados[Valor Unitário],tabDados[Descrição Padronizada],B160)
))</f>
        <v>86.944999999999993</v>
      </c>
      <c r="E160" s="16">
        <f>IF(OR(B160="",B160="---"),"---",
   IFERROR(AVERAGEIFS(tabDados[Valor Unitário],tabDados[Descrição Padronizada],B160,tabDados[Valor Unitário],"&gt;="&amp;C160,tabDados[Valor Unitário],"&lt;="&amp;D160),AVERAGE(C160,D160))
)</f>
        <v>78.98</v>
      </c>
      <c r="F160" s="12">
        <f t="array" ref="F160">IF(OR(B160="",B160="---"),"---",TRUNC(IFERROR(MODE(IF((tabDados[Descrição Padronizada]=B160)*(tabDados[Vida Útil (meses)]&lt;&gt;""),tabDados[Vida Útil (meses)],"-")),AVERAGEIFS(tabDados[Vida Útil (meses)],tabDados[Descrição Padronizada],B160))+0.5))</f>
        <v>36</v>
      </c>
      <c r="G160" s="13">
        <f>IF(OR(B160="",B160="---"),"---",TRUNC(IFERROR(AVERAGEIFS(tabDados[Manutenção (%)],tabDados[Descrição Padronizada],B160,tabDados[Manutenção (%)],"&gt;"&amp;0),0)*10000)/10000)</f>
        <v>1.67E-2</v>
      </c>
      <c r="H160" s="24">
        <f>IF(OR(B160="---",B160=""),"---",COUNTIF(tabDados[[#All],[Descrição Padronizada]],B160))</f>
        <v>6</v>
      </c>
      <c r="I160" s="24" t="s">
        <v>20</v>
      </c>
    </row>
    <row r="161" spans="1:9" hidden="1" x14ac:dyDescent="0.35">
      <c r="A161" s="15">
        <v>159</v>
      </c>
      <c r="B161" s="11" t="str">
        <v>varredeira de escada</v>
      </c>
      <c r="C161" s="16">
        <f t="array" ref="C161">IF(B161="","---",IFERROR(
   _xlfn.PERCENTILE.INC(
      IF((tabDados[Descrição Padronizada]=B161)*(tabDados[Valor Unitário]&lt;&gt;""),
         tabDados[Valor Unitário],""
      ),
   C$1),
   _xlfn.MINIFS(tabDados[Valor Unitário],tabDados[Descrição Padronizada],B161)
))</f>
        <v>12700</v>
      </c>
      <c r="D161" s="16">
        <f t="array" ref="D161">IF(B161="","---",IFERROR(
   _xlfn.PERCENTILE.INC(
      IF((tabDados[Descrição Padronizada]=B161)*(tabDados[Valor Unitário]&lt;&gt;""),
         tabDados[Valor Unitário],""
      ),
   D$1),
   _xlfn.MAXIFS(tabDados[Valor Unitário],tabDados[Descrição Padronizada],B161)
))</f>
        <v>12700</v>
      </c>
      <c r="E161" s="16">
        <f>IF(OR(B161="",B161="---"),"---",
   IFERROR(AVERAGEIFS(tabDados[Valor Unitário],tabDados[Descrição Padronizada],B161,tabDados[Valor Unitário],"&gt;="&amp;C161,tabDados[Valor Unitário],"&lt;="&amp;D161),AVERAGE(C161,D161))
)</f>
        <v>12700</v>
      </c>
      <c r="F161" s="12">
        <f t="array" ref="F161">IF(OR(B161="",B161="---"),"---",TRUNC(IFERROR(MODE(IF((tabDados[Descrição Padronizada]=B161)*(tabDados[Vida Útil (meses)]&lt;&gt;""),tabDados[Vida Útil (meses)],"-")),AVERAGEIFS(tabDados[Vida Útil (meses)],tabDados[Descrição Padronizada],B161))+0.5))</f>
        <v>60</v>
      </c>
      <c r="G161" s="13">
        <f>IF(OR(B161="",B161="---"),"---",TRUNC(IFERROR(AVERAGEIFS(tabDados[Manutenção (%)],tabDados[Descrição Padronizada],B161,tabDados[Manutenção (%)],"&gt;"&amp;0),0)*10000)/10000)</f>
        <v>1.67E-2</v>
      </c>
      <c r="H161" s="24">
        <f>IF(OR(B161="---",B161=""),"---",COUNTIF(tabDados[[#All],[Descrição Padronizada]],B161))</f>
        <v>1</v>
      </c>
      <c r="I161" s="24" t="s">
        <v>20</v>
      </c>
    </row>
    <row r="162" spans="1:9" x14ac:dyDescent="0.35">
      <c r="A162" s="15">
        <v>160</v>
      </c>
      <c r="B162" s="11" t="str">
        <v>varredeira manual</v>
      </c>
      <c r="C162" s="16">
        <f t="array" ref="C162">IF(B162="","---",IFERROR(
   _xlfn.PERCENTILE.INC(
      IF((tabDados[Descrição Padronizada]=B162)*(tabDados[Valor Unitário]&lt;&gt;""),
         tabDados[Valor Unitário],""
      ),
   C$1),
   _xlfn.MINIFS(tabDados[Valor Unitário],tabDados[Descrição Padronizada],B162)
))</f>
        <v>2582.75</v>
      </c>
      <c r="D162" s="16">
        <f t="array" ref="D162">IF(B162="","---",IFERROR(
   _xlfn.PERCENTILE.INC(
      IF((tabDados[Descrição Padronizada]=B162)*(tabDados[Valor Unitário]&lt;&gt;""),
         tabDados[Valor Unitário],""
      ),
   D$1),
   _xlfn.MAXIFS(tabDados[Valor Unitário],tabDados[Descrição Padronizada],B162)
))</f>
        <v>4453.05</v>
      </c>
      <c r="E162" s="16">
        <f>IF(OR(B162="",B162="---"),"---",
   IFERROR(AVERAGEIFS(tabDados[Valor Unitário],tabDados[Descrição Padronizada],B162,tabDados[Valor Unitário],"&gt;="&amp;C162,tabDados[Valor Unitário],"&lt;="&amp;D162),AVERAGE(C162,D162))
)</f>
        <v>3612.0769230769229</v>
      </c>
      <c r="F162" s="12">
        <f t="array" ref="F162">IF(OR(B162="",B162="---"),"---",TRUNC(IFERROR(MODE(IF((tabDados[Descrição Padronizada]=B162)*(tabDados[Vida Útil (meses)]&lt;&gt;""),tabDados[Vida Útil (meses)],"-")),AVERAGEIFS(tabDados[Vida Útil (meses)],tabDados[Descrição Padronizada],B162))+0.5))</f>
        <v>60</v>
      </c>
      <c r="G162" s="13">
        <f>IF(OR(B162="",B162="---"),"---",TRUNC(IFERROR(AVERAGEIFS(tabDados[Manutenção (%)],tabDados[Descrição Padronizada],B162,tabDados[Manutenção (%)],"&gt;"&amp;0),0)*10000)/10000)</f>
        <v>1.0800000000000001E-2</v>
      </c>
      <c r="H162" s="24">
        <f>IF(OR(B162="---",B162=""),"---",COUNTIF(tabDados[[#All],[Descrição Padronizada]],B162))</f>
        <v>27</v>
      </c>
      <c r="I162" s="24" t="s">
        <v>19</v>
      </c>
    </row>
    <row r="163" spans="1:9" hidden="1" x14ac:dyDescent="0.35">
      <c r="A163" s="15">
        <v>161</v>
      </c>
      <c r="B163" s="11" t="str">
        <v>varredeira tripulada</v>
      </c>
      <c r="C163" s="16">
        <f t="array" ref="C163">IF(B163="","---",IFERROR(
   _xlfn.PERCENTILE.INC(
      IF((tabDados[Descrição Padronizada]=B163)*(tabDados[Valor Unitário]&lt;&gt;""),
         tabDados[Valor Unitário],""
      ),
   C$1),
   _xlfn.MINIFS(tabDados[Valor Unitário],tabDados[Descrição Padronizada],B163)
))</f>
        <v>7469.1549999999997</v>
      </c>
      <c r="D163" s="16">
        <f t="array" ref="D163">IF(B163="","---",IFERROR(
   _xlfn.PERCENTILE.INC(
      IF((tabDados[Descrição Padronizada]=B163)*(tabDados[Valor Unitário]&lt;&gt;""),
         tabDados[Valor Unitário],""
      ),
   D$1),
   _xlfn.MAXIFS(tabDados[Valor Unitário],tabDados[Descrição Padronizada],B163)
))</f>
        <v>67289.45</v>
      </c>
      <c r="E163" s="16">
        <f>IF(OR(B163="",B163="---"),"---",
   IFERROR(AVERAGEIFS(tabDados[Valor Unitário],tabDados[Descrição Padronizada],B163,tabDados[Valor Unitário],"&gt;="&amp;C163,tabDados[Valor Unitário],"&lt;="&amp;D163),AVERAGE(C163,D163))
)</f>
        <v>53146.44</v>
      </c>
      <c r="F163" s="12">
        <f t="array" ref="F163">IF(OR(B163="",B163="---"),"---",TRUNC(IFERROR(MODE(IF((tabDados[Descrição Padronizada]=B163)*(tabDados[Vida Útil (meses)]&lt;&gt;""),tabDados[Vida Útil (meses)],"-")),AVERAGEIFS(tabDados[Vida Útil (meses)],tabDados[Descrição Padronizada],B163))+0.5))</f>
        <v>60</v>
      </c>
      <c r="G163" s="13">
        <f>IF(OR(B163="",B163="---"),"---",TRUNC(IFERROR(AVERAGEIFS(tabDados[Manutenção (%)],tabDados[Descrição Padronizada],B163,tabDados[Manutenção (%)],"&gt;"&amp;0),0)*10000)/10000)</f>
        <v>8.8000000000000005E-3</v>
      </c>
      <c r="H163" s="24">
        <f>IF(OR(B163="---",B163=""),"---",COUNTIF(tabDados[[#All],[Descrição Padronizada]],B163))</f>
        <v>19</v>
      </c>
      <c r="I163" s="24" t="s">
        <v>20</v>
      </c>
    </row>
    <row r="164" spans="1:9" x14ac:dyDescent="0.35">
      <c r="A164" s="15">
        <v>162</v>
      </c>
      <c r="B164" s="11" t="str">
        <v>vassoura de teto</v>
      </c>
      <c r="C164" s="16">
        <f t="array" ref="C164">IF(B164="","---",IFERROR(
   _xlfn.PERCENTILE.INC(
      IF((tabDados[Descrição Padronizada]=B164)*(tabDados[Valor Unitário]&lt;&gt;""),
         tabDados[Valor Unitário],""
      ),
   C$1),
   _xlfn.MINIFS(tabDados[Valor Unitário],tabDados[Descrição Padronizada],B164)
))</f>
        <v>15</v>
      </c>
      <c r="D164" s="16">
        <f t="array" ref="D164">IF(B164="","---",IFERROR(
   _xlfn.PERCENTILE.INC(
      IF((tabDados[Descrição Padronizada]=B164)*(tabDados[Valor Unitário]&lt;&gt;""),
         tabDados[Valor Unitário],""
      ),
   D$1),
   _xlfn.MAXIFS(tabDados[Valor Unitário],tabDados[Descrição Padronizada],B164)
))</f>
        <v>48.16</v>
      </c>
      <c r="E164" s="16">
        <f>IF(OR(B164="",B164="---"),"---",
   IFERROR(AVERAGEIFS(tabDados[Valor Unitário],tabDados[Descrição Padronizada],B164,tabDados[Valor Unitário],"&gt;="&amp;C164,tabDados[Valor Unitário],"&lt;="&amp;D164),AVERAGE(C164,D164))
)</f>
        <v>24.985555555555553</v>
      </c>
      <c r="F164" s="12">
        <f t="array" ref="F164">IF(OR(B164="",B164="---"),"---",TRUNC(IFERROR(MODE(IF((tabDados[Descrição Padronizada]=B164)*(tabDados[Vida Útil (meses)]&lt;&gt;""),tabDados[Vida Útil (meses)],"-")),AVERAGEIFS(tabDados[Vida Útil (meses)],tabDados[Descrição Padronizada],B164))+0.5))</f>
        <v>24</v>
      </c>
      <c r="G164" s="13">
        <f>IF(OR(B164="",B164="---"),"---",TRUNC(IFERROR(AVERAGEIFS(tabDados[Manutenção (%)],tabDados[Descrição Padronizada],B164,tabDados[Manutenção (%)],"&gt;"&amp;0),0)*10000)/10000)</f>
        <v>0</v>
      </c>
      <c r="H164" s="24">
        <f>IF(OR(B164="---",B164=""),"---",COUNTIF(tabDados[[#All],[Descrição Padronizada]],B164))</f>
        <v>28</v>
      </c>
      <c r="I164" s="24" t="s">
        <v>19</v>
      </c>
    </row>
    <row r="165" spans="1:9" hidden="1" x14ac:dyDescent="0.35">
      <c r="A165" s="15">
        <v>163</v>
      </c>
      <c r="B165" s="11" t="str">
        <v>vassoura feiticeira</v>
      </c>
      <c r="C165" s="16">
        <f t="array" ref="C165">IF(B165="","---",IFERROR(
   _xlfn.PERCENTILE.INC(
      IF((tabDados[Descrição Padronizada]=B165)*(tabDados[Valor Unitário]&lt;&gt;""),
         tabDados[Valor Unitário],""
      ),
   C$1),
   _xlfn.MINIFS(tabDados[Valor Unitário],tabDados[Descrição Padronizada],B165)
))</f>
        <v>80</v>
      </c>
      <c r="D165" s="16">
        <f t="array" ref="D165">IF(B165="","---",IFERROR(
   _xlfn.PERCENTILE.INC(
      IF((tabDados[Descrição Padronizada]=B165)*(tabDados[Valor Unitário]&lt;&gt;""),
         tabDados[Valor Unitário],""
      ),
   D$1),
   _xlfn.MAXIFS(tabDados[Valor Unitário],tabDados[Descrição Padronizada],B165)
))</f>
        <v>110</v>
      </c>
      <c r="E165" s="16">
        <f>IF(OR(B165="",B165="---"),"---",
   IFERROR(AVERAGEIFS(tabDados[Valor Unitário],tabDados[Descrição Padronizada],B165,tabDados[Valor Unitário],"&gt;="&amp;C165,tabDados[Valor Unitário],"&lt;="&amp;D165),AVERAGE(C165,D165))
)</f>
        <v>92.741176470588229</v>
      </c>
      <c r="F165" s="12">
        <f t="array" ref="F165">IF(OR(B165="",B165="---"),"---",TRUNC(IFERROR(MODE(IF((tabDados[Descrição Padronizada]=B165)*(tabDados[Vida Útil (meses)]&lt;&gt;""),tabDados[Vida Útil (meses)],"-")),AVERAGEIFS(tabDados[Vida Útil (meses)],tabDados[Descrição Padronizada],B165))+0.5))</f>
        <v>60</v>
      </c>
      <c r="G165" s="13">
        <f>IF(OR(B165="",B165="---"),"---",TRUNC(IFERROR(AVERAGEIFS(tabDados[Manutenção (%)],tabDados[Descrição Padronizada],B165,tabDados[Manutenção (%)],"&gt;"&amp;0),0)*10000)/10000)</f>
        <v>1.44E-2</v>
      </c>
      <c r="H165" s="24">
        <f>IF(OR(B165="---",B165=""),"---",COUNTIF(tabDados[[#All],[Descrição Padronizada]],B165))</f>
        <v>20</v>
      </c>
      <c r="I165" s="24" t="s">
        <v>20</v>
      </c>
    </row>
    <row r="166" spans="1:9" x14ac:dyDescent="0.35">
      <c r="A166" s="15">
        <v>164</v>
      </c>
      <c r="B166" s="11" t="str">
        <v>vassoura nylon</v>
      </c>
      <c r="C166" s="16">
        <f t="array" ref="C166">IF(B166="","---",IFERROR(
   _xlfn.PERCENTILE.INC(
      IF((tabDados[Descrição Padronizada]=B166)*(tabDados[Valor Unitário]&lt;&gt;""),
         tabDados[Valor Unitário],""
      ),
   C$1),
   _xlfn.MINIFS(tabDados[Valor Unitário],tabDados[Descrição Padronizada],B166)
))</f>
        <v>14</v>
      </c>
      <c r="D166" s="16">
        <f t="array" ref="D166">IF(B166="","---",IFERROR(
   _xlfn.PERCENTILE.INC(
      IF((tabDados[Descrição Padronizada]=B166)*(tabDados[Valor Unitário]&lt;&gt;""),
         tabDados[Valor Unitário],""
      ),
   D$1),
   _xlfn.MAXIFS(tabDados[Valor Unitário],tabDados[Descrição Padronizada],B166)
))</f>
        <v>17</v>
      </c>
      <c r="E166" s="16">
        <f>IF(OR(B166="",B166="---"),"---",
   IFERROR(AVERAGEIFS(tabDados[Valor Unitário],tabDados[Descrição Padronizada],B166,tabDados[Valor Unitário],"&gt;="&amp;C166,tabDados[Valor Unitário],"&lt;="&amp;D166),AVERAGE(C166,D166))
)</f>
        <v>14.818181818181818</v>
      </c>
      <c r="F166" s="12">
        <f t="array" ref="F166">IF(OR(B166="",B166="---"),"---",TRUNC(IFERROR(MODE(IF((tabDados[Descrição Padronizada]=B166)*(tabDados[Vida Útil (meses)]&lt;&gt;""),tabDados[Vida Útil (meses)],"-")),AVERAGEIFS(tabDados[Vida Útil (meses)],tabDados[Descrição Padronizada],B166))+0.5))</f>
        <v>12</v>
      </c>
      <c r="G166" s="13">
        <f>IF(OR(B166="",B166="---"),"---",TRUNC(IFERROR(AVERAGEIFS(tabDados[Manutenção (%)],tabDados[Descrição Padronizada],B166,tabDados[Manutenção (%)],"&gt;"&amp;0),0)*10000)/10000)</f>
        <v>0</v>
      </c>
      <c r="H166" s="24">
        <f>IF(OR(B166="---",B166=""),"---",COUNTIF(tabDados[[#All],[Descrição Padronizada]],B166))</f>
        <v>40</v>
      </c>
      <c r="I166" s="24" t="s">
        <v>19</v>
      </c>
    </row>
    <row r="167" spans="1:9" x14ac:dyDescent="0.35">
      <c r="A167" s="15">
        <v>165</v>
      </c>
      <c r="B167" s="11" t="str">
        <v>vassoura piaçava</v>
      </c>
      <c r="C167" s="16">
        <f t="array" ref="C167">IF(B167="","---",IFERROR(
   _xlfn.PERCENTILE.INC(
      IF((tabDados[Descrição Padronizada]=B167)*(tabDados[Valor Unitário]&lt;&gt;""),
         tabDados[Valor Unitário],""
      ),
   C$1),
   _xlfn.MINIFS(tabDados[Valor Unitário],tabDados[Descrição Padronizada],B167)
))</f>
        <v>12</v>
      </c>
      <c r="D167" s="16">
        <f t="array" ref="D167">IF(B167="","---",IFERROR(
   _xlfn.PERCENTILE.INC(
      IF((tabDados[Descrição Padronizada]=B167)*(tabDados[Valor Unitário]&lt;&gt;""),
         tabDados[Valor Unitário],""
      ),
   D$1),
   _xlfn.MAXIFS(tabDados[Valor Unitário],tabDados[Descrição Padronizada],B167)
))</f>
        <v>16</v>
      </c>
      <c r="E167" s="16">
        <f>IF(OR(B167="",B167="---"),"---",
   IFERROR(AVERAGEIFS(tabDados[Valor Unitário],tabDados[Descrição Padronizada],B167,tabDados[Valor Unitário],"&gt;="&amp;C167,tabDados[Valor Unitário],"&lt;="&amp;D167),AVERAGE(C167,D167))
)</f>
        <v>12.864864864864865</v>
      </c>
      <c r="F167" s="12">
        <f t="array" ref="F167">IF(OR(B167="",B167="---"),"---",TRUNC(IFERROR(MODE(IF((tabDados[Descrição Padronizada]=B167)*(tabDados[Vida Útil (meses)]&lt;&gt;""),tabDados[Vida Útil (meses)],"-")),AVERAGEIFS(tabDados[Vida Útil (meses)],tabDados[Descrição Padronizada],B167))+0.5))</f>
        <v>12</v>
      </c>
      <c r="G167" s="13">
        <f>IF(OR(B167="",B167="---"),"---",TRUNC(IFERROR(AVERAGEIFS(tabDados[Manutenção (%)],tabDados[Descrição Padronizada],B167,tabDados[Manutenção (%)],"&gt;"&amp;0),0)*10000)/10000)</f>
        <v>0</v>
      </c>
      <c r="H167" s="24">
        <f>IF(OR(B167="---",B167=""),"---",COUNTIF(tabDados[[#All],[Descrição Padronizada]],B167))</f>
        <v>40</v>
      </c>
      <c r="I167" s="24" t="s">
        <v>19</v>
      </c>
    </row>
    <row r="168" spans="1:9" hidden="1" x14ac:dyDescent="0.35">
      <c r="A168" s="15">
        <v>166</v>
      </c>
      <c r="B168" s="11" t="str">
        <v>vassourão</v>
      </c>
      <c r="C168" s="16">
        <f t="array" ref="C168">IF(B168="","---",IFERROR(
   _xlfn.PERCENTILE.INC(
      IF((tabDados[Descrição Padronizada]=B168)*(tabDados[Valor Unitário]&lt;&gt;""),
         tabDados[Valor Unitário],""
      ),
   C$1),
   _xlfn.MINIFS(tabDados[Valor Unitário],tabDados[Descrição Padronizada],B168)
))</f>
        <v>49</v>
      </c>
      <c r="D168" s="16">
        <f t="array" ref="D168">IF(B168="","---",IFERROR(
   _xlfn.PERCENTILE.INC(
      IF((tabDados[Descrição Padronizada]=B168)*(tabDados[Valor Unitário]&lt;&gt;""),
         tabDados[Valor Unitário],""
      ),
   D$1),
   _xlfn.MAXIFS(tabDados[Valor Unitário],tabDados[Descrição Padronizada],B168)
))</f>
        <v>54.512500000000003</v>
      </c>
      <c r="E168" s="16">
        <f>IF(OR(B168="",B168="---"),"---",
   IFERROR(AVERAGEIFS(tabDados[Valor Unitário],tabDados[Descrição Padronizada],B168,tabDados[Valor Unitário],"&gt;="&amp;C168,tabDados[Valor Unitário],"&lt;="&amp;D168),AVERAGE(C168,D168))
)</f>
        <v>49</v>
      </c>
      <c r="F168" s="12">
        <f t="array" ref="F168">IF(OR(B168="",B168="---"),"---",TRUNC(IFERROR(MODE(IF((tabDados[Descrição Padronizada]=B168)*(tabDados[Vida Útil (meses)]&lt;&gt;""),tabDados[Vida Útil (meses)],"-")),AVERAGEIFS(tabDados[Vida Útil (meses)],tabDados[Descrição Padronizada],B168))+0.5))</f>
        <v>36</v>
      </c>
      <c r="G168" s="13">
        <f>IF(OR(B168="",B168="---"),"---",TRUNC(IFERROR(AVERAGEIFS(tabDados[Manutenção (%)],tabDados[Descrição Padronizada],B168,tabDados[Manutenção (%)],"&gt;"&amp;0),0)*10000)/10000)</f>
        <v>0.01</v>
      </c>
      <c r="H168" s="24">
        <f>IF(OR(B168="---",B168=""),"---",COUNTIF(tabDados[[#All],[Descrição Padronizada]],B168))</f>
        <v>10</v>
      </c>
      <c r="I168" s="24" t="s">
        <v>20</v>
      </c>
    </row>
    <row r="169" spans="1:9" hidden="1" x14ac:dyDescent="0.35">
      <c r="A169" s="15">
        <v>167</v>
      </c>
      <c r="B169" s="11" t="str">
        <v>veículo de passeio</v>
      </c>
      <c r="C169" s="16">
        <f t="array" ref="C169">IF(B169="","---",IFERROR(
   _xlfn.PERCENTILE.INC(
      IF((tabDados[Descrição Padronizada]=B169)*(tabDados[Valor Unitário]&lt;&gt;""),
         tabDados[Valor Unitário],""
      ),
   C$1),
   _xlfn.MINIFS(tabDados[Valor Unitário],tabDados[Descrição Padronizada],B169)
))</f>
        <v>70000</v>
      </c>
      <c r="D169" s="16">
        <f t="array" ref="D169">IF(B169="","---",IFERROR(
   _xlfn.PERCENTILE.INC(
      IF((tabDados[Descrição Padronizada]=B169)*(tabDados[Valor Unitário]&lt;&gt;""),
         tabDados[Valor Unitário],""
      ),
   D$1),
   _xlfn.MAXIFS(tabDados[Valor Unitário],tabDados[Descrição Padronizada],B169)
))</f>
        <v>70000</v>
      </c>
      <c r="E169" s="16">
        <f>IF(OR(B169="",B169="---"),"---",
   IFERROR(AVERAGEIFS(tabDados[Valor Unitário],tabDados[Descrição Padronizada],B169,tabDados[Valor Unitário],"&gt;="&amp;C169,tabDados[Valor Unitário],"&lt;="&amp;D169),AVERAGE(C169,D169))
)</f>
        <v>70000</v>
      </c>
      <c r="F169" s="12">
        <f t="array" ref="F169">IF(OR(B169="",B169="---"),"---",TRUNC(IFERROR(MODE(IF((tabDados[Descrição Padronizada]=B169)*(tabDados[Vida Útil (meses)]&lt;&gt;""),tabDados[Vida Útil (meses)],"-")),AVERAGEIFS(tabDados[Vida Útil (meses)],tabDados[Descrição Padronizada],B169))+0.5))</f>
        <v>60</v>
      </c>
      <c r="G169" s="13">
        <f>IF(OR(B169="",B169="---"),"---",TRUNC(IFERROR(AVERAGEIFS(tabDados[Manutenção (%)],tabDados[Descrição Padronizada],B169,tabDados[Manutenção (%)],"&gt;"&amp;0),0)*10000)/10000)</f>
        <v>5.0000000000000001E-3</v>
      </c>
      <c r="H169" s="24">
        <f>IF(OR(B169="---",B169=""),"---",COUNTIF(tabDados[[#All],[Descrição Padronizada]],B169))</f>
        <v>12</v>
      </c>
      <c r="I169" s="24" t="s">
        <v>20</v>
      </c>
    </row>
    <row r="170" spans="1:9" hidden="1" x14ac:dyDescent="0.35">
      <c r="A170" s="15">
        <v>168</v>
      </c>
      <c r="C170" s="16" t="str">
        <f t="array" ref="C170">IF(B170="","---",IFERROR(
   _xlfn.PERCENTILE.INC(
      IF((tabDados[Descrição Padronizada]=B170)*(tabDados[Valor Unitário]&lt;&gt;""),
         tabDados[Valor Unitário],""
      ),
   C$1),
   _xlfn.MINIFS(tabDados[Valor Unitário],tabDados[Descrição Padronizada],B170)
))</f>
        <v>---</v>
      </c>
      <c r="D170" s="16" t="str">
        <f t="array" ref="D170">IF(B170="","---",IFERROR(
   _xlfn.PERCENTILE.INC(
      IF((tabDados[Descrição Padronizada]=B170)*(tabDados[Valor Unitário]&lt;&gt;""),
         tabDados[Valor Unitário],""
      ),
   D$1),
   _xlfn.MAXIFS(tabDados[Valor Unitário],tabDados[Descrição Padronizada],B170)
))</f>
        <v>---</v>
      </c>
      <c r="E170" s="16" t="str">
        <f>IF(OR(B170="",B170="---"),"---",
   IFERROR(AVERAGEIFS(tabDados[Valor Unitário],tabDados[Descrição Padronizada],B170,tabDados[Valor Unitário],"&gt;="&amp;C170,tabDados[Valor Unitário],"&lt;="&amp;D170),AVERAGE(C170,D170))
)</f>
        <v>---</v>
      </c>
      <c r="F170" s="12" t="str">
        <f t="array" ref="F170">IF(OR(B170="",B170="---"),"---",TRUNC(IFERROR(MODE(IF((tabDados[Descrição Padronizada]=B170)*(tabDados[Vida Útil (meses)]&lt;&gt;""),tabDados[Vida Útil (meses)],"-")),AVERAGEIFS(tabDados[Vida Útil (meses)],tabDados[Descrição Padronizada],B170))+0.5))</f>
        <v>---</v>
      </c>
      <c r="G170" s="13" t="str">
        <f>IF(OR(B170="",B170="---"),"---",TRUNC(IFERROR(AVERAGEIFS(tabDados[Manutenção (%)],tabDados[Descrição Padronizada],B170,tabDados[Manutenção (%)],"&gt;"&amp;0),0)*10000)/10000)</f>
        <v>---</v>
      </c>
      <c r="H170" s="24" t="str">
        <f>IF(OR(B170="---",B170=""),"---",COUNTIF(tabDados[[#All],[Descrição Padronizada]],B170))</f>
        <v>---</v>
      </c>
      <c r="I170" s="24" t="s">
        <v>20</v>
      </c>
    </row>
    <row r="171" spans="1:9" hidden="1" x14ac:dyDescent="0.35">
      <c r="A171" s="15">
        <v>169</v>
      </c>
      <c r="C171" s="16" t="str">
        <f t="array" ref="C171">IF(B171="","---",IFERROR(
   _xlfn.PERCENTILE.INC(
      IF((tabDados[Descrição Padronizada]=B171)*(tabDados[Valor Unitário]&lt;&gt;""),
         tabDados[Valor Unitário],""
      ),
   C$1),
   _xlfn.MINIFS(tabDados[Valor Unitário],tabDados[Descrição Padronizada],B171)
))</f>
        <v>---</v>
      </c>
      <c r="D171" s="16" t="str">
        <f t="array" ref="D171">IF(B171="","---",IFERROR(
   _xlfn.PERCENTILE.INC(
      IF((tabDados[Descrição Padronizada]=B171)*(tabDados[Valor Unitário]&lt;&gt;""),
         tabDados[Valor Unitário],""
      ),
   D$1),
   _xlfn.MAXIFS(tabDados[Valor Unitário],tabDados[Descrição Padronizada],B171)
))</f>
        <v>---</v>
      </c>
      <c r="E171" s="16" t="str">
        <f>IF(OR(B171="",B171="---"),"---",
   IFERROR(AVERAGEIFS(tabDados[Valor Unitário],tabDados[Descrição Padronizada],B171,tabDados[Valor Unitário],"&gt;="&amp;C171,tabDados[Valor Unitário],"&lt;="&amp;D171),AVERAGE(C171,D171))
)</f>
        <v>---</v>
      </c>
      <c r="F171" s="12" t="str">
        <f t="array" ref="F171">IF(OR(B171="",B171="---"),"---",TRUNC(IFERROR(MODE(IF((tabDados[Descrição Padronizada]=B171)*(tabDados[Vida Útil (meses)]&lt;&gt;""),tabDados[Vida Útil (meses)],"-")),AVERAGEIFS(tabDados[Vida Útil (meses)],tabDados[Descrição Padronizada],B171))+0.5))</f>
        <v>---</v>
      </c>
      <c r="G171" s="13" t="str">
        <f>IF(OR(B171="",B171="---"),"---",TRUNC(IFERROR(AVERAGEIFS(tabDados[Manutenção (%)],tabDados[Descrição Padronizada],B171,tabDados[Manutenção (%)],"&gt;"&amp;0),0)*10000)/10000)</f>
        <v>---</v>
      </c>
      <c r="H171" s="24" t="str">
        <f>IF(OR(B171="---",B171=""),"---",COUNTIF(tabDados[[#All],[Descrição Padronizada]],B171))</f>
        <v>---</v>
      </c>
      <c r="I171" s="24" t="s">
        <v>20</v>
      </c>
    </row>
    <row r="172" spans="1:9" hidden="1" x14ac:dyDescent="0.35">
      <c r="A172" s="15">
        <v>170</v>
      </c>
      <c r="C172" s="16" t="str">
        <f t="array" ref="C172">IF(B172="","---",IFERROR(
   _xlfn.PERCENTILE.INC(
      IF((tabDados[Descrição Padronizada]=B172)*(tabDados[Valor Unitário]&lt;&gt;""),
         tabDados[Valor Unitário],""
      ),
   C$1),
   _xlfn.MINIFS(tabDados[Valor Unitário],tabDados[Descrição Padronizada],B172)
))</f>
        <v>---</v>
      </c>
      <c r="D172" s="16" t="str">
        <f t="array" ref="D172">IF(B172="","---",IFERROR(
   _xlfn.PERCENTILE.INC(
      IF((tabDados[Descrição Padronizada]=B172)*(tabDados[Valor Unitário]&lt;&gt;""),
         tabDados[Valor Unitário],""
      ),
   D$1),
   _xlfn.MAXIFS(tabDados[Valor Unitário],tabDados[Descrição Padronizada],B172)
))</f>
        <v>---</v>
      </c>
      <c r="E172" s="16" t="str">
        <f>IF(OR(B172="",B172="---"),"---",
   IFERROR(AVERAGEIFS(tabDados[Valor Unitário],tabDados[Descrição Padronizada],B172,tabDados[Valor Unitário],"&gt;="&amp;C172,tabDados[Valor Unitário],"&lt;="&amp;D172),AVERAGE(C172,D172))
)</f>
        <v>---</v>
      </c>
      <c r="F172" s="12" t="str">
        <f t="array" ref="F172">IF(OR(B172="",B172="---"),"---",TRUNC(IFERROR(MODE(IF((tabDados[Descrição Padronizada]=B172)*(tabDados[Vida Útil (meses)]&lt;&gt;""),tabDados[Vida Útil (meses)],"-")),AVERAGEIFS(tabDados[Vida Útil (meses)],tabDados[Descrição Padronizada],B172))+0.5))</f>
        <v>---</v>
      </c>
      <c r="G172" s="13" t="str">
        <f>IF(OR(B172="",B172="---"),"---",TRUNC(IFERROR(AVERAGEIFS(tabDados[Manutenção (%)],tabDados[Descrição Padronizada],B172,tabDados[Manutenção (%)],"&gt;"&amp;0),0)*10000)/10000)</f>
        <v>---</v>
      </c>
      <c r="H172" s="24" t="str">
        <f>IF(OR(B172="---",B172=""),"---",COUNTIF(tabDados[[#All],[Descrição Padronizada]],B172))</f>
        <v>---</v>
      </c>
      <c r="I172" s="24" t="s">
        <v>20</v>
      </c>
    </row>
    <row r="173" spans="1:9" hidden="1" x14ac:dyDescent="0.35">
      <c r="A173" s="15">
        <v>171</v>
      </c>
      <c r="C173" s="16" t="str">
        <f t="array" ref="C173">IF(B173="","---",IFERROR(
   _xlfn.PERCENTILE.INC(
      IF((tabDados[Descrição Padronizada]=B173)*(tabDados[Valor Unitário]&lt;&gt;""),
         tabDados[Valor Unitário],""
      ),
   C$1),
   _xlfn.MINIFS(tabDados[Valor Unitário],tabDados[Descrição Padronizada],B173)
))</f>
        <v>---</v>
      </c>
      <c r="D173" s="16" t="str">
        <f t="array" ref="D173">IF(B173="","---",IFERROR(
   _xlfn.PERCENTILE.INC(
      IF((tabDados[Descrição Padronizada]=B173)*(tabDados[Valor Unitário]&lt;&gt;""),
         tabDados[Valor Unitário],""
      ),
   D$1),
   _xlfn.MAXIFS(tabDados[Valor Unitário],tabDados[Descrição Padronizada],B173)
))</f>
        <v>---</v>
      </c>
      <c r="E173" s="16" t="str">
        <f>IF(OR(B173="",B173="---"),"---",
   IFERROR(AVERAGEIFS(tabDados[Valor Unitário],tabDados[Descrição Padronizada],B173,tabDados[Valor Unitário],"&gt;="&amp;C173,tabDados[Valor Unitário],"&lt;="&amp;D173),AVERAGE(C173,D173))
)</f>
        <v>---</v>
      </c>
      <c r="F173" s="12" t="str">
        <f t="array" ref="F173">IF(OR(B173="",B173="---"),"---",TRUNC(IFERROR(MODE(IF((tabDados[Descrição Padronizada]=B173)*(tabDados[Vida Útil (meses)]&lt;&gt;""),tabDados[Vida Útil (meses)],"-")),AVERAGEIFS(tabDados[Vida Útil (meses)],tabDados[Descrição Padronizada],B173))+0.5))</f>
        <v>---</v>
      </c>
      <c r="G173" s="13" t="str">
        <f>IF(OR(B173="",B173="---"),"---",TRUNC(IFERROR(AVERAGEIFS(tabDados[Manutenção (%)],tabDados[Descrição Padronizada],B173,tabDados[Manutenção (%)],"&gt;"&amp;0),0)*10000)/10000)</f>
        <v>---</v>
      </c>
      <c r="H173" s="24" t="str">
        <f>IF(OR(B173="---",B173=""),"---",COUNTIF(tabDados[[#All],[Descrição Padronizada]],B173))</f>
        <v>---</v>
      </c>
      <c r="I173" s="24" t="s">
        <v>20</v>
      </c>
    </row>
    <row r="174" spans="1:9" hidden="1" x14ac:dyDescent="0.35">
      <c r="A174" s="15">
        <v>172</v>
      </c>
      <c r="C174" s="16" t="str">
        <f t="array" ref="C174">IF(B174="","---",IFERROR(
   _xlfn.PERCENTILE.INC(
      IF((tabDados[Descrição Padronizada]=B174)*(tabDados[Valor Unitário]&lt;&gt;""),
         tabDados[Valor Unitário],""
      ),
   C$1),
   _xlfn.MINIFS(tabDados[Valor Unitário],tabDados[Descrição Padronizada],B174)
))</f>
        <v>---</v>
      </c>
      <c r="D174" s="16" t="str">
        <f t="array" ref="D174">IF(B174="","---",IFERROR(
   _xlfn.PERCENTILE.INC(
      IF((tabDados[Descrição Padronizada]=B174)*(tabDados[Valor Unitário]&lt;&gt;""),
         tabDados[Valor Unitário],""
      ),
   D$1),
   _xlfn.MAXIFS(tabDados[Valor Unitário],tabDados[Descrição Padronizada],B174)
))</f>
        <v>---</v>
      </c>
      <c r="E174" s="16" t="str">
        <f>IF(OR(B174="",B174="---"),"---",
   IFERROR(AVERAGEIFS(tabDados[Valor Unitário],tabDados[Descrição Padronizada],B174,tabDados[Valor Unitário],"&gt;="&amp;C174,tabDados[Valor Unitário],"&lt;="&amp;D174),AVERAGE(C174,D174))
)</f>
        <v>---</v>
      </c>
      <c r="F174" s="12" t="str">
        <f t="array" ref="F174">IF(OR(B174="",B174="---"),"---",TRUNC(IFERROR(MODE(IF((tabDados[Descrição Padronizada]=B174)*(tabDados[Vida Útil (meses)]&lt;&gt;""),tabDados[Vida Útil (meses)],"-")),AVERAGEIFS(tabDados[Vida Útil (meses)],tabDados[Descrição Padronizada],B174))+0.5))</f>
        <v>---</v>
      </c>
      <c r="G174" s="13" t="str">
        <f>IF(OR(B174="",B174="---"),"---",TRUNC(IFERROR(AVERAGEIFS(tabDados[Manutenção (%)],tabDados[Descrição Padronizada],B174,tabDados[Manutenção (%)],"&gt;"&amp;0),0)*10000)/10000)</f>
        <v>---</v>
      </c>
      <c r="H174" s="24" t="str">
        <f>IF(OR(B174="---",B174=""),"---",COUNTIF(tabDados[[#All],[Descrição Padronizada]],B174))</f>
        <v>---</v>
      </c>
      <c r="I174" s="24" t="s">
        <v>20</v>
      </c>
    </row>
    <row r="175" spans="1:9" hidden="1" x14ac:dyDescent="0.35">
      <c r="A175" s="15">
        <v>173</v>
      </c>
      <c r="C175" s="16" t="str">
        <f t="array" ref="C175">IF(B175="","---",IFERROR(
   _xlfn.PERCENTILE.INC(
      IF((tabDados[Descrição Padronizada]=B175)*(tabDados[Valor Unitário]&lt;&gt;""),
         tabDados[Valor Unitário],""
      ),
   C$1),
   _xlfn.MINIFS(tabDados[Valor Unitário],tabDados[Descrição Padronizada],B175)
))</f>
        <v>---</v>
      </c>
      <c r="D175" s="16" t="str">
        <f t="array" ref="D175">IF(B175="","---",IFERROR(
   _xlfn.PERCENTILE.INC(
      IF((tabDados[Descrição Padronizada]=B175)*(tabDados[Valor Unitário]&lt;&gt;""),
         tabDados[Valor Unitário],""
      ),
   D$1),
   _xlfn.MAXIFS(tabDados[Valor Unitário],tabDados[Descrição Padronizada],B175)
))</f>
        <v>---</v>
      </c>
      <c r="E175" s="16" t="str">
        <f>IF(OR(B175="",B175="---"),"---",
   IFERROR(AVERAGEIFS(tabDados[Valor Unitário],tabDados[Descrição Padronizada],B175,tabDados[Valor Unitário],"&gt;="&amp;C175,tabDados[Valor Unitário],"&lt;="&amp;D175),AVERAGE(C175,D175))
)</f>
        <v>---</v>
      </c>
      <c r="F175" s="12" t="str">
        <f t="array" ref="F175">IF(OR(B175="",B175="---"),"---",TRUNC(IFERROR(MODE(IF((tabDados[Descrição Padronizada]=B175)*(tabDados[Vida Útil (meses)]&lt;&gt;""),tabDados[Vida Útil (meses)],"-")),AVERAGEIFS(tabDados[Vida Útil (meses)],tabDados[Descrição Padronizada],B175))+0.5))</f>
        <v>---</v>
      </c>
      <c r="G175" s="13" t="str">
        <f>IF(OR(B175="",B175="---"),"---",TRUNC(IFERROR(AVERAGEIFS(tabDados[Manutenção (%)],tabDados[Descrição Padronizada],B175,tabDados[Manutenção (%)],"&gt;"&amp;0),0)*10000)/10000)</f>
        <v>---</v>
      </c>
      <c r="H175" s="24" t="str">
        <f>IF(OR(B175="---",B175=""),"---",COUNTIF(tabDados[[#All],[Descrição Padronizada]],B175))</f>
        <v>---</v>
      </c>
      <c r="I175" s="24" t="s">
        <v>20</v>
      </c>
    </row>
    <row r="176" spans="1:9" hidden="1" x14ac:dyDescent="0.35">
      <c r="A176" s="15">
        <v>174</v>
      </c>
      <c r="C176" s="16" t="str">
        <f t="array" ref="C176">IF(B176="","---",IFERROR(
   _xlfn.PERCENTILE.INC(
      IF((tabDados[Descrição Padronizada]=B176)*(tabDados[Valor Unitário]&lt;&gt;""),
         tabDados[Valor Unitário],""
      ),
   C$1),
   _xlfn.MINIFS(tabDados[Valor Unitário],tabDados[Descrição Padronizada],B176)
))</f>
        <v>---</v>
      </c>
      <c r="D176" s="16" t="str">
        <f t="array" ref="D176">IF(B176="","---",IFERROR(
   _xlfn.PERCENTILE.INC(
      IF((tabDados[Descrição Padronizada]=B176)*(tabDados[Valor Unitário]&lt;&gt;""),
         tabDados[Valor Unitário],""
      ),
   D$1),
   _xlfn.MAXIFS(tabDados[Valor Unitário],tabDados[Descrição Padronizada],B176)
))</f>
        <v>---</v>
      </c>
      <c r="E176" s="16" t="str">
        <f>IF(OR(B176="",B176="---"),"---",
   IFERROR(AVERAGEIFS(tabDados[Valor Unitário],tabDados[Descrição Padronizada],B176,tabDados[Valor Unitário],"&gt;="&amp;C176,tabDados[Valor Unitário],"&lt;="&amp;D176),AVERAGE(C176,D176))
)</f>
        <v>---</v>
      </c>
      <c r="F176" s="12" t="str">
        <f t="array" ref="F176">IF(OR(B176="",B176="---"),"---",TRUNC(IFERROR(MODE(IF((tabDados[Descrição Padronizada]=B176)*(tabDados[Vida Útil (meses)]&lt;&gt;""),tabDados[Vida Útil (meses)],"-")),AVERAGEIFS(tabDados[Vida Útil (meses)],tabDados[Descrição Padronizada],B176))+0.5))</f>
        <v>---</v>
      </c>
      <c r="G176" s="13" t="str">
        <f>IF(OR(B176="",B176="---"),"---",TRUNC(IFERROR(AVERAGEIFS(tabDados[Manutenção (%)],tabDados[Descrição Padronizada],B176,tabDados[Manutenção (%)],"&gt;"&amp;0),0)*10000)/10000)</f>
        <v>---</v>
      </c>
      <c r="H176" s="24" t="str">
        <f>IF(OR(B176="---",B176=""),"---",COUNTIF(tabDados[[#All],[Descrição Padronizada]],B176))</f>
        <v>---</v>
      </c>
      <c r="I176" s="24" t="s">
        <v>20</v>
      </c>
    </row>
    <row r="177" spans="1:9" hidden="1" x14ac:dyDescent="0.35">
      <c r="A177" s="15">
        <v>175</v>
      </c>
      <c r="C177" s="16" t="str">
        <f t="array" ref="C177">IF(B177="","---",IFERROR(
   _xlfn.PERCENTILE.INC(
      IF((tabDados[Descrição Padronizada]=B177)*(tabDados[Valor Unitário]&lt;&gt;""),
         tabDados[Valor Unitário],""
      ),
   C$1),
   _xlfn.MINIFS(tabDados[Valor Unitário],tabDados[Descrição Padronizada],B177)
))</f>
        <v>---</v>
      </c>
      <c r="D177" s="16" t="str">
        <f t="array" ref="D177">IF(B177="","---",IFERROR(
   _xlfn.PERCENTILE.INC(
      IF((tabDados[Descrição Padronizada]=B177)*(tabDados[Valor Unitário]&lt;&gt;""),
         tabDados[Valor Unitário],""
      ),
   D$1),
   _xlfn.MAXIFS(tabDados[Valor Unitário],tabDados[Descrição Padronizada],B177)
))</f>
        <v>---</v>
      </c>
      <c r="E177" s="16" t="str">
        <f>IF(OR(B177="",B177="---"),"---",
   IFERROR(AVERAGEIFS(tabDados[Valor Unitário],tabDados[Descrição Padronizada],B177,tabDados[Valor Unitário],"&gt;="&amp;C177,tabDados[Valor Unitário],"&lt;="&amp;D177),AVERAGE(C177,D177))
)</f>
        <v>---</v>
      </c>
      <c r="F177" s="12" t="str">
        <f t="array" ref="F177">IF(OR(B177="",B177="---"),"---",TRUNC(IFERROR(MODE(IF((tabDados[Descrição Padronizada]=B177)*(tabDados[Vida Útil (meses)]&lt;&gt;""),tabDados[Vida Útil (meses)],"-")),AVERAGEIFS(tabDados[Vida Útil (meses)],tabDados[Descrição Padronizada],B177))+0.5))</f>
        <v>---</v>
      </c>
      <c r="G177" s="13" t="str">
        <f>IF(OR(B177="",B177="---"),"---",TRUNC(IFERROR(AVERAGEIFS(tabDados[Manutenção (%)],tabDados[Descrição Padronizada],B177,tabDados[Manutenção (%)],"&gt;"&amp;0),0)*10000)/10000)</f>
        <v>---</v>
      </c>
      <c r="H177" s="24" t="str">
        <f>IF(OR(B177="---",B177=""),"---",COUNTIF(tabDados[[#All],[Descrição Padronizada]],B177))</f>
        <v>---</v>
      </c>
      <c r="I177" s="24" t="s">
        <v>20</v>
      </c>
    </row>
    <row r="178" spans="1:9" hidden="1" x14ac:dyDescent="0.35">
      <c r="A178" s="15">
        <v>176</v>
      </c>
      <c r="C178" s="16" t="str">
        <f t="array" ref="C178">IF(B178="","---",IFERROR(
   _xlfn.PERCENTILE.INC(
      IF((tabDados[Descrição Padronizada]=B178)*(tabDados[Valor Unitário]&lt;&gt;""),
         tabDados[Valor Unitário],""
      ),
   C$1),
   _xlfn.MINIFS(tabDados[Valor Unitário],tabDados[Descrição Padronizada],B178)
))</f>
        <v>---</v>
      </c>
      <c r="D178" s="16" t="str">
        <f t="array" ref="D178">IF(B178="","---",IFERROR(
   _xlfn.PERCENTILE.INC(
      IF((tabDados[Descrição Padronizada]=B178)*(tabDados[Valor Unitário]&lt;&gt;""),
         tabDados[Valor Unitário],""
      ),
   D$1),
   _xlfn.MAXIFS(tabDados[Valor Unitário],tabDados[Descrição Padronizada],B178)
))</f>
        <v>---</v>
      </c>
      <c r="E178" s="16" t="str">
        <f>IF(OR(B178="",B178="---"),"---",
   IFERROR(AVERAGEIFS(tabDados[Valor Unitário],tabDados[Descrição Padronizada],B178,tabDados[Valor Unitário],"&gt;="&amp;C178,tabDados[Valor Unitário],"&lt;="&amp;D178),AVERAGE(C178,D178))
)</f>
        <v>---</v>
      </c>
      <c r="F178" s="12" t="str">
        <f t="array" ref="F178">IF(OR(B178="",B178="---"),"---",TRUNC(IFERROR(MODE(IF((tabDados[Descrição Padronizada]=B178)*(tabDados[Vida Útil (meses)]&lt;&gt;""),tabDados[Vida Útil (meses)],"-")),AVERAGEIFS(tabDados[Vida Útil (meses)],tabDados[Descrição Padronizada],B178))+0.5))</f>
        <v>---</v>
      </c>
      <c r="G178" s="13" t="str">
        <f>IF(OR(B178="",B178="---"),"---",TRUNC(IFERROR(AVERAGEIFS(tabDados[Manutenção (%)],tabDados[Descrição Padronizada],B178,tabDados[Manutenção (%)],"&gt;"&amp;0),0)*10000)/10000)</f>
        <v>---</v>
      </c>
      <c r="H178" s="24" t="str">
        <f>IF(OR(B178="---",B178=""),"---",COUNTIF(tabDados[[#All],[Descrição Padronizada]],B178))</f>
        <v>---</v>
      </c>
      <c r="I178" s="24" t="s">
        <v>20</v>
      </c>
    </row>
    <row r="179" spans="1:9" hidden="1" x14ac:dyDescent="0.35">
      <c r="A179" s="15">
        <v>177</v>
      </c>
      <c r="C179" s="16" t="str">
        <f t="array" ref="C179">IF(B179="","---",IFERROR(
   _xlfn.PERCENTILE.INC(
      IF((tabDados[Descrição Padronizada]=B179)*(tabDados[Valor Unitário]&lt;&gt;""),
         tabDados[Valor Unitário],""
      ),
   C$1),
   _xlfn.MINIFS(tabDados[Valor Unitário],tabDados[Descrição Padronizada],B179)
))</f>
        <v>---</v>
      </c>
      <c r="D179" s="16" t="str">
        <f t="array" ref="D179">IF(B179="","---",IFERROR(
   _xlfn.PERCENTILE.INC(
      IF((tabDados[Descrição Padronizada]=B179)*(tabDados[Valor Unitário]&lt;&gt;""),
         tabDados[Valor Unitário],""
      ),
   D$1),
   _xlfn.MAXIFS(tabDados[Valor Unitário],tabDados[Descrição Padronizada],B179)
))</f>
        <v>---</v>
      </c>
      <c r="E179" s="16" t="str">
        <f>IF(OR(B179="",B179="---"),"---",
   IFERROR(AVERAGEIFS(tabDados[Valor Unitário],tabDados[Descrição Padronizada],B179,tabDados[Valor Unitário],"&gt;="&amp;C179,tabDados[Valor Unitário],"&lt;="&amp;D179),AVERAGE(C179,D179))
)</f>
        <v>---</v>
      </c>
      <c r="F179" s="12" t="str">
        <f t="array" ref="F179">IF(OR(B179="",B179="---"),"---",TRUNC(IFERROR(MODE(IF((tabDados[Descrição Padronizada]=B179)*(tabDados[Vida Útil (meses)]&lt;&gt;""),tabDados[Vida Útil (meses)],"-")),AVERAGEIFS(tabDados[Vida Útil (meses)],tabDados[Descrição Padronizada],B179))+0.5))</f>
        <v>---</v>
      </c>
      <c r="G179" s="13" t="str">
        <f>IF(OR(B179="",B179="---"),"---",TRUNC(IFERROR(AVERAGEIFS(tabDados[Manutenção (%)],tabDados[Descrição Padronizada],B179,tabDados[Manutenção (%)],"&gt;"&amp;0),0)*10000)/10000)</f>
        <v>---</v>
      </c>
      <c r="H179" s="24" t="str">
        <f>IF(OR(B179="---",B179=""),"---",COUNTIF(tabDados[[#All],[Descrição Padronizada]],B179))</f>
        <v>---</v>
      </c>
      <c r="I179" s="24" t="s">
        <v>20</v>
      </c>
    </row>
    <row r="180" spans="1:9" hidden="1" x14ac:dyDescent="0.35">
      <c r="A180" s="15">
        <v>178</v>
      </c>
      <c r="C180" s="16" t="str">
        <f t="array" ref="C180">IF(B180="","---",IFERROR(
   _xlfn.PERCENTILE.INC(
      IF((tabDados[Descrição Padronizada]=B180)*(tabDados[Valor Unitário]&lt;&gt;""),
         tabDados[Valor Unitário],""
      ),
   C$1),
   _xlfn.MINIFS(tabDados[Valor Unitário],tabDados[Descrição Padronizada],B180)
))</f>
        <v>---</v>
      </c>
      <c r="D180" s="16" t="str">
        <f t="array" ref="D180">IF(B180="","---",IFERROR(
   _xlfn.PERCENTILE.INC(
      IF((tabDados[Descrição Padronizada]=B180)*(tabDados[Valor Unitário]&lt;&gt;""),
         tabDados[Valor Unitário],""
      ),
   D$1),
   _xlfn.MAXIFS(tabDados[Valor Unitário],tabDados[Descrição Padronizada],B180)
))</f>
        <v>---</v>
      </c>
      <c r="E180" s="16" t="str">
        <f>IF(OR(B180="",B180="---"),"---",
   IFERROR(AVERAGEIFS(tabDados[Valor Unitário],tabDados[Descrição Padronizada],B180,tabDados[Valor Unitário],"&gt;="&amp;C180,tabDados[Valor Unitário],"&lt;="&amp;D180),AVERAGE(C180,D180))
)</f>
        <v>---</v>
      </c>
      <c r="F180" s="12" t="str">
        <f t="array" ref="F180">IF(OR(B180="",B180="---"),"---",TRUNC(IFERROR(MODE(IF((tabDados[Descrição Padronizada]=B180)*(tabDados[Vida Útil (meses)]&lt;&gt;""),tabDados[Vida Útil (meses)],"-")),AVERAGEIFS(tabDados[Vida Útil (meses)],tabDados[Descrição Padronizada],B180))+0.5))</f>
        <v>---</v>
      </c>
      <c r="G180" s="13" t="str">
        <f>IF(OR(B180="",B180="---"),"---",TRUNC(IFERROR(AVERAGEIFS(tabDados[Manutenção (%)],tabDados[Descrição Padronizada],B180,tabDados[Manutenção (%)],"&gt;"&amp;0),0)*10000)/10000)</f>
        <v>---</v>
      </c>
      <c r="H180" s="24" t="str">
        <f>IF(OR(B180="---",B180=""),"---",COUNTIF(tabDados[[#All],[Descrição Padronizada]],B180))</f>
        <v>---</v>
      </c>
      <c r="I180" s="24" t="s">
        <v>20</v>
      </c>
    </row>
    <row r="181" spans="1:9" hidden="1" x14ac:dyDescent="0.35">
      <c r="A181" s="15">
        <v>179</v>
      </c>
      <c r="C181" s="16" t="str">
        <f t="array" ref="C181">IF(B181="","---",IFERROR(
   _xlfn.PERCENTILE.INC(
      IF((tabDados[Descrição Padronizada]=B181)*(tabDados[Valor Unitário]&lt;&gt;""),
         tabDados[Valor Unitário],""
      ),
   C$1),
   _xlfn.MINIFS(tabDados[Valor Unitário],tabDados[Descrição Padronizada],B181)
))</f>
        <v>---</v>
      </c>
      <c r="D181" s="16" t="str">
        <f t="array" ref="D181">IF(B181="","---",IFERROR(
   _xlfn.PERCENTILE.INC(
      IF((tabDados[Descrição Padronizada]=B181)*(tabDados[Valor Unitário]&lt;&gt;""),
         tabDados[Valor Unitário],""
      ),
   D$1),
   _xlfn.MAXIFS(tabDados[Valor Unitário],tabDados[Descrição Padronizada],B181)
))</f>
        <v>---</v>
      </c>
      <c r="E181" s="16" t="str">
        <f>IF(OR(B181="",B181="---"),"---",
   IFERROR(AVERAGEIFS(tabDados[Valor Unitário],tabDados[Descrição Padronizada],B181,tabDados[Valor Unitário],"&gt;="&amp;C181,tabDados[Valor Unitário],"&lt;="&amp;D181),AVERAGE(C181,D181))
)</f>
        <v>---</v>
      </c>
      <c r="F181" s="12" t="str">
        <f t="array" ref="F181">IF(OR(B181="",B181="---"),"---",TRUNC(IFERROR(MODE(IF((tabDados[Descrição Padronizada]=B181)*(tabDados[Vida Útil (meses)]&lt;&gt;""),tabDados[Vida Útil (meses)],"-")),AVERAGEIFS(tabDados[Vida Útil (meses)],tabDados[Descrição Padronizada],B181))+0.5))</f>
        <v>---</v>
      </c>
      <c r="G181" s="13" t="str">
        <f>IF(OR(B181="",B181="---"),"---",TRUNC(IFERROR(AVERAGEIFS(tabDados[Manutenção (%)],tabDados[Descrição Padronizada],B181,tabDados[Manutenção (%)],"&gt;"&amp;0),0)*10000)/10000)</f>
        <v>---</v>
      </c>
      <c r="H181" s="24" t="str">
        <f>IF(OR(B181="---",B181=""),"---",COUNTIF(tabDados[[#All],[Descrição Padronizada]],B181))</f>
        <v>---</v>
      </c>
      <c r="I181" s="24" t="s">
        <v>20</v>
      </c>
    </row>
    <row r="182" spans="1:9" hidden="1" x14ac:dyDescent="0.35">
      <c r="A182" s="15">
        <v>180</v>
      </c>
      <c r="C182" s="16" t="str">
        <f t="array" ref="C182">IF(B182="","---",IFERROR(
   _xlfn.PERCENTILE.INC(
      IF((tabDados[Descrição Padronizada]=B182)*(tabDados[Valor Unitário]&lt;&gt;""),
         tabDados[Valor Unitário],""
      ),
   C$1),
   _xlfn.MINIFS(tabDados[Valor Unitário],tabDados[Descrição Padronizada],B182)
))</f>
        <v>---</v>
      </c>
      <c r="D182" s="16" t="str">
        <f t="array" ref="D182">IF(B182="","---",IFERROR(
   _xlfn.PERCENTILE.INC(
      IF((tabDados[Descrição Padronizada]=B182)*(tabDados[Valor Unitário]&lt;&gt;""),
         tabDados[Valor Unitário],""
      ),
   D$1),
   _xlfn.MAXIFS(tabDados[Valor Unitário],tabDados[Descrição Padronizada],B182)
))</f>
        <v>---</v>
      </c>
      <c r="E182" s="16" t="str">
        <f>IF(OR(B182="",B182="---"),"---",
   IFERROR(AVERAGEIFS(tabDados[Valor Unitário],tabDados[Descrição Padronizada],B182,tabDados[Valor Unitário],"&gt;="&amp;C182,tabDados[Valor Unitário],"&lt;="&amp;D182),AVERAGE(C182,D182))
)</f>
        <v>---</v>
      </c>
      <c r="F182" s="12" t="str">
        <f t="array" ref="F182">IF(OR(B182="",B182="---"),"---",TRUNC(IFERROR(MODE(IF((tabDados[Descrição Padronizada]=B182)*(tabDados[Vida Útil (meses)]&lt;&gt;""),tabDados[Vida Útil (meses)],"-")),AVERAGEIFS(tabDados[Vida Útil (meses)],tabDados[Descrição Padronizada],B182))+0.5))</f>
        <v>---</v>
      </c>
      <c r="G182" s="13" t="str">
        <f>IF(OR(B182="",B182="---"),"---",TRUNC(IFERROR(AVERAGEIFS(tabDados[Manutenção (%)],tabDados[Descrição Padronizada],B182,tabDados[Manutenção (%)],"&gt;"&amp;0),0)*10000)/10000)</f>
        <v>---</v>
      </c>
      <c r="H182" s="24" t="str">
        <f>IF(OR(B182="---",B182=""),"---",COUNTIF(tabDados[[#All],[Descrição Padronizada]],B182))</f>
        <v>---</v>
      </c>
      <c r="I182" s="24" t="s">
        <v>20</v>
      </c>
    </row>
    <row r="183" spans="1:9" hidden="1" x14ac:dyDescent="0.35">
      <c r="A183" s="15">
        <v>181</v>
      </c>
      <c r="C183" s="16" t="str">
        <f t="array" ref="C183">IF(B183="","---",IFERROR(
   _xlfn.PERCENTILE.INC(
      IF((tabDados[Descrição Padronizada]=B183)*(tabDados[Valor Unitário]&lt;&gt;""),
         tabDados[Valor Unitário],""
      ),
   C$1),
   _xlfn.MINIFS(tabDados[Valor Unitário],tabDados[Descrição Padronizada],B183)
))</f>
        <v>---</v>
      </c>
      <c r="D183" s="16" t="str">
        <f t="array" ref="D183">IF(B183="","---",IFERROR(
   _xlfn.PERCENTILE.INC(
      IF((tabDados[Descrição Padronizada]=B183)*(tabDados[Valor Unitário]&lt;&gt;""),
         tabDados[Valor Unitário],""
      ),
   D$1),
   _xlfn.MAXIFS(tabDados[Valor Unitário],tabDados[Descrição Padronizada],B183)
))</f>
        <v>---</v>
      </c>
      <c r="E183" s="16" t="str">
        <f>IF(OR(B183="",B183="---"),"---",
   IFERROR(AVERAGEIFS(tabDados[Valor Unitário],tabDados[Descrição Padronizada],B183,tabDados[Valor Unitário],"&gt;="&amp;C183,tabDados[Valor Unitário],"&lt;="&amp;D183),AVERAGE(C183,D183))
)</f>
        <v>---</v>
      </c>
      <c r="F183" s="12" t="str">
        <f t="array" ref="F183">IF(OR(B183="",B183="---"),"---",TRUNC(IFERROR(MODE(IF((tabDados[Descrição Padronizada]=B183)*(tabDados[Vida Útil (meses)]&lt;&gt;""),tabDados[Vida Útil (meses)],"-")),AVERAGEIFS(tabDados[Vida Útil (meses)],tabDados[Descrição Padronizada],B183))+0.5))</f>
        <v>---</v>
      </c>
      <c r="G183" s="13" t="str">
        <f>IF(OR(B183="",B183="---"),"---",TRUNC(IFERROR(AVERAGEIFS(tabDados[Manutenção (%)],tabDados[Descrição Padronizada],B183,tabDados[Manutenção (%)],"&gt;"&amp;0),0)*10000)/10000)</f>
        <v>---</v>
      </c>
      <c r="H183" s="24" t="str">
        <f>IF(OR(B183="---",B183=""),"---",COUNTIF(tabDados[[#All],[Descrição Padronizada]],B183))</f>
        <v>---</v>
      </c>
      <c r="I183" s="24" t="s">
        <v>20</v>
      </c>
    </row>
    <row r="184" spans="1:9" hidden="1" x14ac:dyDescent="0.35">
      <c r="A184" s="15">
        <v>182</v>
      </c>
      <c r="C184" s="16" t="str">
        <f t="array" ref="C184">IF(B184="","---",IFERROR(
   _xlfn.PERCENTILE.INC(
      IF((tabDados[Descrição Padronizada]=B184)*(tabDados[Valor Unitário]&lt;&gt;""),
         tabDados[Valor Unitário],""
      ),
   C$1),
   _xlfn.MINIFS(tabDados[Valor Unitário],tabDados[Descrição Padronizada],B184)
))</f>
        <v>---</v>
      </c>
      <c r="D184" s="16" t="str">
        <f t="array" ref="D184">IF(B184="","---",IFERROR(
   _xlfn.PERCENTILE.INC(
      IF((tabDados[Descrição Padronizada]=B184)*(tabDados[Valor Unitário]&lt;&gt;""),
         tabDados[Valor Unitário],""
      ),
   D$1),
   _xlfn.MAXIFS(tabDados[Valor Unitário],tabDados[Descrição Padronizada],B184)
))</f>
        <v>---</v>
      </c>
      <c r="E184" s="16" t="str">
        <f>IF(OR(B184="",B184="---"),"---",
   IFERROR(AVERAGEIFS(tabDados[Valor Unitário],tabDados[Descrição Padronizada],B184,tabDados[Valor Unitário],"&gt;="&amp;C184,tabDados[Valor Unitário],"&lt;="&amp;D184),AVERAGE(C184,D184))
)</f>
        <v>---</v>
      </c>
      <c r="F184" s="12" t="str">
        <f t="array" ref="F184">IF(OR(B184="",B184="---"),"---",TRUNC(IFERROR(MODE(IF((tabDados[Descrição Padronizada]=B184)*(tabDados[Vida Útil (meses)]&lt;&gt;""),tabDados[Vida Útil (meses)],"-")),AVERAGEIFS(tabDados[Vida Útil (meses)],tabDados[Descrição Padronizada],B184))+0.5))</f>
        <v>---</v>
      </c>
      <c r="G184" s="13" t="str">
        <f>IF(OR(B184="",B184="---"),"---",TRUNC(IFERROR(AVERAGEIFS(tabDados[Manutenção (%)],tabDados[Descrição Padronizada],B184,tabDados[Manutenção (%)],"&gt;"&amp;0),0)*10000)/10000)</f>
        <v>---</v>
      </c>
      <c r="H184" s="24" t="str">
        <f>IF(OR(B184="---",B184=""),"---",COUNTIF(tabDados[[#All],[Descrição Padronizada]],B184))</f>
        <v>---</v>
      </c>
      <c r="I184" s="24" t="s">
        <v>20</v>
      </c>
    </row>
    <row r="185" spans="1:9" hidden="1" x14ac:dyDescent="0.35">
      <c r="A185" s="15">
        <v>183</v>
      </c>
      <c r="C185" s="16" t="str">
        <f t="array" ref="C185">IF(B185="","---",IFERROR(
   _xlfn.PERCENTILE.INC(
      IF((tabDados[Descrição Padronizada]=B185)*(tabDados[Valor Unitário]&lt;&gt;""),
         tabDados[Valor Unitário],""
      ),
   C$1),
   _xlfn.MINIFS(tabDados[Valor Unitário],tabDados[Descrição Padronizada],B185)
))</f>
        <v>---</v>
      </c>
      <c r="D185" s="16" t="str">
        <f t="array" ref="D185">IF(B185="","---",IFERROR(
   _xlfn.PERCENTILE.INC(
      IF((tabDados[Descrição Padronizada]=B185)*(tabDados[Valor Unitário]&lt;&gt;""),
         tabDados[Valor Unitário],""
      ),
   D$1),
   _xlfn.MAXIFS(tabDados[Valor Unitário],tabDados[Descrição Padronizada],B185)
))</f>
        <v>---</v>
      </c>
      <c r="E185" s="16" t="str">
        <f>IF(OR(B185="",B185="---"),"---",
   IFERROR(AVERAGEIFS(tabDados[Valor Unitário],tabDados[Descrição Padronizada],B185,tabDados[Valor Unitário],"&gt;="&amp;C185,tabDados[Valor Unitário],"&lt;="&amp;D185),AVERAGE(C185,D185))
)</f>
        <v>---</v>
      </c>
      <c r="F185" s="12" t="str">
        <f t="array" ref="F185">IF(OR(B185="",B185="---"),"---",TRUNC(IFERROR(MODE(IF((tabDados[Descrição Padronizada]=B185)*(tabDados[Vida Útil (meses)]&lt;&gt;""),tabDados[Vida Útil (meses)],"-")),AVERAGEIFS(tabDados[Vida Útil (meses)],tabDados[Descrição Padronizada],B185))+0.5))</f>
        <v>---</v>
      </c>
      <c r="G185" s="13" t="str">
        <f>IF(OR(B185="",B185="---"),"---",TRUNC(IFERROR(AVERAGEIFS(tabDados[Manutenção (%)],tabDados[Descrição Padronizada],B185,tabDados[Manutenção (%)],"&gt;"&amp;0),0)*10000)/10000)</f>
        <v>---</v>
      </c>
      <c r="H185" s="24" t="str">
        <f>IF(OR(B185="---",B185=""),"---",COUNTIF(tabDados[[#All],[Descrição Padronizada]],B185))</f>
        <v>---</v>
      </c>
      <c r="I185" s="24" t="s">
        <v>20</v>
      </c>
    </row>
    <row r="186" spans="1:9" hidden="1" x14ac:dyDescent="0.35">
      <c r="A186" s="15">
        <v>184</v>
      </c>
      <c r="C186" s="16" t="str">
        <f t="array" ref="C186">IF(B186="","---",IFERROR(
   _xlfn.PERCENTILE.INC(
      IF((tabDados[Descrição Padronizada]=B186)*(tabDados[Valor Unitário]&lt;&gt;""),
         tabDados[Valor Unitário],""
      ),
   C$1),
   _xlfn.MINIFS(tabDados[Valor Unitário],tabDados[Descrição Padronizada],B186)
))</f>
        <v>---</v>
      </c>
      <c r="D186" s="16" t="str">
        <f t="array" ref="D186">IF(B186="","---",IFERROR(
   _xlfn.PERCENTILE.INC(
      IF((tabDados[Descrição Padronizada]=B186)*(tabDados[Valor Unitário]&lt;&gt;""),
         tabDados[Valor Unitário],""
      ),
   D$1),
   _xlfn.MAXIFS(tabDados[Valor Unitário],tabDados[Descrição Padronizada],B186)
))</f>
        <v>---</v>
      </c>
      <c r="E186" s="16" t="str">
        <f>IF(OR(B186="",B186="---"),"---",
   IFERROR(AVERAGEIFS(tabDados[Valor Unitário],tabDados[Descrição Padronizada],B186,tabDados[Valor Unitário],"&gt;="&amp;C186,tabDados[Valor Unitário],"&lt;="&amp;D186),AVERAGE(C186,D186))
)</f>
        <v>---</v>
      </c>
      <c r="F186" s="12" t="str">
        <f t="array" ref="F186">IF(OR(B186="",B186="---"),"---",TRUNC(IFERROR(MODE(IF((tabDados[Descrição Padronizada]=B186)*(tabDados[Vida Útil (meses)]&lt;&gt;""),tabDados[Vida Útil (meses)],"-")),AVERAGEIFS(tabDados[Vida Útil (meses)],tabDados[Descrição Padronizada],B186))+0.5))</f>
        <v>---</v>
      </c>
      <c r="G186" s="13" t="str">
        <f>IF(OR(B186="",B186="---"),"---",TRUNC(IFERROR(AVERAGEIFS(tabDados[Manutenção (%)],tabDados[Descrição Padronizada],B186,tabDados[Manutenção (%)],"&gt;"&amp;0),0)*10000)/10000)</f>
        <v>---</v>
      </c>
      <c r="H186" s="24" t="str">
        <f>IF(OR(B186="---",B186=""),"---",COUNTIF(tabDados[[#All],[Descrição Padronizada]],B186))</f>
        <v>---</v>
      </c>
      <c r="I186" s="24" t="s">
        <v>20</v>
      </c>
    </row>
    <row r="187" spans="1:9" hidden="1" x14ac:dyDescent="0.35">
      <c r="A187" s="15">
        <v>185</v>
      </c>
      <c r="C187" s="16" t="str">
        <f t="array" ref="C187">IF(B187="","---",IFERROR(
   _xlfn.PERCENTILE.INC(
      IF((tabDados[Descrição Padronizada]=B187)*(tabDados[Valor Unitário]&lt;&gt;""),
         tabDados[Valor Unitário],""
      ),
   C$1),
   _xlfn.MINIFS(tabDados[Valor Unitário],tabDados[Descrição Padronizada],B187)
))</f>
        <v>---</v>
      </c>
      <c r="D187" s="16" t="str">
        <f t="array" ref="D187">IF(B187="","---",IFERROR(
   _xlfn.PERCENTILE.INC(
      IF((tabDados[Descrição Padronizada]=B187)*(tabDados[Valor Unitário]&lt;&gt;""),
         tabDados[Valor Unitário],""
      ),
   D$1),
   _xlfn.MAXIFS(tabDados[Valor Unitário],tabDados[Descrição Padronizada],B187)
))</f>
        <v>---</v>
      </c>
      <c r="E187" s="16" t="str">
        <f>IF(OR(B187="",B187="---"),"---",
   IFERROR(AVERAGEIFS(tabDados[Valor Unitário],tabDados[Descrição Padronizada],B187,tabDados[Valor Unitário],"&gt;="&amp;C187,tabDados[Valor Unitário],"&lt;="&amp;D187),AVERAGE(C187,D187))
)</f>
        <v>---</v>
      </c>
      <c r="F187" s="12" t="str">
        <f t="array" ref="F187">IF(OR(B187="",B187="---"),"---",TRUNC(IFERROR(MODE(IF((tabDados[Descrição Padronizada]=B187)*(tabDados[Vida Útil (meses)]&lt;&gt;""),tabDados[Vida Útil (meses)],"-")),AVERAGEIFS(tabDados[Vida Útil (meses)],tabDados[Descrição Padronizada],B187))+0.5))</f>
        <v>---</v>
      </c>
      <c r="G187" s="13" t="str">
        <f>IF(OR(B187="",B187="---"),"---",TRUNC(IFERROR(AVERAGEIFS(tabDados[Manutenção (%)],tabDados[Descrição Padronizada],B187,tabDados[Manutenção (%)],"&gt;"&amp;0),0)*10000)/10000)</f>
        <v>---</v>
      </c>
      <c r="H187" s="24" t="str">
        <f>IF(OR(B187="---",B187=""),"---",COUNTIF(tabDados[[#All],[Descrição Padronizada]],B187))</f>
        <v>---</v>
      </c>
      <c r="I187" s="24" t="s">
        <v>20</v>
      </c>
    </row>
    <row r="188" spans="1:9" hidden="1" x14ac:dyDescent="0.35">
      <c r="A188" s="15">
        <v>186</v>
      </c>
      <c r="C188" s="16" t="str">
        <f t="array" ref="C188">IF(B188="","---",IFERROR(
   _xlfn.PERCENTILE.INC(
      IF((tabDados[Descrição Padronizada]=B188)*(tabDados[Valor Unitário]&lt;&gt;""),
         tabDados[Valor Unitário],""
      ),
   C$1),
   _xlfn.MINIFS(tabDados[Valor Unitário],tabDados[Descrição Padronizada],B188)
))</f>
        <v>---</v>
      </c>
      <c r="D188" s="16" t="str">
        <f t="array" ref="D188">IF(B188="","---",IFERROR(
   _xlfn.PERCENTILE.INC(
      IF((tabDados[Descrição Padronizada]=B188)*(tabDados[Valor Unitário]&lt;&gt;""),
         tabDados[Valor Unitário],""
      ),
   D$1),
   _xlfn.MAXIFS(tabDados[Valor Unitário],tabDados[Descrição Padronizada],B188)
))</f>
        <v>---</v>
      </c>
      <c r="E188" s="16" t="str">
        <f>IF(OR(B188="",B188="---"),"---",
   IFERROR(AVERAGEIFS(tabDados[Valor Unitário],tabDados[Descrição Padronizada],B188,tabDados[Valor Unitário],"&gt;="&amp;C188,tabDados[Valor Unitário],"&lt;="&amp;D188),AVERAGE(C188,D188))
)</f>
        <v>---</v>
      </c>
      <c r="F188" s="12" t="str">
        <f t="array" ref="F188">IF(OR(B188="",B188="---"),"---",TRUNC(IFERROR(MODE(IF((tabDados[Descrição Padronizada]=B188)*(tabDados[Vida Útil (meses)]&lt;&gt;""),tabDados[Vida Útil (meses)],"-")),AVERAGEIFS(tabDados[Vida Útil (meses)],tabDados[Descrição Padronizada],B188))+0.5))</f>
        <v>---</v>
      </c>
      <c r="G188" s="13" t="str">
        <f>IF(OR(B188="",B188="---"),"---",TRUNC(IFERROR(AVERAGEIFS(tabDados[Manutenção (%)],tabDados[Descrição Padronizada],B188,tabDados[Manutenção (%)],"&gt;"&amp;0),0)*10000)/10000)</f>
        <v>---</v>
      </c>
      <c r="H188" s="24" t="str">
        <f>IF(OR(B188="---",B188=""),"---",COUNTIF(tabDados[[#All],[Descrição Padronizada]],B188))</f>
        <v>---</v>
      </c>
      <c r="I188" s="24" t="s">
        <v>20</v>
      </c>
    </row>
    <row r="189" spans="1:9" hidden="1" x14ac:dyDescent="0.35">
      <c r="A189" s="15">
        <v>187</v>
      </c>
      <c r="C189" s="16" t="str">
        <f t="array" ref="C189">IF(B189="","---",IFERROR(
   _xlfn.PERCENTILE.INC(
      IF((tabDados[Descrição Padronizada]=B189)*(tabDados[Valor Unitário]&lt;&gt;""),
         tabDados[Valor Unitário],""
      ),
   C$1),
   _xlfn.MINIFS(tabDados[Valor Unitário],tabDados[Descrição Padronizada],B189)
))</f>
        <v>---</v>
      </c>
      <c r="D189" s="16" t="str">
        <f t="array" ref="D189">IF(B189="","---",IFERROR(
   _xlfn.PERCENTILE.INC(
      IF((tabDados[Descrição Padronizada]=B189)*(tabDados[Valor Unitário]&lt;&gt;""),
         tabDados[Valor Unitário],""
      ),
   D$1),
   _xlfn.MAXIFS(tabDados[Valor Unitário],tabDados[Descrição Padronizada],B189)
))</f>
        <v>---</v>
      </c>
      <c r="E189" s="16" t="str">
        <f>IF(OR(B189="",B189="---"),"---",
   IFERROR(AVERAGEIFS(tabDados[Valor Unitário],tabDados[Descrição Padronizada],B189,tabDados[Valor Unitário],"&gt;="&amp;C189,tabDados[Valor Unitário],"&lt;="&amp;D189),AVERAGE(C189,D189))
)</f>
        <v>---</v>
      </c>
      <c r="F189" s="12" t="str">
        <f t="array" ref="F189">IF(OR(B189="",B189="---"),"---",TRUNC(IFERROR(MODE(IF((tabDados[Descrição Padronizada]=B189)*(tabDados[Vida Útil (meses)]&lt;&gt;""),tabDados[Vida Útil (meses)],"-")),AVERAGEIFS(tabDados[Vida Útil (meses)],tabDados[Descrição Padronizada],B189))+0.5))</f>
        <v>---</v>
      </c>
      <c r="G189" s="13" t="str">
        <f>IF(OR(B189="",B189="---"),"---",TRUNC(IFERROR(AVERAGEIFS(tabDados[Manutenção (%)],tabDados[Descrição Padronizada],B189,tabDados[Manutenção (%)],"&gt;"&amp;0),0)*10000)/10000)</f>
        <v>---</v>
      </c>
      <c r="H189" s="24" t="str">
        <f>IF(OR(B189="---",B189=""),"---",COUNTIF(tabDados[[#All],[Descrição Padronizada]],B189))</f>
        <v>---</v>
      </c>
      <c r="I189" s="24" t="s">
        <v>20</v>
      </c>
    </row>
    <row r="190" spans="1:9" hidden="1" x14ac:dyDescent="0.35">
      <c r="A190" s="15">
        <v>188</v>
      </c>
      <c r="C190" s="16" t="str">
        <f t="array" ref="C190">IF(B190="","---",IFERROR(
   _xlfn.PERCENTILE.INC(
      IF((tabDados[Descrição Padronizada]=B190)*(tabDados[Valor Unitário]&lt;&gt;""),
         tabDados[Valor Unitário],""
      ),
   C$1),
   _xlfn.MINIFS(tabDados[Valor Unitário],tabDados[Descrição Padronizada],B190)
))</f>
        <v>---</v>
      </c>
      <c r="D190" s="16" t="str">
        <f t="array" ref="D190">IF(B190="","---",IFERROR(
   _xlfn.PERCENTILE.INC(
      IF((tabDados[Descrição Padronizada]=B190)*(tabDados[Valor Unitário]&lt;&gt;""),
         tabDados[Valor Unitário],""
      ),
   D$1),
   _xlfn.MAXIFS(tabDados[Valor Unitário],tabDados[Descrição Padronizada],B190)
))</f>
        <v>---</v>
      </c>
      <c r="E190" s="16" t="str">
        <f>IF(OR(B190="",B190="---"),"---",
   IFERROR(AVERAGEIFS(tabDados[Valor Unitário],tabDados[Descrição Padronizada],B190,tabDados[Valor Unitário],"&gt;="&amp;C190,tabDados[Valor Unitário],"&lt;="&amp;D190),AVERAGE(C190,D190))
)</f>
        <v>---</v>
      </c>
      <c r="F190" s="12" t="str">
        <f t="array" ref="F190">IF(OR(B190="",B190="---"),"---",TRUNC(IFERROR(MODE(IF((tabDados[Descrição Padronizada]=B190)*(tabDados[Vida Útil (meses)]&lt;&gt;""),tabDados[Vida Útil (meses)],"-")),AVERAGEIFS(tabDados[Vida Útil (meses)],tabDados[Descrição Padronizada],B190))+0.5))</f>
        <v>---</v>
      </c>
      <c r="G190" s="13" t="str">
        <f>IF(OR(B190="",B190="---"),"---",TRUNC(IFERROR(AVERAGEIFS(tabDados[Manutenção (%)],tabDados[Descrição Padronizada],B190,tabDados[Manutenção (%)],"&gt;"&amp;0),0)*10000)/10000)</f>
        <v>---</v>
      </c>
      <c r="H190" s="24" t="str">
        <f>IF(OR(B190="---",B190=""),"---",COUNTIF(tabDados[[#All],[Descrição Padronizada]],B190))</f>
        <v>---</v>
      </c>
      <c r="I190" s="24" t="s">
        <v>20</v>
      </c>
    </row>
    <row r="191" spans="1:9" hidden="1" x14ac:dyDescent="0.35">
      <c r="A191" s="15">
        <v>189</v>
      </c>
      <c r="C191" s="16" t="str">
        <f t="array" ref="C191">IF(B191="","---",IFERROR(
   _xlfn.PERCENTILE.INC(
      IF((tabDados[Descrição Padronizada]=B191)*(tabDados[Valor Unitário]&lt;&gt;""),
         tabDados[Valor Unitário],""
      ),
   C$1),
   _xlfn.MINIFS(tabDados[Valor Unitário],tabDados[Descrição Padronizada],B191)
))</f>
        <v>---</v>
      </c>
      <c r="D191" s="16" t="str">
        <f t="array" ref="D191">IF(B191="","---",IFERROR(
   _xlfn.PERCENTILE.INC(
      IF((tabDados[Descrição Padronizada]=B191)*(tabDados[Valor Unitário]&lt;&gt;""),
         tabDados[Valor Unitário],""
      ),
   D$1),
   _xlfn.MAXIFS(tabDados[Valor Unitário],tabDados[Descrição Padronizada],B191)
))</f>
        <v>---</v>
      </c>
      <c r="E191" s="16" t="str">
        <f>IF(OR(B191="",B191="---"),"---",
   IFERROR(AVERAGEIFS(tabDados[Valor Unitário],tabDados[Descrição Padronizada],B191,tabDados[Valor Unitário],"&gt;="&amp;C191,tabDados[Valor Unitário],"&lt;="&amp;D191),AVERAGE(C191,D191))
)</f>
        <v>---</v>
      </c>
      <c r="F191" s="12" t="str">
        <f t="array" ref="F191">IF(OR(B191="",B191="---"),"---",TRUNC(IFERROR(MODE(IF((tabDados[Descrição Padronizada]=B191)*(tabDados[Vida Útil (meses)]&lt;&gt;""),tabDados[Vida Útil (meses)],"-")),AVERAGEIFS(tabDados[Vida Útil (meses)],tabDados[Descrição Padronizada],B191))+0.5))</f>
        <v>---</v>
      </c>
      <c r="G191" s="13" t="str">
        <f>IF(OR(B191="",B191="---"),"---",TRUNC(IFERROR(AVERAGEIFS(tabDados[Manutenção (%)],tabDados[Descrição Padronizada],B191,tabDados[Manutenção (%)],"&gt;"&amp;0),0)*10000)/10000)</f>
        <v>---</v>
      </c>
      <c r="H191" s="24" t="str">
        <f>IF(OR(B191="---",B191=""),"---",COUNTIF(tabDados[[#All],[Descrição Padronizada]],B191))</f>
        <v>---</v>
      </c>
      <c r="I191" s="24" t="s">
        <v>20</v>
      </c>
    </row>
    <row r="192" spans="1:9" hidden="1" x14ac:dyDescent="0.35">
      <c r="A192" s="15">
        <v>190</v>
      </c>
      <c r="C192" s="16" t="str">
        <f t="array" ref="C192">IF(B192="","---",IFERROR(
   _xlfn.PERCENTILE.INC(
      IF((tabDados[Descrição Padronizada]=B192)*(tabDados[Valor Unitário]&lt;&gt;""),
         tabDados[Valor Unitário],""
      ),
   C$1),
   _xlfn.MINIFS(tabDados[Valor Unitário],tabDados[Descrição Padronizada],B192)
))</f>
        <v>---</v>
      </c>
      <c r="D192" s="16" t="str">
        <f t="array" ref="D192">IF(B192="","---",IFERROR(
   _xlfn.PERCENTILE.INC(
      IF((tabDados[Descrição Padronizada]=B192)*(tabDados[Valor Unitário]&lt;&gt;""),
         tabDados[Valor Unitário],""
      ),
   D$1),
   _xlfn.MAXIFS(tabDados[Valor Unitário],tabDados[Descrição Padronizada],B192)
))</f>
        <v>---</v>
      </c>
      <c r="E192" s="16" t="str">
        <f>IF(OR(B192="",B192="---"),"---",
   IFERROR(AVERAGEIFS(tabDados[Valor Unitário],tabDados[Descrição Padronizada],B192,tabDados[Valor Unitário],"&gt;="&amp;C192,tabDados[Valor Unitário],"&lt;="&amp;D192),AVERAGE(C192,D192))
)</f>
        <v>---</v>
      </c>
      <c r="F192" s="12" t="str">
        <f t="array" ref="F192">IF(OR(B192="",B192="---"),"---",TRUNC(IFERROR(MODE(IF((tabDados[Descrição Padronizada]=B192)*(tabDados[Vida Útil (meses)]&lt;&gt;""),tabDados[Vida Útil (meses)],"-")),AVERAGEIFS(tabDados[Vida Útil (meses)],tabDados[Descrição Padronizada],B192))+0.5))</f>
        <v>---</v>
      </c>
      <c r="G192" s="13" t="str">
        <f>IF(OR(B192="",B192="---"),"---",TRUNC(IFERROR(AVERAGEIFS(tabDados[Manutenção (%)],tabDados[Descrição Padronizada],B192,tabDados[Manutenção (%)],"&gt;"&amp;0),0)*10000)/10000)</f>
        <v>---</v>
      </c>
      <c r="H192" s="24" t="str">
        <f>IF(OR(B192="---",B192=""),"---",COUNTIF(tabDados[[#All],[Descrição Padronizada]],B192))</f>
        <v>---</v>
      </c>
      <c r="I192" s="24" t="s">
        <v>20</v>
      </c>
    </row>
    <row r="193" spans="1:9" hidden="1" x14ac:dyDescent="0.35">
      <c r="A193" s="15">
        <v>191</v>
      </c>
      <c r="C193" s="16" t="str">
        <f t="array" ref="C193">IF(B193="","---",IFERROR(
   _xlfn.PERCENTILE.INC(
      IF((tabDados[Descrição Padronizada]=B193)*(tabDados[Valor Unitário]&lt;&gt;""),
         tabDados[Valor Unitário],""
      ),
   C$1),
   _xlfn.MINIFS(tabDados[Valor Unitário],tabDados[Descrição Padronizada],B193)
))</f>
        <v>---</v>
      </c>
      <c r="D193" s="16" t="str">
        <f t="array" ref="D193">IF(B193="","---",IFERROR(
   _xlfn.PERCENTILE.INC(
      IF((tabDados[Descrição Padronizada]=B193)*(tabDados[Valor Unitário]&lt;&gt;""),
         tabDados[Valor Unitário],""
      ),
   D$1),
   _xlfn.MAXIFS(tabDados[Valor Unitário],tabDados[Descrição Padronizada],B193)
))</f>
        <v>---</v>
      </c>
      <c r="E193" s="16" t="str">
        <f>IF(OR(B193="",B193="---"),"---",
   IFERROR(AVERAGEIFS(tabDados[Valor Unitário],tabDados[Descrição Padronizada],B193,tabDados[Valor Unitário],"&gt;="&amp;C193,tabDados[Valor Unitário],"&lt;="&amp;D193),AVERAGE(C193,D193))
)</f>
        <v>---</v>
      </c>
      <c r="F193" s="12" t="str">
        <f t="array" ref="F193">IF(OR(B193="",B193="---"),"---",TRUNC(IFERROR(MODE(IF((tabDados[Descrição Padronizada]=B193)*(tabDados[Vida Útil (meses)]&lt;&gt;""),tabDados[Vida Útil (meses)],"-")),AVERAGEIFS(tabDados[Vida Útil (meses)],tabDados[Descrição Padronizada],B193))+0.5))</f>
        <v>---</v>
      </c>
      <c r="G193" s="13" t="str">
        <f>IF(OR(B193="",B193="---"),"---",TRUNC(IFERROR(AVERAGEIFS(tabDados[Manutenção (%)],tabDados[Descrição Padronizada],B193,tabDados[Manutenção (%)],"&gt;"&amp;0),0)*10000)/10000)</f>
        <v>---</v>
      </c>
      <c r="H193" s="24" t="str">
        <f>IF(OR(B193="---",B193=""),"---",COUNTIF(tabDados[[#All],[Descrição Padronizada]],B193))</f>
        <v>---</v>
      </c>
      <c r="I193" s="24" t="s">
        <v>20</v>
      </c>
    </row>
    <row r="194" spans="1:9" hidden="1" x14ac:dyDescent="0.35">
      <c r="A194" s="15">
        <v>192</v>
      </c>
      <c r="C194" s="16" t="str">
        <f t="array" ref="C194">IF(B194="","---",IFERROR(
   _xlfn.PERCENTILE.INC(
      IF((tabDados[Descrição Padronizada]=B194)*(tabDados[Valor Unitário]&lt;&gt;""),
         tabDados[Valor Unitário],""
      ),
   C$1),
   _xlfn.MINIFS(tabDados[Valor Unitário],tabDados[Descrição Padronizada],B194)
))</f>
        <v>---</v>
      </c>
      <c r="D194" s="16" t="str">
        <f t="array" ref="D194">IF(B194="","---",IFERROR(
   _xlfn.PERCENTILE.INC(
      IF((tabDados[Descrição Padronizada]=B194)*(tabDados[Valor Unitário]&lt;&gt;""),
         tabDados[Valor Unitário],""
      ),
   D$1),
   _xlfn.MAXIFS(tabDados[Valor Unitário],tabDados[Descrição Padronizada],B194)
))</f>
        <v>---</v>
      </c>
      <c r="E194" s="16" t="str">
        <f>IF(OR(B194="",B194="---"),"---",
   IFERROR(AVERAGEIFS(tabDados[Valor Unitário],tabDados[Descrição Padronizada],B194,tabDados[Valor Unitário],"&gt;="&amp;C194,tabDados[Valor Unitário],"&lt;="&amp;D194),AVERAGE(C194,D194))
)</f>
        <v>---</v>
      </c>
      <c r="F194" s="12" t="str">
        <f t="array" ref="F194">IF(OR(B194="",B194="---"),"---",TRUNC(IFERROR(MODE(IF((tabDados[Descrição Padronizada]=B194)*(tabDados[Vida Útil (meses)]&lt;&gt;""),tabDados[Vida Útil (meses)],"-")),AVERAGEIFS(tabDados[Vida Útil (meses)],tabDados[Descrição Padronizada],B194))+0.5))</f>
        <v>---</v>
      </c>
      <c r="G194" s="13" t="str">
        <f>IF(OR(B194="",B194="---"),"---",TRUNC(IFERROR(AVERAGEIFS(tabDados[Manutenção (%)],tabDados[Descrição Padronizada],B194,tabDados[Manutenção (%)],"&gt;"&amp;0),0)*10000)/10000)</f>
        <v>---</v>
      </c>
      <c r="H194" s="24" t="str">
        <f>IF(OR(B194="---",B194=""),"---",COUNTIF(tabDados[[#All],[Descrição Padronizada]],B194))</f>
        <v>---</v>
      </c>
      <c r="I194" s="24" t="s">
        <v>20</v>
      </c>
    </row>
    <row r="195" spans="1:9" hidden="1" x14ac:dyDescent="0.35">
      <c r="A195" s="15">
        <v>193</v>
      </c>
      <c r="C195" s="16" t="str">
        <f t="array" ref="C195">IF(B195="","---",IFERROR(
   _xlfn.PERCENTILE.INC(
      IF((tabDados[Descrição Padronizada]=B195)*(tabDados[Valor Unitário]&lt;&gt;""),
         tabDados[Valor Unitário],""
      ),
   C$1),
   _xlfn.MINIFS(tabDados[Valor Unitário],tabDados[Descrição Padronizada],B195)
))</f>
        <v>---</v>
      </c>
      <c r="D195" s="16" t="str">
        <f t="array" ref="D195">IF(B195="","---",IFERROR(
   _xlfn.PERCENTILE.INC(
      IF((tabDados[Descrição Padronizada]=B195)*(tabDados[Valor Unitário]&lt;&gt;""),
         tabDados[Valor Unitário],""
      ),
   D$1),
   _xlfn.MAXIFS(tabDados[Valor Unitário],tabDados[Descrição Padronizada],B195)
))</f>
        <v>---</v>
      </c>
      <c r="E195" s="16" t="str">
        <f>IF(OR(B195="",B195="---"),"---",
   IFERROR(AVERAGEIFS(tabDados[Valor Unitário],tabDados[Descrição Padronizada],B195,tabDados[Valor Unitário],"&gt;="&amp;C195,tabDados[Valor Unitário],"&lt;="&amp;D195),AVERAGE(C195,D195))
)</f>
        <v>---</v>
      </c>
      <c r="F195" s="12" t="str">
        <f t="array" ref="F195">IF(OR(B195="",B195="---"),"---",TRUNC(IFERROR(MODE(IF((tabDados[Descrição Padronizada]=B195)*(tabDados[Vida Útil (meses)]&lt;&gt;""),tabDados[Vida Útil (meses)],"-")),AVERAGEIFS(tabDados[Vida Útil (meses)],tabDados[Descrição Padronizada],B195))+0.5))</f>
        <v>---</v>
      </c>
      <c r="G195" s="13" t="str">
        <f>IF(OR(B195="",B195="---"),"---",TRUNC(IFERROR(AVERAGEIFS(tabDados[Manutenção (%)],tabDados[Descrição Padronizada],B195,tabDados[Manutenção (%)],"&gt;"&amp;0),0)*10000)/10000)</f>
        <v>---</v>
      </c>
      <c r="H195" s="24" t="str">
        <f>IF(OR(B195="---",B195=""),"---",COUNTIF(tabDados[[#All],[Descrição Padronizada]],B195))</f>
        <v>---</v>
      </c>
      <c r="I195" s="24" t="s">
        <v>20</v>
      </c>
    </row>
    <row r="196" spans="1:9" hidden="1" x14ac:dyDescent="0.35">
      <c r="A196" s="15">
        <v>194</v>
      </c>
      <c r="C196" s="16" t="str">
        <f t="array" ref="C196">IF(B196="","---",IFERROR(
   _xlfn.PERCENTILE.INC(
      IF((tabDados[Descrição Padronizada]=B196)*(tabDados[Valor Unitário]&lt;&gt;""),
         tabDados[Valor Unitário],""
      ),
   C$1),
   _xlfn.MINIFS(tabDados[Valor Unitário],tabDados[Descrição Padronizada],B196)
))</f>
        <v>---</v>
      </c>
      <c r="D196" s="16" t="str">
        <f t="array" ref="D196">IF(B196="","---",IFERROR(
   _xlfn.PERCENTILE.INC(
      IF((tabDados[Descrição Padronizada]=B196)*(tabDados[Valor Unitário]&lt;&gt;""),
         tabDados[Valor Unitário],""
      ),
   D$1),
   _xlfn.MAXIFS(tabDados[Valor Unitário],tabDados[Descrição Padronizada],B196)
))</f>
        <v>---</v>
      </c>
      <c r="E196" s="16" t="str">
        <f>IF(OR(B196="",B196="---"),"---",
   IFERROR(AVERAGEIFS(tabDados[Valor Unitário],tabDados[Descrição Padronizada],B196,tabDados[Valor Unitário],"&gt;="&amp;C196,tabDados[Valor Unitário],"&lt;="&amp;D196),AVERAGE(C196,D196))
)</f>
        <v>---</v>
      </c>
      <c r="F196" s="12" t="str">
        <f t="array" ref="F196">IF(OR(B196="",B196="---"),"---",TRUNC(IFERROR(MODE(IF((tabDados[Descrição Padronizada]=B196)*(tabDados[Vida Útil (meses)]&lt;&gt;""),tabDados[Vida Útil (meses)],"-")),AVERAGEIFS(tabDados[Vida Útil (meses)],tabDados[Descrição Padronizada],B196))+0.5))</f>
        <v>---</v>
      </c>
      <c r="G196" s="13" t="str">
        <f>IF(OR(B196="",B196="---"),"---",TRUNC(IFERROR(AVERAGEIFS(tabDados[Manutenção (%)],tabDados[Descrição Padronizada],B196,tabDados[Manutenção (%)],"&gt;"&amp;0),0)*10000)/10000)</f>
        <v>---</v>
      </c>
      <c r="H196" s="24" t="str">
        <f>IF(OR(B196="---",B196=""),"---",COUNTIF(tabDados[[#All],[Descrição Padronizada]],B196))</f>
        <v>---</v>
      </c>
      <c r="I196" s="24" t="s">
        <v>20</v>
      </c>
    </row>
    <row r="197" spans="1:9" hidden="1" x14ac:dyDescent="0.35">
      <c r="A197" s="15">
        <v>195</v>
      </c>
      <c r="C197" s="16" t="str">
        <f t="array" ref="C197">IF(B197="","---",IFERROR(
   _xlfn.PERCENTILE.INC(
      IF((tabDados[Descrição Padronizada]=B197)*(tabDados[Valor Unitário]&lt;&gt;""),
         tabDados[Valor Unitário],""
      ),
   C$1),
   _xlfn.MINIFS(tabDados[Valor Unitário],tabDados[Descrição Padronizada],B197)
))</f>
        <v>---</v>
      </c>
      <c r="D197" s="16" t="str">
        <f t="array" ref="D197">IF(B197="","---",IFERROR(
   _xlfn.PERCENTILE.INC(
      IF((tabDados[Descrição Padronizada]=B197)*(tabDados[Valor Unitário]&lt;&gt;""),
         tabDados[Valor Unitário],""
      ),
   D$1),
   _xlfn.MAXIFS(tabDados[Valor Unitário],tabDados[Descrição Padronizada],B197)
))</f>
        <v>---</v>
      </c>
      <c r="E197" s="16" t="str">
        <f>IF(OR(B197="",B197="---"),"---",
   IFERROR(AVERAGEIFS(tabDados[Valor Unitário],tabDados[Descrição Padronizada],B197,tabDados[Valor Unitário],"&gt;="&amp;C197,tabDados[Valor Unitário],"&lt;="&amp;D197),AVERAGE(C197,D197))
)</f>
        <v>---</v>
      </c>
      <c r="F197" s="12" t="str">
        <f t="array" ref="F197">IF(OR(B197="",B197="---"),"---",TRUNC(IFERROR(MODE(IF((tabDados[Descrição Padronizada]=B197)*(tabDados[Vida Útil (meses)]&lt;&gt;""),tabDados[Vida Útil (meses)],"-")),AVERAGEIFS(tabDados[Vida Útil (meses)],tabDados[Descrição Padronizada],B197))+0.5))</f>
        <v>---</v>
      </c>
      <c r="G197" s="13" t="str">
        <f>IF(OR(B197="",B197="---"),"---",TRUNC(IFERROR(AVERAGEIFS(tabDados[Manutenção (%)],tabDados[Descrição Padronizada],B197,tabDados[Manutenção (%)],"&gt;"&amp;0),0)*10000)/10000)</f>
        <v>---</v>
      </c>
      <c r="H197" s="24" t="str">
        <f>IF(OR(B197="---",B197=""),"---",COUNTIF(tabDados[[#All],[Descrição Padronizada]],B197))</f>
        <v>---</v>
      </c>
      <c r="I197" s="24" t="s">
        <v>20</v>
      </c>
    </row>
    <row r="198" spans="1:9" hidden="1" x14ac:dyDescent="0.35">
      <c r="A198" s="15">
        <v>196</v>
      </c>
      <c r="C198" s="16" t="str">
        <f t="array" ref="C198">IF(B198="","---",IFERROR(
   _xlfn.PERCENTILE.INC(
      IF((tabDados[Descrição Padronizada]=B198)*(tabDados[Valor Unitário]&lt;&gt;""),
         tabDados[Valor Unitário],""
      ),
   C$1),
   _xlfn.MINIFS(tabDados[Valor Unitário],tabDados[Descrição Padronizada],B198)
))</f>
        <v>---</v>
      </c>
      <c r="D198" s="16" t="str">
        <f t="array" ref="D198">IF(B198="","---",IFERROR(
   _xlfn.PERCENTILE.INC(
      IF((tabDados[Descrição Padronizada]=B198)*(tabDados[Valor Unitário]&lt;&gt;""),
         tabDados[Valor Unitário],""
      ),
   D$1),
   _xlfn.MAXIFS(tabDados[Valor Unitário],tabDados[Descrição Padronizada],B198)
))</f>
        <v>---</v>
      </c>
      <c r="E198" s="16" t="str">
        <f>IF(OR(B198="",B198="---"),"---",
   IFERROR(AVERAGEIFS(tabDados[Valor Unitário],tabDados[Descrição Padronizada],B198,tabDados[Valor Unitário],"&gt;="&amp;C198,tabDados[Valor Unitário],"&lt;="&amp;D198),AVERAGE(C198,D198))
)</f>
        <v>---</v>
      </c>
      <c r="F198" s="12" t="str">
        <f t="array" ref="F198">IF(OR(B198="",B198="---"),"---",TRUNC(IFERROR(MODE(IF((tabDados[Descrição Padronizada]=B198)*(tabDados[Vida Útil (meses)]&lt;&gt;""),tabDados[Vida Útil (meses)],"-")),AVERAGEIFS(tabDados[Vida Útil (meses)],tabDados[Descrição Padronizada],B198))+0.5))</f>
        <v>---</v>
      </c>
      <c r="G198" s="13" t="str">
        <f>IF(OR(B198="",B198="---"),"---",TRUNC(IFERROR(AVERAGEIFS(tabDados[Manutenção (%)],tabDados[Descrição Padronizada],B198,tabDados[Manutenção (%)],"&gt;"&amp;0),0)*10000)/10000)</f>
        <v>---</v>
      </c>
      <c r="H198" s="24" t="str">
        <f>IF(OR(B198="---",B198=""),"---",COUNTIF(tabDados[[#All],[Descrição Padronizada]],B198))</f>
        <v>---</v>
      </c>
      <c r="I198" s="24" t="s">
        <v>20</v>
      </c>
    </row>
    <row r="199" spans="1:9" hidden="1" x14ac:dyDescent="0.35">
      <c r="A199" s="15">
        <v>197</v>
      </c>
      <c r="C199" s="16" t="str">
        <f t="array" ref="C199">IF(B199="","---",IFERROR(
   _xlfn.PERCENTILE.INC(
      IF((tabDados[Descrição Padronizada]=B199)*(tabDados[Valor Unitário]&lt;&gt;""),
         tabDados[Valor Unitário],""
      ),
   C$1),
   _xlfn.MINIFS(tabDados[Valor Unitário],tabDados[Descrição Padronizada],B199)
))</f>
        <v>---</v>
      </c>
      <c r="D199" s="16" t="str">
        <f t="array" ref="D199">IF(B199="","---",IFERROR(
   _xlfn.PERCENTILE.INC(
      IF((tabDados[Descrição Padronizada]=B199)*(tabDados[Valor Unitário]&lt;&gt;""),
         tabDados[Valor Unitário],""
      ),
   D$1),
   _xlfn.MAXIFS(tabDados[Valor Unitário],tabDados[Descrição Padronizada],B199)
))</f>
        <v>---</v>
      </c>
      <c r="E199" s="16" t="str">
        <f>IF(OR(B199="",B199="---"),"---",
   IFERROR(AVERAGEIFS(tabDados[Valor Unitário],tabDados[Descrição Padronizada],B199,tabDados[Valor Unitário],"&gt;="&amp;C199,tabDados[Valor Unitário],"&lt;="&amp;D199),AVERAGE(C199,D199))
)</f>
        <v>---</v>
      </c>
      <c r="F199" s="12" t="str">
        <f t="array" ref="F199">IF(OR(B199="",B199="---"),"---",TRUNC(IFERROR(MODE(IF((tabDados[Descrição Padronizada]=B199)*(tabDados[Vida Útil (meses)]&lt;&gt;""),tabDados[Vida Útil (meses)],"-")),AVERAGEIFS(tabDados[Vida Útil (meses)],tabDados[Descrição Padronizada],B199))+0.5))</f>
        <v>---</v>
      </c>
      <c r="G199" s="13" t="str">
        <f>IF(OR(B199="",B199="---"),"---",TRUNC(IFERROR(AVERAGEIFS(tabDados[Manutenção (%)],tabDados[Descrição Padronizada],B199,tabDados[Manutenção (%)],"&gt;"&amp;0),0)*10000)/10000)</f>
        <v>---</v>
      </c>
      <c r="H199" s="24" t="str">
        <f>IF(OR(B199="---",B199=""),"---",COUNTIF(tabDados[[#All],[Descrição Padronizada]],B199))</f>
        <v>---</v>
      </c>
      <c r="I199" s="24" t="s">
        <v>20</v>
      </c>
    </row>
    <row r="200" spans="1:9" hidden="1" x14ac:dyDescent="0.35">
      <c r="A200" s="15">
        <v>198</v>
      </c>
      <c r="C200" s="16" t="str">
        <f t="array" ref="C200">IF(B200="","---",IFERROR(
   _xlfn.PERCENTILE.INC(
      IF((tabDados[Descrição Padronizada]=B200)*(tabDados[Valor Unitário]&lt;&gt;""),
         tabDados[Valor Unitário],""
      ),
   C$1),
   _xlfn.MINIFS(tabDados[Valor Unitário],tabDados[Descrição Padronizada],B200)
))</f>
        <v>---</v>
      </c>
      <c r="D200" s="16" t="str">
        <f t="array" ref="D200">IF(B200="","---",IFERROR(
   _xlfn.PERCENTILE.INC(
      IF((tabDados[Descrição Padronizada]=B200)*(tabDados[Valor Unitário]&lt;&gt;""),
         tabDados[Valor Unitário],""
      ),
   D$1),
   _xlfn.MAXIFS(tabDados[Valor Unitário],tabDados[Descrição Padronizada],B200)
))</f>
        <v>---</v>
      </c>
      <c r="E200" s="16" t="str">
        <f>IF(OR(B200="",B200="---"),"---",
   IFERROR(AVERAGEIFS(tabDados[Valor Unitário],tabDados[Descrição Padronizada],B200,tabDados[Valor Unitário],"&gt;="&amp;C200,tabDados[Valor Unitário],"&lt;="&amp;D200),AVERAGE(C200,D200))
)</f>
        <v>---</v>
      </c>
      <c r="F200" s="12" t="str">
        <f t="array" ref="F200">IF(OR(B200="",B200="---"),"---",TRUNC(IFERROR(MODE(IF((tabDados[Descrição Padronizada]=B200)*(tabDados[Vida Útil (meses)]&lt;&gt;""),tabDados[Vida Útil (meses)],"-")),AVERAGEIFS(tabDados[Vida Útil (meses)],tabDados[Descrição Padronizada],B200))+0.5))</f>
        <v>---</v>
      </c>
      <c r="G200" s="13" t="str">
        <f>IF(OR(B200="",B200="---"),"---",TRUNC(IFERROR(AVERAGEIFS(tabDados[Manutenção (%)],tabDados[Descrição Padronizada],B200,tabDados[Manutenção (%)],"&gt;"&amp;0),0)*10000)/10000)</f>
        <v>---</v>
      </c>
      <c r="H200" s="24" t="str">
        <f>IF(OR(B200="---",B200=""),"---",COUNTIF(tabDados[[#All],[Descrição Padronizada]],B200))</f>
        <v>---</v>
      </c>
      <c r="I200" s="24" t="s">
        <v>20</v>
      </c>
    </row>
    <row r="201" spans="1:9" hidden="1" x14ac:dyDescent="0.35">
      <c r="A201" s="15">
        <v>199</v>
      </c>
      <c r="C201" s="16" t="str">
        <f t="array" ref="C201">IF(B201="","---",IFERROR(
   _xlfn.PERCENTILE.INC(
      IF((tabDados[Descrição Padronizada]=B201)*(tabDados[Valor Unitário]&lt;&gt;""),
         tabDados[Valor Unitário],""
      ),
   C$1),
   _xlfn.MINIFS(tabDados[Valor Unitário],tabDados[Descrição Padronizada],B201)
))</f>
        <v>---</v>
      </c>
      <c r="D201" s="16" t="str">
        <f t="array" ref="D201">IF(B201="","---",IFERROR(
   _xlfn.PERCENTILE.INC(
      IF((tabDados[Descrição Padronizada]=B201)*(tabDados[Valor Unitário]&lt;&gt;""),
         tabDados[Valor Unitário],""
      ),
   D$1),
   _xlfn.MAXIFS(tabDados[Valor Unitário],tabDados[Descrição Padronizada],B201)
))</f>
        <v>---</v>
      </c>
      <c r="E201" s="16" t="str">
        <f>IF(OR(B201="",B201="---"),"---",
   IFERROR(AVERAGEIFS(tabDados[Valor Unitário],tabDados[Descrição Padronizada],B201,tabDados[Valor Unitário],"&gt;="&amp;C201,tabDados[Valor Unitário],"&lt;="&amp;D201),AVERAGE(C201,D201))
)</f>
        <v>---</v>
      </c>
      <c r="F201" s="12" t="str">
        <f t="array" ref="F201">IF(OR(B201="",B201="---"),"---",TRUNC(IFERROR(MODE(IF((tabDados[Descrição Padronizada]=B201)*(tabDados[Vida Útil (meses)]&lt;&gt;""),tabDados[Vida Útil (meses)],"-")),AVERAGEIFS(tabDados[Vida Útil (meses)],tabDados[Descrição Padronizada],B201))+0.5))</f>
        <v>---</v>
      </c>
      <c r="G201" s="13" t="str">
        <f>IF(OR(B201="",B201="---"),"---",TRUNC(IFERROR(AVERAGEIFS(tabDados[Manutenção (%)],tabDados[Descrição Padronizada],B201,tabDados[Manutenção (%)],"&gt;"&amp;0),0)*10000)/10000)</f>
        <v>---</v>
      </c>
      <c r="H201" s="24" t="str">
        <f>IF(OR(B201="---",B201=""),"---",COUNTIF(tabDados[[#All],[Descrição Padronizada]],B201))</f>
        <v>---</v>
      </c>
      <c r="I201" s="24" t="s">
        <v>20</v>
      </c>
    </row>
    <row r="202" spans="1:9" hidden="1" x14ac:dyDescent="0.35">
      <c r="A202" s="15">
        <v>200</v>
      </c>
      <c r="C202" s="16" t="str">
        <f t="array" ref="C202">IF(B202="","---",IFERROR(
   _xlfn.PERCENTILE.INC(
      IF((tabDados[Descrição Padronizada]=B202)*(tabDados[Valor Unitário]&lt;&gt;""),
         tabDados[Valor Unitário],""
      ),
   C$1),
   _xlfn.MINIFS(tabDados[Valor Unitário],tabDados[Descrição Padronizada],B202)
))</f>
        <v>---</v>
      </c>
      <c r="D202" s="16" t="str">
        <f t="array" ref="D202">IF(B202="","---",IFERROR(
   _xlfn.PERCENTILE.INC(
      IF((tabDados[Descrição Padronizada]=B202)*(tabDados[Valor Unitário]&lt;&gt;""),
         tabDados[Valor Unitário],""
      ),
   D$1),
   _xlfn.MAXIFS(tabDados[Valor Unitário],tabDados[Descrição Padronizada],B202)
))</f>
        <v>---</v>
      </c>
      <c r="E202" s="16" t="str">
        <f>IF(OR(B202="",B202="---"),"---",
   IFERROR(AVERAGEIFS(tabDados[Valor Unitário],tabDados[Descrição Padronizada],B202,tabDados[Valor Unitário],"&gt;="&amp;C202,tabDados[Valor Unitário],"&lt;="&amp;D202),AVERAGE(C202,D202))
)</f>
        <v>---</v>
      </c>
      <c r="F202" s="12" t="str">
        <f t="array" ref="F202">IF(OR(B202="",B202="---"),"---",TRUNC(IFERROR(MODE(IF((tabDados[Descrição Padronizada]=B202)*(tabDados[Vida Útil (meses)]&lt;&gt;""),tabDados[Vida Útil (meses)],"-")),AVERAGEIFS(tabDados[Vida Útil (meses)],tabDados[Descrição Padronizada],B202))+0.5))</f>
        <v>---</v>
      </c>
      <c r="G202" s="13" t="str">
        <f>IF(OR(B202="",B202="---"),"---",TRUNC(IFERROR(AVERAGEIFS(tabDados[Manutenção (%)],tabDados[Descrição Padronizada],B202,tabDados[Manutenção (%)],"&gt;"&amp;0),0)*10000)/10000)</f>
        <v>---</v>
      </c>
      <c r="H202" s="24" t="str">
        <f>IF(OR(B202="---",B202=""),"---",COUNTIF(tabDados[[#All],[Descrição Padronizada]],B202))</f>
        <v>---</v>
      </c>
      <c r="I202" s="24" t="s">
        <v>20</v>
      </c>
    </row>
    <row r="203" spans="1:9" hidden="1" x14ac:dyDescent="0.35">
      <c r="A203" s="15">
        <v>201</v>
      </c>
      <c r="C203" s="16" t="str">
        <f t="array" ref="C203">IF(B203="","---",IFERROR(
   _xlfn.PERCENTILE.INC(
      IF((tabDados[Descrição Padronizada]=B203)*(tabDados[Valor Unitário]&lt;&gt;""),
         tabDados[Valor Unitário],""
      ),
   C$1),
   _xlfn.MINIFS(tabDados[Valor Unitário],tabDados[Descrição Padronizada],B203)
))</f>
        <v>---</v>
      </c>
      <c r="D203" s="16" t="str">
        <f t="array" ref="D203">IF(B203="","---",IFERROR(
   _xlfn.PERCENTILE.INC(
      IF((tabDados[Descrição Padronizada]=B203)*(tabDados[Valor Unitário]&lt;&gt;""),
         tabDados[Valor Unitário],""
      ),
   D$1),
   _xlfn.MAXIFS(tabDados[Valor Unitário],tabDados[Descrição Padronizada],B203)
))</f>
        <v>---</v>
      </c>
      <c r="E203" s="16" t="str">
        <f>IF(OR(B203="",B203="---"),"---",
   IFERROR(AVERAGEIFS(tabDados[Valor Unitário],tabDados[Descrição Padronizada],B203,tabDados[Valor Unitário],"&gt;="&amp;C203,tabDados[Valor Unitário],"&lt;="&amp;D203),AVERAGE(C203,D203))
)</f>
        <v>---</v>
      </c>
      <c r="F203" s="12" t="str">
        <f t="array" ref="F203">IF(OR(B203="",B203="---"),"---",TRUNC(IFERROR(MODE(IF((tabDados[Descrição Padronizada]=B203)*(tabDados[Vida Útil (meses)]&lt;&gt;""),tabDados[Vida Útil (meses)],"-")),AVERAGEIFS(tabDados[Vida Útil (meses)],tabDados[Descrição Padronizada],B203))+0.5))</f>
        <v>---</v>
      </c>
      <c r="G203" s="13" t="str">
        <f>IF(OR(B203="",B203="---"),"---",TRUNC(IFERROR(AVERAGEIFS(tabDados[Manutenção (%)],tabDados[Descrição Padronizada],B203,tabDados[Manutenção (%)],"&gt;"&amp;0),0)*10000)/10000)</f>
        <v>---</v>
      </c>
      <c r="H203" s="24" t="str">
        <f>IF(OR(B203="---",B203=""),"---",COUNTIF(tabDados[[#All],[Descrição Padronizada]],B203))</f>
        <v>---</v>
      </c>
      <c r="I203" s="24" t="s">
        <v>20</v>
      </c>
    </row>
    <row r="204" spans="1:9" hidden="1" x14ac:dyDescent="0.35">
      <c r="A204" s="15">
        <v>202</v>
      </c>
      <c r="C204" s="16" t="str">
        <f t="array" ref="C204">IF(B204="","---",IFERROR(
   _xlfn.PERCENTILE.INC(
      IF((tabDados[Descrição Padronizada]=B204)*(tabDados[Valor Unitário]&lt;&gt;""),
         tabDados[Valor Unitário],""
      ),
   C$1),
   _xlfn.MINIFS(tabDados[Valor Unitário],tabDados[Descrição Padronizada],B204)
))</f>
        <v>---</v>
      </c>
      <c r="D204" s="16" t="str">
        <f t="array" ref="D204">IF(B204="","---",IFERROR(
   _xlfn.PERCENTILE.INC(
      IF((tabDados[Descrição Padronizada]=B204)*(tabDados[Valor Unitário]&lt;&gt;""),
         tabDados[Valor Unitário],""
      ),
   D$1),
   _xlfn.MAXIFS(tabDados[Valor Unitário],tabDados[Descrição Padronizada],B204)
))</f>
        <v>---</v>
      </c>
      <c r="E204" s="16" t="str">
        <f>IF(OR(B204="",B204="---"),"---",
   IFERROR(AVERAGEIFS(tabDados[Valor Unitário],tabDados[Descrição Padronizada],B204,tabDados[Valor Unitário],"&gt;="&amp;C204,tabDados[Valor Unitário],"&lt;="&amp;D204),AVERAGE(C204,D204))
)</f>
        <v>---</v>
      </c>
      <c r="F204" s="12" t="str">
        <f t="array" ref="F204">IF(OR(B204="",B204="---"),"---",TRUNC(IFERROR(MODE(IF((tabDados[Descrição Padronizada]=B204)*(tabDados[Vida Útil (meses)]&lt;&gt;""),tabDados[Vida Útil (meses)],"-")),AVERAGEIFS(tabDados[Vida Útil (meses)],tabDados[Descrição Padronizada],B204))+0.5))</f>
        <v>---</v>
      </c>
      <c r="G204" s="13" t="str">
        <f>IF(OR(B204="",B204="---"),"---",TRUNC(IFERROR(AVERAGEIFS(tabDados[Manutenção (%)],tabDados[Descrição Padronizada],B204,tabDados[Manutenção (%)],"&gt;"&amp;0),0)*10000)/10000)</f>
        <v>---</v>
      </c>
      <c r="H204" s="24" t="str">
        <f>IF(OR(B204="---",B204=""),"---",COUNTIF(tabDados[[#All],[Descrição Padronizada]],B204))</f>
        <v>---</v>
      </c>
      <c r="I204" s="24" t="s">
        <v>20</v>
      </c>
    </row>
    <row r="205" spans="1:9" hidden="1" x14ac:dyDescent="0.35">
      <c r="A205" s="15">
        <v>203</v>
      </c>
      <c r="C205" s="16" t="str">
        <f t="array" ref="C205">IF(B205="","---",IFERROR(
   _xlfn.PERCENTILE.INC(
      IF((tabDados[Descrição Padronizada]=B205)*(tabDados[Valor Unitário]&lt;&gt;""),
         tabDados[Valor Unitário],""
      ),
   C$1),
   _xlfn.MINIFS(tabDados[Valor Unitário],tabDados[Descrição Padronizada],B205)
))</f>
        <v>---</v>
      </c>
      <c r="D205" s="16" t="str">
        <f t="array" ref="D205">IF(B205="","---",IFERROR(
   _xlfn.PERCENTILE.INC(
      IF((tabDados[Descrição Padronizada]=B205)*(tabDados[Valor Unitário]&lt;&gt;""),
         tabDados[Valor Unitário],""
      ),
   D$1),
   _xlfn.MAXIFS(tabDados[Valor Unitário],tabDados[Descrição Padronizada],B205)
))</f>
        <v>---</v>
      </c>
      <c r="E205" s="16" t="str">
        <f>IF(OR(B205="",B205="---"),"---",
   IFERROR(AVERAGEIFS(tabDados[Valor Unitário],tabDados[Descrição Padronizada],B205,tabDados[Valor Unitário],"&gt;="&amp;C205,tabDados[Valor Unitário],"&lt;="&amp;D205),AVERAGE(C205,D205))
)</f>
        <v>---</v>
      </c>
      <c r="F205" s="12" t="str">
        <f t="array" ref="F205">IF(OR(B205="",B205="---"),"---",TRUNC(IFERROR(MODE(IF((tabDados[Descrição Padronizada]=B205)*(tabDados[Vida Útil (meses)]&lt;&gt;""),tabDados[Vida Útil (meses)],"-")),AVERAGEIFS(tabDados[Vida Útil (meses)],tabDados[Descrição Padronizada],B205))+0.5))</f>
        <v>---</v>
      </c>
      <c r="G205" s="13" t="str">
        <f>IF(OR(B205="",B205="---"),"---",TRUNC(IFERROR(AVERAGEIFS(tabDados[Manutenção (%)],tabDados[Descrição Padronizada],B205,tabDados[Manutenção (%)],"&gt;"&amp;0),0)*10000)/10000)</f>
        <v>---</v>
      </c>
      <c r="H205" s="24" t="str">
        <f>IF(OR(B205="---",B205=""),"---",COUNTIF(tabDados[[#All],[Descrição Padronizada]],B205))</f>
        <v>---</v>
      </c>
      <c r="I205" s="24" t="s">
        <v>20</v>
      </c>
    </row>
    <row r="206" spans="1:9" hidden="1" x14ac:dyDescent="0.35">
      <c r="A206" s="15">
        <v>204</v>
      </c>
      <c r="C206" s="16" t="str">
        <f t="array" ref="C206">IF(B206="","---",IFERROR(
   _xlfn.PERCENTILE.INC(
      IF((tabDados[Descrição Padronizada]=B206)*(tabDados[Valor Unitário]&lt;&gt;""),
         tabDados[Valor Unitário],""
      ),
   C$1),
   _xlfn.MINIFS(tabDados[Valor Unitário],tabDados[Descrição Padronizada],B206)
))</f>
        <v>---</v>
      </c>
      <c r="D206" s="16" t="str">
        <f t="array" ref="D206">IF(B206="","---",IFERROR(
   _xlfn.PERCENTILE.INC(
      IF((tabDados[Descrição Padronizada]=B206)*(tabDados[Valor Unitário]&lt;&gt;""),
         tabDados[Valor Unitário],""
      ),
   D$1),
   _xlfn.MAXIFS(tabDados[Valor Unitário],tabDados[Descrição Padronizada],B206)
))</f>
        <v>---</v>
      </c>
      <c r="E206" s="16" t="str">
        <f>IF(OR(B206="",B206="---"),"---",
   IFERROR(AVERAGEIFS(tabDados[Valor Unitário],tabDados[Descrição Padronizada],B206,tabDados[Valor Unitário],"&gt;="&amp;C206,tabDados[Valor Unitário],"&lt;="&amp;D206),AVERAGE(C206,D206))
)</f>
        <v>---</v>
      </c>
      <c r="F206" s="12" t="str">
        <f t="array" ref="F206">IF(OR(B206="",B206="---"),"---",TRUNC(IFERROR(MODE(IF((tabDados[Descrição Padronizada]=B206)*(tabDados[Vida Útil (meses)]&lt;&gt;""),tabDados[Vida Útil (meses)],"-")),AVERAGEIFS(tabDados[Vida Útil (meses)],tabDados[Descrição Padronizada],B206))+0.5))</f>
        <v>---</v>
      </c>
      <c r="G206" s="13" t="str">
        <f>IF(OR(B206="",B206="---"),"---",TRUNC(IFERROR(AVERAGEIFS(tabDados[Manutenção (%)],tabDados[Descrição Padronizada],B206,tabDados[Manutenção (%)],"&gt;"&amp;0),0)*10000)/10000)</f>
        <v>---</v>
      </c>
      <c r="H206" s="24" t="str">
        <f>IF(OR(B206="---",B206=""),"---",COUNTIF(tabDados[[#All],[Descrição Padronizada]],B206))</f>
        <v>---</v>
      </c>
      <c r="I206" s="24" t="s">
        <v>20</v>
      </c>
    </row>
    <row r="207" spans="1:9" hidden="1" x14ac:dyDescent="0.35">
      <c r="A207" s="15">
        <v>205</v>
      </c>
      <c r="C207" s="16" t="str">
        <f t="array" ref="C207">IF(B207="","---",IFERROR(
   _xlfn.PERCENTILE.INC(
      IF((tabDados[Descrição Padronizada]=B207)*(tabDados[Valor Unitário]&lt;&gt;""),
         tabDados[Valor Unitário],""
      ),
   C$1),
   _xlfn.MINIFS(tabDados[Valor Unitário],tabDados[Descrição Padronizada],B207)
))</f>
        <v>---</v>
      </c>
      <c r="D207" s="16" t="str">
        <f t="array" ref="D207">IF(B207="","---",IFERROR(
   _xlfn.PERCENTILE.INC(
      IF((tabDados[Descrição Padronizada]=B207)*(tabDados[Valor Unitário]&lt;&gt;""),
         tabDados[Valor Unitário],""
      ),
   D$1),
   _xlfn.MAXIFS(tabDados[Valor Unitário],tabDados[Descrição Padronizada],B207)
))</f>
        <v>---</v>
      </c>
      <c r="E207" s="16" t="str">
        <f>IF(OR(B207="",B207="---"),"---",
   IFERROR(AVERAGEIFS(tabDados[Valor Unitário],tabDados[Descrição Padronizada],B207,tabDados[Valor Unitário],"&gt;="&amp;C207,tabDados[Valor Unitário],"&lt;="&amp;D207),AVERAGE(C207,D207))
)</f>
        <v>---</v>
      </c>
      <c r="F207" s="12" t="str">
        <f t="array" ref="F207">IF(OR(B207="",B207="---"),"---",TRUNC(IFERROR(MODE(IF((tabDados[Descrição Padronizada]=B207)*(tabDados[Vida Útil (meses)]&lt;&gt;""),tabDados[Vida Útil (meses)],"-")),AVERAGEIFS(tabDados[Vida Útil (meses)],tabDados[Descrição Padronizada],B207))+0.5))</f>
        <v>---</v>
      </c>
      <c r="G207" s="13" t="str">
        <f>IF(OR(B207="",B207="---"),"---",TRUNC(IFERROR(AVERAGEIFS(tabDados[Manutenção (%)],tabDados[Descrição Padronizada],B207,tabDados[Manutenção (%)],"&gt;"&amp;0),0)*10000)/10000)</f>
        <v>---</v>
      </c>
      <c r="H207" s="24" t="str">
        <f>IF(OR(B207="---",B207=""),"---",COUNTIF(tabDados[[#All],[Descrição Padronizada]],B207))</f>
        <v>---</v>
      </c>
      <c r="I207" s="24" t="s">
        <v>20</v>
      </c>
    </row>
    <row r="208" spans="1:9" hidden="1" x14ac:dyDescent="0.35">
      <c r="A208" s="15">
        <v>206</v>
      </c>
      <c r="C208" s="16" t="str">
        <f t="array" ref="C208">IF(B208="","---",IFERROR(
   _xlfn.PERCENTILE.INC(
      IF((tabDados[Descrição Padronizada]=B208)*(tabDados[Valor Unitário]&lt;&gt;""),
         tabDados[Valor Unitário],""
      ),
   C$1),
   _xlfn.MINIFS(tabDados[Valor Unitário],tabDados[Descrição Padronizada],B208)
))</f>
        <v>---</v>
      </c>
      <c r="D208" s="16" t="str">
        <f t="array" ref="D208">IF(B208="","---",IFERROR(
   _xlfn.PERCENTILE.INC(
      IF((tabDados[Descrição Padronizada]=B208)*(tabDados[Valor Unitário]&lt;&gt;""),
         tabDados[Valor Unitário],""
      ),
   D$1),
   _xlfn.MAXIFS(tabDados[Valor Unitário],tabDados[Descrição Padronizada],B208)
))</f>
        <v>---</v>
      </c>
      <c r="E208" s="16" t="str">
        <f>IF(OR(B208="",B208="---"),"---",
   IFERROR(AVERAGEIFS(tabDados[Valor Unitário],tabDados[Descrição Padronizada],B208,tabDados[Valor Unitário],"&gt;="&amp;C208,tabDados[Valor Unitário],"&lt;="&amp;D208),AVERAGE(C208,D208))
)</f>
        <v>---</v>
      </c>
      <c r="F208" s="12" t="str">
        <f t="array" ref="F208">IF(OR(B208="",B208="---"),"---",TRUNC(IFERROR(MODE(IF((tabDados[Descrição Padronizada]=B208)*(tabDados[Vida Útil (meses)]&lt;&gt;""),tabDados[Vida Útil (meses)],"-")),AVERAGEIFS(tabDados[Vida Útil (meses)],tabDados[Descrição Padronizada],B208))+0.5))</f>
        <v>---</v>
      </c>
      <c r="G208" s="13" t="str">
        <f>IF(OR(B208="",B208="---"),"---",TRUNC(IFERROR(AVERAGEIFS(tabDados[Manutenção (%)],tabDados[Descrição Padronizada],B208,tabDados[Manutenção (%)],"&gt;"&amp;0),0)*10000)/10000)</f>
        <v>---</v>
      </c>
      <c r="H208" s="24" t="str">
        <f>IF(OR(B208="---",B208=""),"---",COUNTIF(tabDados[[#All],[Descrição Padronizada]],B208))</f>
        <v>---</v>
      </c>
      <c r="I208" s="24" t="s">
        <v>20</v>
      </c>
    </row>
    <row r="209" spans="1:9" hidden="1" x14ac:dyDescent="0.35">
      <c r="A209" s="15">
        <v>207</v>
      </c>
      <c r="C209" s="16" t="str">
        <f t="array" ref="C209">IF(B209="","---",IFERROR(
   _xlfn.PERCENTILE.INC(
      IF((tabDados[Descrição Padronizada]=B209)*(tabDados[Valor Unitário]&lt;&gt;""),
         tabDados[Valor Unitário],""
      ),
   C$1),
   _xlfn.MINIFS(tabDados[Valor Unitário],tabDados[Descrição Padronizada],B209)
))</f>
        <v>---</v>
      </c>
      <c r="D209" s="16" t="str">
        <f t="array" ref="D209">IF(B209="","---",IFERROR(
   _xlfn.PERCENTILE.INC(
      IF((tabDados[Descrição Padronizada]=B209)*(tabDados[Valor Unitário]&lt;&gt;""),
         tabDados[Valor Unitário],""
      ),
   D$1),
   _xlfn.MAXIFS(tabDados[Valor Unitário],tabDados[Descrição Padronizada],B209)
))</f>
        <v>---</v>
      </c>
      <c r="E209" s="16" t="str">
        <f>IF(OR(B209="",B209="---"),"---",
   IFERROR(AVERAGEIFS(tabDados[Valor Unitário],tabDados[Descrição Padronizada],B209,tabDados[Valor Unitário],"&gt;="&amp;C209,tabDados[Valor Unitário],"&lt;="&amp;D209),AVERAGE(C209,D209))
)</f>
        <v>---</v>
      </c>
      <c r="F209" s="12" t="str">
        <f t="array" ref="F209">IF(OR(B209="",B209="---"),"---",TRUNC(IFERROR(MODE(IF((tabDados[Descrição Padronizada]=B209)*(tabDados[Vida Útil (meses)]&lt;&gt;""),tabDados[Vida Útil (meses)],"-")),AVERAGEIFS(tabDados[Vida Útil (meses)],tabDados[Descrição Padronizada],B209))+0.5))</f>
        <v>---</v>
      </c>
      <c r="G209" s="13" t="str">
        <f>IF(OR(B209="",B209="---"),"---",TRUNC(IFERROR(AVERAGEIFS(tabDados[Manutenção (%)],tabDados[Descrição Padronizada],B209,tabDados[Manutenção (%)],"&gt;"&amp;0),0)*10000)/10000)</f>
        <v>---</v>
      </c>
      <c r="H209" s="24" t="str">
        <f>IF(OR(B209="---",B209=""),"---",COUNTIF(tabDados[[#All],[Descrição Padronizada]],B209))</f>
        <v>---</v>
      </c>
      <c r="I209" s="24" t="s">
        <v>20</v>
      </c>
    </row>
    <row r="210" spans="1:9" hidden="1" x14ac:dyDescent="0.35">
      <c r="A210" s="15">
        <v>208</v>
      </c>
      <c r="C210" s="16" t="str">
        <f t="array" ref="C210">IF(B210="","---",IFERROR(
   _xlfn.PERCENTILE.INC(
      IF((tabDados[Descrição Padronizada]=B210)*(tabDados[Valor Unitário]&lt;&gt;""),
         tabDados[Valor Unitário],""
      ),
   C$1),
   _xlfn.MINIFS(tabDados[Valor Unitário],tabDados[Descrição Padronizada],B210)
))</f>
        <v>---</v>
      </c>
      <c r="D210" s="16" t="str">
        <f t="array" ref="D210">IF(B210="","---",IFERROR(
   _xlfn.PERCENTILE.INC(
      IF((tabDados[Descrição Padronizada]=B210)*(tabDados[Valor Unitário]&lt;&gt;""),
         tabDados[Valor Unitário],""
      ),
   D$1),
   _xlfn.MAXIFS(tabDados[Valor Unitário],tabDados[Descrição Padronizada],B210)
))</f>
        <v>---</v>
      </c>
      <c r="E210" s="16" t="str">
        <f>IF(OR(B210="",B210="---"),"---",
   IFERROR(AVERAGEIFS(tabDados[Valor Unitário],tabDados[Descrição Padronizada],B210,tabDados[Valor Unitário],"&gt;="&amp;C210,tabDados[Valor Unitário],"&lt;="&amp;D210),AVERAGE(C210,D210))
)</f>
        <v>---</v>
      </c>
      <c r="F210" s="12" t="str">
        <f t="array" ref="F210">IF(OR(B210="",B210="---"),"---",TRUNC(IFERROR(MODE(IF((tabDados[Descrição Padronizada]=B210)*(tabDados[Vida Útil (meses)]&lt;&gt;""),tabDados[Vida Útil (meses)],"-")),AVERAGEIFS(tabDados[Vida Útil (meses)],tabDados[Descrição Padronizada],B210))+0.5))</f>
        <v>---</v>
      </c>
      <c r="G210" s="13" t="str">
        <f>IF(OR(B210="",B210="---"),"---",TRUNC(IFERROR(AVERAGEIFS(tabDados[Manutenção (%)],tabDados[Descrição Padronizada],B210,tabDados[Manutenção (%)],"&gt;"&amp;0),0)*10000)/10000)</f>
        <v>---</v>
      </c>
      <c r="H210" s="24" t="str">
        <f>IF(OR(B210="---",B210=""),"---",COUNTIF(tabDados[[#All],[Descrição Padronizada]],B210))</f>
        <v>---</v>
      </c>
      <c r="I210" s="24" t="s">
        <v>20</v>
      </c>
    </row>
    <row r="211" spans="1:9" hidden="1" x14ac:dyDescent="0.35">
      <c r="A211" s="15">
        <v>209</v>
      </c>
      <c r="C211" s="16" t="str">
        <f t="array" ref="C211">IF(B211="","---",IFERROR(
   _xlfn.PERCENTILE.INC(
      IF((tabDados[Descrição Padronizada]=B211)*(tabDados[Valor Unitário]&lt;&gt;""),
         tabDados[Valor Unitário],""
      ),
   C$1),
   _xlfn.MINIFS(tabDados[Valor Unitário],tabDados[Descrição Padronizada],B211)
))</f>
        <v>---</v>
      </c>
      <c r="D211" s="16" t="str">
        <f t="array" ref="D211">IF(B211="","---",IFERROR(
   _xlfn.PERCENTILE.INC(
      IF((tabDados[Descrição Padronizada]=B211)*(tabDados[Valor Unitário]&lt;&gt;""),
         tabDados[Valor Unitário],""
      ),
   D$1),
   _xlfn.MAXIFS(tabDados[Valor Unitário],tabDados[Descrição Padronizada],B211)
))</f>
        <v>---</v>
      </c>
      <c r="E211" s="16" t="str">
        <f>IF(OR(B211="",B211="---"),"---",
   IFERROR(AVERAGEIFS(tabDados[Valor Unitário],tabDados[Descrição Padronizada],B211,tabDados[Valor Unitário],"&gt;="&amp;C211,tabDados[Valor Unitário],"&lt;="&amp;D211),AVERAGE(C211,D211))
)</f>
        <v>---</v>
      </c>
      <c r="F211" s="12" t="str">
        <f t="array" ref="F211">IF(OR(B211="",B211="---"),"---",TRUNC(IFERROR(MODE(IF((tabDados[Descrição Padronizada]=B211)*(tabDados[Vida Útil (meses)]&lt;&gt;""),tabDados[Vida Útil (meses)],"-")),AVERAGEIFS(tabDados[Vida Útil (meses)],tabDados[Descrição Padronizada],B211))+0.5))</f>
        <v>---</v>
      </c>
      <c r="G211" s="13" t="str">
        <f>IF(OR(B211="",B211="---"),"---",TRUNC(IFERROR(AVERAGEIFS(tabDados[Manutenção (%)],tabDados[Descrição Padronizada],B211,tabDados[Manutenção (%)],"&gt;"&amp;0),0)*10000)/10000)</f>
        <v>---</v>
      </c>
      <c r="H211" s="24" t="str">
        <f>IF(OR(B211="---",B211=""),"---",COUNTIF(tabDados[[#All],[Descrição Padronizada]],B211))</f>
        <v>---</v>
      </c>
      <c r="I211" s="24" t="s">
        <v>20</v>
      </c>
    </row>
    <row r="212" spans="1:9" hidden="1" x14ac:dyDescent="0.35">
      <c r="A212" s="15">
        <v>210</v>
      </c>
      <c r="C212" s="16" t="str">
        <f t="array" ref="C212">IF(B212="","---",IFERROR(
   _xlfn.PERCENTILE.INC(
      IF((tabDados[Descrição Padronizada]=B212)*(tabDados[Valor Unitário]&lt;&gt;""),
         tabDados[Valor Unitário],""
      ),
   C$1),
   _xlfn.MINIFS(tabDados[Valor Unitário],tabDados[Descrição Padronizada],B212)
))</f>
        <v>---</v>
      </c>
      <c r="D212" s="16" t="str">
        <f t="array" ref="D212">IF(B212="","---",IFERROR(
   _xlfn.PERCENTILE.INC(
      IF((tabDados[Descrição Padronizada]=B212)*(tabDados[Valor Unitário]&lt;&gt;""),
         tabDados[Valor Unitário],""
      ),
   D$1),
   _xlfn.MAXIFS(tabDados[Valor Unitário],tabDados[Descrição Padronizada],B212)
))</f>
        <v>---</v>
      </c>
      <c r="E212" s="16" t="str">
        <f>IF(OR(B212="",B212="---"),"---",
   IFERROR(AVERAGEIFS(tabDados[Valor Unitário],tabDados[Descrição Padronizada],B212,tabDados[Valor Unitário],"&gt;="&amp;C212,tabDados[Valor Unitário],"&lt;="&amp;D212),AVERAGE(C212,D212))
)</f>
        <v>---</v>
      </c>
      <c r="F212" s="12" t="str">
        <f t="array" ref="F212">IF(OR(B212="",B212="---"),"---",TRUNC(IFERROR(MODE(IF((tabDados[Descrição Padronizada]=B212)*(tabDados[Vida Útil (meses)]&lt;&gt;""),tabDados[Vida Útil (meses)],"-")),AVERAGEIFS(tabDados[Vida Útil (meses)],tabDados[Descrição Padronizada],B212))+0.5))</f>
        <v>---</v>
      </c>
      <c r="G212" s="13" t="str">
        <f>IF(OR(B212="",B212="---"),"---",TRUNC(IFERROR(AVERAGEIFS(tabDados[Manutenção (%)],tabDados[Descrição Padronizada],B212,tabDados[Manutenção (%)],"&gt;"&amp;0),0)*10000)/10000)</f>
        <v>---</v>
      </c>
      <c r="H212" s="24" t="str">
        <f>IF(OR(B212="---",B212=""),"---",COUNTIF(tabDados[[#All],[Descrição Padronizada]],B212))</f>
        <v>---</v>
      </c>
      <c r="I212" s="24" t="s">
        <v>20</v>
      </c>
    </row>
    <row r="213" spans="1:9" hidden="1" x14ac:dyDescent="0.35">
      <c r="A213" s="15">
        <v>211</v>
      </c>
      <c r="C213" s="16" t="str">
        <f t="array" ref="C213">IF(B213="","---",IFERROR(
   _xlfn.PERCENTILE.INC(
      IF((tabDados[Descrição Padronizada]=B213)*(tabDados[Valor Unitário]&lt;&gt;""),
         tabDados[Valor Unitário],""
      ),
   C$1),
   _xlfn.MINIFS(tabDados[Valor Unitário],tabDados[Descrição Padronizada],B213)
))</f>
        <v>---</v>
      </c>
      <c r="D213" s="16" t="str">
        <f t="array" ref="D213">IF(B213="","---",IFERROR(
   _xlfn.PERCENTILE.INC(
      IF((tabDados[Descrição Padronizada]=B213)*(tabDados[Valor Unitário]&lt;&gt;""),
         tabDados[Valor Unitário],""
      ),
   D$1),
   _xlfn.MAXIFS(tabDados[Valor Unitário],tabDados[Descrição Padronizada],B213)
))</f>
        <v>---</v>
      </c>
      <c r="E213" s="16" t="str">
        <f>IF(OR(B213="",B213="---"),"---",
   IFERROR(AVERAGEIFS(tabDados[Valor Unitário],tabDados[Descrição Padronizada],B213,tabDados[Valor Unitário],"&gt;="&amp;C213,tabDados[Valor Unitário],"&lt;="&amp;D213),AVERAGE(C213,D213))
)</f>
        <v>---</v>
      </c>
      <c r="F213" s="12" t="str">
        <f t="array" ref="F213">IF(OR(B213="",B213="---"),"---",TRUNC(IFERROR(MODE(IF((tabDados[Descrição Padronizada]=B213)*(tabDados[Vida Útil (meses)]&lt;&gt;""),tabDados[Vida Útil (meses)],"-")),AVERAGEIFS(tabDados[Vida Útil (meses)],tabDados[Descrição Padronizada],B213))+0.5))</f>
        <v>---</v>
      </c>
      <c r="G213" s="13" t="str">
        <f>IF(OR(B213="",B213="---"),"---",TRUNC(IFERROR(AVERAGEIFS(tabDados[Manutenção (%)],tabDados[Descrição Padronizada],B213,tabDados[Manutenção (%)],"&gt;"&amp;0),0)*10000)/10000)</f>
        <v>---</v>
      </c>
      <c r="H213" s="24" t="str">
        <f>IF(OR(B213="---",B213=""),"---",COUNTIF(tabDados[[#All],[Descrição Padronizada]],B213))</f>
        <v>---</v>
      </c>
      <c r="I213" s="24" t="s">
        <v>20</v>
      </c>
    </row>
    <row r="214" spans="1:9" hidden="1" x14ac:dyDescent="0.35">
      <c r="A214" s="15">
        <v>212</v>
      </c>
      <c r="C214" s="16" t="str">
        <f t="array" ref="C214">IF(B214="","---",IFERROR(
   _xlfn.PERCENTILE.INC(
      IF((tabDados[Descrição Padronizada]=B214)*(tabDados[Valor Unitário]&lt;&gt;""),
         tabDados[Valor Unitário],""
      ),
   C$1),
   _xlfn.MINIFS(tabDados[Valor Unitário],tabDados[Descrição Padronizada],B214)
))</f>
        <v>---</v>
      </c>
      <c r="D214" s="16" t="str">
        <f t="array" ref="D214">IF(B214="","---",IFERROR(
   _xlfn.PERCENTILE.INC(
      IF((tabDados[Descrição Padronizada]=B214)*(tabDados[Valor Unitário]&lt;&gt;""),
         tabDados[Valor Unitário],""
      ),
   D$1),
   _xlfn.MAXIFS(tabDados[Valor Unitário],tabDados[Descrição Padronizada],B214)
))</f>
        <v>---</v>
      </c>
      <c r="E214" s="16" t="str">
        <f>IF(OR(B214="",B214="---"),"---",
   IFERROR(AVERAGEIFS(tabDados[Valor Unitário],tabDados[Descrição Padronizada],B214,tabDados[Valor Unitário],"&gt;="&amp;C214,tabDados[Valor Unitário],"&lt;="&amp;D214),AVERAGE(C214,D214))
)</f>
        <v>---</v>
      </c>
      <c r="F214" s="12" t="str">
        <f t="array" ref="F214">IF(OR(B214="",B214="---"),"---",TRUNC(IFERROR(MODE(IF((tabDados[Descrição Padronizada]=B214)*(tabDados[Vida Útil (meses)]&lt;&gt;""),tabDados[Vida Útil (meses)],"-")),AVERAGEIFS(tabDados[Vida Útil (meses)],tabDados[Descrição Padronizada],B214))+0.5))</f>
        <v>---</v>
      </c>
      <c r="G214" s="13" t="str">
        <f>IF(OR(B214="",B214="---"),"---",TRUNC(IFERROR(AVERAGEIFS(tabDados[Manutenção (%)],tabDados[Descrição Padronizada],B214,tabDados[Manutenção (%)],"&gt;"&amp;0),0)*10000)/10000)</f>
        <v>---</v>
      </c>
      <c r="H214" s="24" t="str">
        <f>IF(OR(B214="---",B214=""),"---",COUNTIF(tabDados[[#All],[Descrição Padronizada]],B214))</f>
        <v>---</v>
      </c>
      <c r="I214" s="24" t="s">
        <v>20</v>
      </c>
    </row>
    <row r="215" spans="1:9" hidden="1" x14ac:dyDescent="0.35">
      <c r="A215" s="15">
        <v>213</v>
      </c>
      <c r="C215" s="16" t="str">
        <f t="array" ref="C215">IF(B215="","---",IFERROR(
   _xlfn.PERCENTILE.INC(
      IF((tabDados[Descrição Padronizada]=B215)*(tabDados[Valor Unitário]&lt;&gt;""),
         tabDados[Valor Unitário],""
      ),
   C$1),
   _xlfn.MINIFS(tabDados[Valor Unitário],tabDados[Descrição Padronizada],B215)
))</f>
        <v>---</v>
      </c>
      <c r="D215" s="16" t="str">
        <f t="array" ref="D215">IF(B215="","---",IFERROR(
   _xlfn.PERCENTILE.INC(
      IF((tabDados[Descrição Padronizada]=B215)*(tabDados[Valor Unitário]&lt;&gt;""),
         tabDados[Valor Unitário],""
      ),
   D$1),
   _xlfn.MAXIFS(tabDados[Valor Unitário],tabDados[Descrição Padronizada],B215)
))</f>
        <v>---</v>
      </c>
      <c r="E215" s="16" t="str">
        <f>IF(OR(B215="",B215="---"),"---",
   IFERROR(AVERAGEIFS(tabDados[Valor Unitário],tabDados[Descrição Padronizada],B215,tabDados[Valor Unitário],"&gt;="&amp;C215,tabDados[Valor Unitário],"&lt;="&amp;D215),AVERAGE(C215,D215))
)</f>
        <v>---</v>
      </c>
      <c r="F215" s="12" t="str">
        <f t="array" ref="F215">IF(OR(B215="",B215="---"),"---",TRUNC(IFERROR(MODE(IF((tabDados[Descrição Padronizada]=B215)*(tabDados[Vida Útil (meses)]&lt;&gt;""),tabDados[Vida Útil (meses)],"-")),AVERAGEIFS(tabDados[Vida Útil (meses)],tabDados[Descrição Padronizada],B215))+0.5))</f>
        <v>---</v>
      </c>
      <c r="G215" s="13" t="str">
        <f>IF(OR(B215="",B215="---"),"---",TRUNC(IFERROR(AVERAGEIFS(tabDados[Manutenção (%)],tabDados[Descrição Padronizada],B215,tabDados[Manutenção (%)],"&gt;"&amp;0),0)*10000)/10000)</f>
        <v>---</v>
      </c>
      <c r="H215" s="24" t="str">
        <f>IF(OR(B215="---",B215=""),"---",COUNTIF(tabDados[[#All],[Descrição Padronizada]],B215))</f>
        <v>---</v>
      </c>
      <c r="I215" s="24" t="s">
        <v>20</v>
      </c>
    </row>
    <row r="216" spans="1:9" hidden="1" x14ac:dyDescent="0.35">
      <c r="A216" s="15">
        <v>214</v>
      </c>
      <c r="C216" s="16" t="str">
        <f t="array" ref="C216">IF(B216="","---",IFERROR(
   _xlfn.PERCENTILE.INC(
      IF((tabDados[Descrição Padronizada]=B216)*(tabDados[Valor Unitário]&lt;&gt;""),
         tabDados[Valor Unitário],""
      ),
   C$1),
   _xlfn.MINIFS(tabDados[Valor Unitário],tabDados[Descrição Padronizada],B216)
))</f>
        <v>---</v>
      </c>
      <c r="D216" s="16" t="str">
        <f t="array" ref="D216">IF(B216="","---",IFERROR(
   _xlfn.PERCENTILE.INC(
      IF((tabDados[Descrição Padronizada]=B216)*(tabDados[Valor Unitário]&lt;&gt;""),
         tabDados[Valor Unitário],""
      ),
   D$1),
   _xlfn.MAXIFS(tabDados[Valor Unitário],tabDados[Descrição Padronizada],B216)
))</f>
        <v>---</v>
      </c>
      <c r="E216" s="16" t="str">
        <f>IF(OR(B216="",B216="---"),"---",
   IFERROR(AVERAGEIFS(tabDados[Valor Unitário],tabDados[Descrição Padronizada],B216,tabDados[Valor Unitário],"&gt;="&amp;C216,tabDados[Valor Unitário],"&lt;="&amp;D216),AVERAGE(C216,D216))
)</f>
        <v>---</v>
      </c>
      <c r="F216" s="12" t="str">
        <f t="array" ref="F216">IF(OR(B216="",B216="---"),"---",TRUNC(IFERROR(MODE(IF((tabDados[Descrição Padronizada]=B216)*(tabDados[Vida Útil (meses)]&lt;&gt;""),tabDados[Vida Útil (meses)],"-")),AVERAGEIFS(tabDados[Vida Útil (meses)],tabDados[Descrição Padronizada],B216))+0.5))</f>
        <v>---</v>
      </c>
      <c r="G216" s="13" t="str">
        <f>IF(OR(B216="",B216="---"),"---",TRUNC(IFERROR(AVERAGEIFS(tabDados[Manutenção (%)],tabDados[Descrição Padronizada],B216,tabDados[Manutenção (%)],"&gt;"&amp;0),0)*10000)/10000)</f>
        <v>---</v>
      </c>
      <c r="H216" s="24" t="str">
        <f>IF(OR(B216="---",B216=""),"---",COUNTIF(tabDados[[#All],[Descrição Padronizada]],B216))</f>
        <v>---</v>
      </c>
      <c r="I216" s="24" t="s">
        <v>20</v>
      </c>
    </row>
    <row r="217" spans="1:9" hidden="1" x14ac:dyDescent="0.35">
      <c r="A217" s="15">
        <v>215</v>
      </c>
      <c r="C217" s="16" t="str">
        <f t="array" ref="C217">IF(B217="","---",IFERROR(
   _xlfn.PERCENTILE.INC(
      IF((tabDados[Descrição Padronizada]=B217)*(tabDados[Valor Unitário]&lt;&gt;""),
         tabDados[Valor Unitário],""
      ),
   C$1),
   _xlfn.MINIFS(tabDados[Valor Unitário],tabDados[Descrição Padronizada],B217)
))</f>
        <v>---</v>
      </c>
      <c r="D217" s="16" t="str">
        <f t="array" ref="D217">IF(B217="","---",IFERROR(
   _xlfn.PERCENTILE.INC(
      IF((tabDados[Descrição Padronizada]=B217)*(tabDados[Valor Unitário]&lt;&gt;""),
         tabDados[Valor Unitário],""
      ),
   D$1),
   _xlfn.MAXIFS(tabDados[Valor Unitário],tabDados[Descrição Padronizada],B217)
))</f>
        <v>---</v>
      </c>
      <c r="E217" s="16" t="str">
        <f>IF(OR(B217="",B217="---"),"---",
   IFERROR(AVERAGEIFS(tabDados[Valor Unitário],tabDados[Descrição Padronizada],B217,tabDados[Valor Unitário],"&gt;="&amp;C217,tabDados[Valor Unitário],"&lt;="&amp;D217),AVERAGE(C217,D217))
)</f>
        <v>---</v>
      </c>
      <c r="F217" s="12" t="str">
        <f t="array" ref="F217">IF(OR(B217="",B217="---"),"---",TRUNC(IFERROR(MODE(IF((tabDados[Descrição Padronizada]=B217)*(tabDados[Vida Útil (meses)]&lt;&gt;""),tabDados[Vida Útil (meses)],"-")),AVERAGEIFS(tabDados[Vida Útil (meses)],tabDados[Descrição Padronizada],B217))+0.5))</f>
        <v>---</v>
      </c>
      <c r="G217" s="13" t="str">
        <f>IF(OR(B217="",B217="---"),"---",TRUNC(IFERROR(AVERAGEIFS(tabDados[Manutenção (%)],tabDados[Descrição Padronizada],B217,tabDados[Manutenção (%)],"&gt;"&amp;0),0)*10000)/10000)</f>
        <v>---</v>
      </c>
      <c r="H217" s="24" t="str">
        <f>IF(OR(B217="---",B217=""),"---",COUNTIF(tabDados[[#All],[Descrição Padronizada]],B217))</f>
        <v>---</v>
      </c>
      <c r="I217" s="24" t="s">
        <v>20</v>
      </c>
    </row>
    <row r="218" spans="1:9" hidden="1" x14ac:dyDescent="0.35">
      <c r="A218" s="15">
        <v>216</v>
      </c>
      <c r="C218" s="16" t="str">
        <f t="array" ref="C218">IF(B218="","---",IFERROR(
   _xlfn.PERCENTILE.INC(
      IF((tabDados[Descrição Padronizada]=B218)*(tabDados[Valor Unitário]&lt;&gt;""),
         tabDados[Valor Unitário],""
      ),
   C$1),
   _xlfn.MINIFS(tabDados[Valor Unitário],tabDados[Descrição Padronizada],B218)
))</f>
        <v>---</v>
      </c>
      <c r="D218" s="16" t="str">
        <f t="array" ref="D218">IF(B218="","---",IFERROR(
   _xlfn.PERCENTILE.INC(
      IF((tabDados[Descrição Padronizada]=B218)*(tabDados[Valor Unitário]&lt;&gt;""),
         tabDados[Valor Unitário],""
      ),
   D$1),
   _xlfn.MAXIFS(tabDados[Valor Unitário],tabDados[Descrição Padronizada],B218)
))</f>
        <v>---</v>
      </c>
      <c r="E218" s="16" t="str">
        <f>IF(OR(B218="",B218="---"),"---",
   IFERROR(AVERAGEIFS(tabDados[Valor Unitário],tabDados[Descrição Padronizada],B218,tabDados[Valor Unitário],"&gt;="&amp;C218,tabDados[Valor Unitário],"&lt;="&amp;D218),AVERAGE(C218,D218))
)</f>
        <v>---</v>
      </c>
      <c r="F218" s="12" t="str">
        <f t="array" ref="F218">IF(OR(B218="",B218="---"),"---",TRUNC(IFERROR(MODE(IF((tabDados[Descrição Padronizada]=B218)*(tabDados[Vida Útil (meses)]&lt;&gt;""),tabDados[Vida Útil (meses)],"-")),AVERAGEIFS(tabDados[Vida Útil (meses)],tabDados[Descrição Padronizada],B218))+0.5))</f>
        <v>---</v>
      </c>
      <c r="G218" s="13" t="str">
        <f>IF(OR(B218="",B218="---"),"---",TRUNC(IFERROR(AVERAGEIFS(tabDados[Manutenção (%)],tabDados[Descrição Padronizada],B218,tabDados[Manutenção (%)],"&gt;"&amp;0),0)*10000)/10000)</f>
        <v>---</v>
      </c>
      <c r="H218" s="24" t="str">
        <f>IF(OR(B218="---",B218=""),"---",COUNTIF(tabDados[[#All],[Descrição Padronizada]],B218))</f>
        <v>---</v>
      </c>
      <c r="I218" s="24" t="s">
        <v>20</v>
      </c>
    </row>
    <row r="219" spans="1:9" hidden="1" x14ac:dyDescent="0.35">
      <c r="A219" s="15">
        <v>217</v>
      </c>
      <c r="C219" s="16" t="str">
        <f t="array" ref="C219">IF(B219="","---",IFERROR(
   _xlfn.PERCENTILE.INC(
      IF((tabDados[Descrição Padronizada]=B219)*(tabDados[Valor Unitário]&lt;&gt;""),
         tabDados[Valor Unitário],""
      ),
   C$1),
   _xlfn.MINIFS(tabDados[Valor Unitário],tabDados[Descrição Padronizada],B219)
))</f>
        <v>---</v>
      </c>
      <c r="D219" s="16" t="str">
        <f t="array" ref="D219">IF(B219="","---",IFERROR(
   _xlfn.PERCENTILE.INC(
      IF((tabDados[Descrição Padronizada]=B219)*(tabDados[Valor Unitário]&lt;&gt;""),
         tabDados[Valor Unitário],""
      ),
   D$1),
   _xlfn.MAXIFS(tabDados[Valor Unitário],tabDados[Descrição Padronizada],B219)
))</f>
        <v>---</v>
      </c>
      <c r="E219" s="16" t="str">
        <f>IF(OR(B219="",B219="---"),"---",
   IFERROR(AVERAGEIFS(tabDados[Valor Unitário],tabDados[Descrição Padronizada],B219,tabDados[Valor Unitário],"&gt;="&amp;C219,tabDados[Valor Unitário],"&lt;="&amp;D219),AVERAGE(C219,D219))
)</f>
        <v>---</v>
      </c>
      <c r="F219" s="12" t="str">
        <f t="array" ref="F219">IF(OR(B219="",B219="---"),"---",TRUNC(IFERROR(MODE(IF((tabDados[Descrição Padronizada]=B219)*(tabDados[Vida Útil (meses)]&lt;&gt;""),tabDados[Vida Útil (meses)],"-")),AVERAGEIFS(tabDados[Vida Útil (meses)],tabDados[Descrição Padronizada],B219))+0.5))</f>
        <v>---</v>
      </c>
      <c r="G219" s="13" t="str">
        <f>IF(OR(B219="",B219="---"),"---",TRUNC(IFERROR(AVERAGEIFS(tabDados[Manutenção (%)],tabDados[Descrição Padronizada],B219,tabDados[Manutenção (%)],"&gt;"&amp;0),0)*10000)/10000)</f>
        <v>---</v>
      </c>
      <c r="H219" s="24" t="str">
        <f>IF(OR(B219="---",B219=""),"---",COUNTIF(tabDados[[#All],[Descrição Padronizada]],B219))</f>
        <v>---</v>
      </c>
      <c r="I219" s="24" t="s">
        <v>20</v>
      </c>
    </row>
    <row r="220" spans="1:9" hidden="1" x14ac:dyDescent="0.35">
      <c r="A220" s="15">
        <v>218</v>
      </c>
      <c r="C220" s="16" t="str">
        <f t="array" ref="C220">IF(B220="","---",IFERROR(
   _xlfn.PERCENTILE.INC(
      IF((tabDados[Descrição Padronizada]=B220)*(tabDados[Valor Unitário]&lt;&gt;""),
         tabDados[Valor Unitário],""
      ),
   C$1),
   _xlfn.MINIFS(tabDados[Valor Unitário],tabDados[Descrição Padronizada],B220)
))</f>
        <v>---</v>
      </c>
      <c r="D220" s="16" t="str">
        <f t="array" ref="D220">IF(B220="","---",IFERROR(
   _xlfn.PERCENTILE.INC(
      IF((tabDados[Descrição Padronizada]=B220)*(tabDados[Valor Unitário]&lt;&gt;""),
         tabDados[Valor Unitário],""
      ),
   D$1),
   _xlfn.MAXIFS(tabDados[Valor Unitário],tabDados[Descrição Padronizada],B220)
))</f>
        <v>---</v>
      </c>
      <c r="E220" s="16" t="str">
        <f>IF(OR(B220="",B220="---"),"---",
   IFERROR(AVERAGEIFS(tabDados[Valor Unitário],tabDados[Descrição Padronizada],B220,tabDados[Valor Unitário],"&gt;="&amp;C220,tabDados[Valor Unitário],"&lt;="&amp;D220),AVERAGE(C220,D220))
)</f>
        <v>---</v>
      </c>
      <c r="F220" s="12" t="str">
        <f t="array" ref="F220">IF(OR(B220="",B220="---"),"---",TRUNC(IFERROR(MODE(IF((tabDados[Descrição Padronizada]=B220)*(tabDados[Vida Útil (meses)]&lt;&gt;""),tabDados[Vida Útil (meses)],"-")),AVERAGEIFS(tabDados[Vida Útil (meses)],tabDados[Descrição Padronizada],B220))+0.5))</f>
        <v>---</v>
      </c>
      <c r="G220" s="13" t="str">
        <f>IF(OR(B220="",B220="---"),"---",TRUNC(IFERROR(AVERAGEIFS(tabDados[Manutenção (%)],tabDados[Descrição Padronizada],B220,tabDados[Manutenção (%)],"&gt;"&amp;0),0)*10000)/10000)</f>
        <v>---</v>
      </c>
      <c r="H220" s="24" t="str">
        <f>IF(OR(B220="---",B220=""),"---",COUNTIF(tabDados[[#All],[Descrição Padronizada]],B220))</f>
        <v>---</v>
      </c>
      <c r="I220" s="24" t="s">
        <v>20</v>
      </c>
    </row>
    <row r="221" spans="1:9" hidden="1" x14ac:dyDescent="0.35">
      <c r="A221" s="15">
        <v>219</v>
      </c>
      <c r="C221" s="16" t="str">
        <f t="array" ref="C221">IF(B221="","---",IFERROR(
   _xlfn.PERCENTILE.INC(
      IF((tabDados[Descrição Padronizada]=B221)*(tabDados[Valor Unitário]&lt;&gt;""),
         tabDados[Valor Unitário],""
      ),
   C$1),
   _xlfn.MINIFS(tabDados[Valor Unitário],tabDados[Descrição Padronizada],B221)
))</f>
        <v>---</v>
      </c>
      <c r="D221" s="16" t="str">
        <f t="array" ref="D221">IF(B221="","---",IFERROR(
   _xlfn.PERCENTILE.INC(
      IF((tabDados[Descrição Padronizada]=B221)*(tabDados[Valor Unitário]&lt;&gt;""),
         tabDados[Valor Unitário],""
      ),
   D$1),
   _xlfn.MAXIFS(tabDados[Valor Unitário],tabDados[Descrição Padronizada],B221)
))</f>
        <v>---</v>
      </c>
      <c r="E221" s="16" t="str">
        <f>IF(OR(B221="",B221="---"),"---",
   IFERROR(AVERAGEIFS(tabDados[Valor Unitário],tabDados[Descrição Padronizada],B221,tabDados[Valor Unitário],"&gt;="&amp;C221,tabDados[Valor Unitário],"&lt;="&amp;D221),AVERAGE(C221,D221))
)</f>
        <v>---</v>
      </c>
      <c r="F221" s="12" t="str">
        <f t="array" ref="F221">IF(OR(B221="",B221="---"),"---",TRUNC(IFERROR(MODE(IF((tabDados[Descrição Padronizada]=B221)*(tabDados[Vida Útil (meses)]&lt;&gt;""),tabDados[Vida Útil (meses)],"-")),AVERAGEIFS(tabDados[Vida Útil (meses)],tabDados[Descrição Padronizada],B221))+0.5))</f>
        <v>---</v>
      </c>
      <c r="G221" s="13" t="str">
        <f>IF(OR(B221="",B221="---"),"---",TRUNC(IFERROR(AVERAGEIFS(tabDados[Manutenção (%)],tabDados[Descrição Padronizada],B221,tabDados[Manutenção (%)],"&gt;"&amp;0),0)*10000)/10000)</f>
        <v>---</v>
      </c>
      <c r="H221" s="24" t="str">
        <f>IF(OR(B221="---",B221=""),"---",COUNTIF(tabDados[[#All],[Descrição Padronizada]],B221))</f>
        <v>---</v>
      </c>
      <c r="I221" s="24" t="s">
        <v>20</v>
      </c>
    </row>
    <row r="222" spans="1:9" hidden="1" x14ac:dyDescent="0.35">
      <c r="A222" s="15">
        <v>220</v>
      </c>
      <c r="C222" s="16" t="str">
        <f t="array" ref="C222">IF(B222="","---",IFERROR(
   _xlfn.PERCENTILE.INC(
      IF((tabDados[Descrição Padronizada]=B222)*(tabDados[Valor Unitário]&lt;&gt;""),
         tabDados[Valor Unitário],""
      ),
   C$1),
   _xlfn.MINIFS(tabDados[Valor Unitário],tabDados[Descrição Padronizada],B222)
))</f>
        <v>---</v>
      </c>
      <c r="D222" s="16" t="str">
        <f t="array" ref="D222">IF(B222="","---",IFERROR(
   _xlfn.PERCENTILE.INC(
      IF((tabDados[Descrição Padronizada]=B222)*(tabDados[Valor Unitário]&lt;&gt;""),
         tabDados[Valor Unitário],""
      ),
   D$1),
   _xlfn.MAXIFS(tabDados[Valor Unitário],tabDados[Descrição Padronizada],B222)
))</f>
        <v>---</v>
      </c>
      <c r="E222" s="16" t="str">
        <f>IF(OR(B222="",B222="---"),"---",
   IFERROR(AVERAGEIFS(tabDados[Valor Unitário],tabDados[Descrição Padronizada],B222,tabDados[Valor Unitário],"&gt;="&amp;C222,tabDados[Valor Unitário],"&lt;="&amp;D222),AVERAGE(C222,D222))
)</f>
        <v>---</v>
      </c>
      <c r="F222" s="12" t="str">
        <f t="array" ref="F222">IF(OR(B222="",B222="---"),"---",TRUNC(IFERROR(MODE(IF((tabDados[Descrição Padronizada]=B222)*(tabDados[Vida Útil (meses)]&lt;&gt;""),tabDados[Vida Útil (meses)],"-")),AVERAGEIFS(tabDados[Vida Útil (meses)],tabDados[Descrição Padronizada],B222))+0.5))</f>
        <v>---</v>
      </c>
      <c r="G222" s="13" t="str">
        <f>IF(OR(B222="",B222="---"),"---",TRUNC(IFERROR(AVERAGEIFS(tabDados[Manutenção (%)],tabDados[Descrição Padronizada],B222,tabDados[Manutenção (%)],"&gt;"&amp;0),0)*10000)/10000)</f>
        <v>---</v>
      </c>
      <c r="H222" s="24" t="str">
        <f>IF(OR(B222="---",B222=""),"---",COUNTIF(tabDados[[#All],[Descrição Padronizada]],B222))</f>
        <v>---</v>
      </c>
      <c r="I222" s="24" t="s">
        <v>20</v>
      </c>
    </row>
    <row r="223" spans="1:9" hidden="1" x14ac:dyDescent="0.35">
      <c r="A223" s="15">
        <v>221</v>
      </c>
      <c r="C223" s="16" t="str">
        <f t="array" ref="C223">IF(B223="","---",IFERROR(
   _xlfn.PERCENTILE.INC(
      IF((tabDados[Descrição Padronizada]=B223)*(tabDados[Valor Unitário]&lt;&gt;""),
         tabDados[Valor Unitário],""
      ),
   C$1),
   _xlfn.MINIFS(tabDados[Valor Unitário],tabDados[Descrição Padronizada],B223)
))</f>
        <v>---</v>
      </c>
      <c r="D223" s="16" t="str">
        <f t="array" ref="D223">IF(B223="","---",IFERROR(
   _xlfn.PERCENTILE.INC(
      IF((tabDados[Descrição Padronizada]=B223)*(tabDados[Valor Unitário]&lt;&gt;""),
         tabDados[Valor Unitário],""
      ),
   D$1),
   _xlfn.MAXIFS(tabDados[Valor Unitário],tabDados[Descrição Padronizada],B223)
))</f>
        <v>---</v>
      </c>
      <c r="E223" s="16" t="str">
        <f>IF(OR(B223="",B223="---"),"---",
   IFERROR(AVERAGEIFS(tabDados[Valor Unitário],tabDados[Descrição Padronizada],B223,tabDados[Valor Unitário],"&gt;="&amp;C223,tabDados[Valor Unitário],"&lt;="&amp;D223),AVERAGE(C223,D223))
)</f>
        <v>---</v>
      </c>
      <c r="F223" s="12" t="str">
        <f t="array" ref="F223">IF(OR(B223="",B223="---"),"---",TRUNC(IFERROR(MODE(IF((tabDados[Descrição Padronizada]=B223)*(tabDados[Vida Útil (meses)]&lt;&gt;""),tabDados[Vida Útil (meses)],"-")),AVERAGEIFS(tabDados[Vida Útil (meses)],tabDados[Descrição Padronizada],B223))+0.5))</f>
        <v>---</v>
      </c>
      <c r="G223" s="13" t="str">
        <f>IF(OR(B223="",B223="---"),"---",TRUNC(IFERROR(AVERAGEIFS(tabDados[Manutenção (%)],tabDados[Descrição Padronizada],B223,tabDados[Manutenção (%)],"&gt;"&amp;0),0)*10000)/10000)</f>
        <v>---</v>
      </c>
      <c r="H223" s="24" t="str">
        <f>IF(OR(B223="---",B223=""),"---",COUNTIF(tabDados[[#All],[Descrição Padronizada]],B223))</f>
        <v>---</v>
      </c>
      <c r="I223" s="24" t="s">
        <v>20</v>
      </c>
    </row>
    <row r="224" spans="1:9" hidden="1" x14ac:dyDescent="0.35">
      <c r="A224" s="15">
        <v>222</v>
      </c>
      <c r="C224" s="16" t="str">
        <f t="array" ref="C224">IF(B224="","---",IFERROR(
   _xlfn.PERCENTILE.INC(
      IF((tabDados[Descrição Padronizada]=B224)*(tabDados[Valor Unitário]&lt;&gt;""),
         tabDados[Valor Unitário],""
      ),
   C$1),
   _xlfn.MINIFS(tabDados[Valor Unitário],tabDados[Descrição Padronizada],B224)
))</f>
        <v>---</v>
      </c>
      <c r="D224" s="16" t="str">
        <f t="array" ref="D224">IF(B224="","---",IFERROR(
   _xlfn.PERCENTILE.INC(
      IF((tabDados[Descrição Padronizada]=B224)*(tabDados[Valor Unitário]&lt;&gt;""),
         tabDados[Valor Unitário],""
      ),
   D$1),
   _xlfn.MAXIFS(tabDados[Valor Unitário],tabDados[Descrição Padronizada],B224)
))</f>
        <v>---</v>
      </c>
      <c r="E224" s="16" t="str">
        <f>IF(OR(B224="",B224="---"),"---",
   IFERROR(AVERAGEIFS(tabDados[Valor Unitário],tabDados[Descrição Padronizada],B224,tabDados[Valor Unitário],"&gt;="&amp;C224,tabDados[Valor Unitário],"&lt;="&amp;D224),AVERAGE(C224,D224))
)</f>
        <v>---</v>
      </c>
      <c r="F224" s="12" t="str">
        <f t="array" ref="F224">IF(OR(B224="",B224="---"),"---",TRUNC(IFERROR(MODE(IF((tabDados[Descrição Padronizada]=B224)*(tabDados[Vida Útil (meses)]&lt;&gt;""),tabDados[Vida Útil (meses)],"-")),AVERAGEIFS(tabDados[Vida Útil (meses)],tabDados[Descrição Padronizada],B224))+0.5))</f>
        <v>---</v>
      </c>
      <c r="G224" s="13" t="str">
        <f>IF(OR(B224="",B224="---"),"---",TRUNC(IFERROR(AVERAGEIFS(tabDados[Manutenção (%)],tabDados[Descrição Padronizada],B224,tabDados[Manutenção (%)],"&gt;"&amp;0),0)*10000)/10000)</f>
        <v>---</v>
      </c>
      <c r="H224" s="24" t="str">
        <f>IF(OR(B224="---",B224=""),"---",COUNTIF(tabDados[[#All],[Descrição Padronizada]],B224))</f>
        <v>---</v>
      </c>
      <c r="I224" s="24" t="s">
        <v>20</v>
      </c>
    </row>
    <row r="225" spans="1:9" hidden="1" x14ac:dyDescent="0.35">
      <c r="A225" s="15">
        <v>223</v>
      </c>
      <c r="C225" s="16" t="str">
        <f t="array" ref="C225">IF(B225="","---",IFERROR(
   _xlfn.PERCENTILE.INC(
      IF((tabDados[Descrição Padronizada]=B225)*(tabDados[Valor Unitário]&lt;&gt;""),
         tabDados[Valor Unitário],""
      ),
   C$1),
   _xlfn.MINIFS(tabDados[Valor Unitário],tabDados[Descrição Padronizada],B225)
))</f>
        <v>---</v>
      </c>
      <c r="D225" s="16" t="str">
        <f t="array" ref="D225">IF(B225="","---",IFERROR(
   _xlfn.PERCENTILE.INC(
      IF((tabDados[Descrição Padronizada]=B225)*(tabDados[Valor Unitário]&lt;&gt;""),
         tabDados[Valor Unitário],""
      ),
   D$1),
   _xlfn.MAXIFS(tabDados[Valor Unitário],tabDados[Descrição Padronizada],B225)
))</f>
        <v>---</v>
      </c>
      <c r="E225" s="16" t="str">
        <f>IF(OR(B225="",B225="---"),"---",
   IFERROR(AVERAGEIFS(tabDados[Valor Unitário],tabDados[Descrição Padronizada],B225,tabDados[Valor Unitário],"&gt;="&amp;C225,tabDados[Valor Unitário],"&lt;="&amp;D225),AVERAGE(C225,D225))
)</f>
        <v>---</v>
      </c>
      <c r="F225" s="12" t="str">
        <f t="array" ref="F225">IF(OR(B225="",B225="---"),"---",TRUNC(IFERROR(MODE(IF((tabDados[Descrição Padronizada]=B225)*(tabDados[Vida Útil (meses)]&lt;&gt;""),tabDados[Vida Útil (meses)],"-")),AVERAGEIFS(tabDados[Vida Útil (meses)],tabDados[Descrição Padronizada],B225))+0.5))</f>
        <v>---</v>
      </c>
      <c r="G225" s="13" t="str">
        <f>IF(OR(B225="",B225="---"),"---",TRUNC(IFERROR(AVERAGEIFS(tabDados[Manutenção (%)],tabDados[Descrição Padronizada],B225,tabDados[Manutenção (%)],"&gt;"&amp;0),0)*10000)/10000)</f>
        <v>---</v>
      </c>
      <c r="H225" s="24" t="str">
        <f>IF(OR(B225="---",B225=""),"---",COUNTIF(tabDados[[#All],[Descrição Padronizada]],B225))</f>
        <v>---</v>
      </c>
      <c r="I225" s="24" t="s">
        <v>20</v>
      </c>
    </row>
    <row r="226" spans="1:9" hidden="1" x14ac:dyDescent="0.35">
      <c r="A226" s="15">
        <v>224</v>
      </c>
      <c r="C226" s="16" t="str">
        <f t="array" ref="C226">IF(B226="","---",IFERROR(
   _xlfn.PERCENTILE.INC(
      IF((tabDados[Descrição Padronizada]=B226)*(tabDados[Valor Unitário]&lt;&gt;""),
         tabDados[Valor Unitário],""
      ),
   C$1),
   _xlfn.MINIFS(tabDados[Valor Unitário],tabDados[Descrição Padronizada],B226)
))</f>
        <v>---</v>
      </c>
      <c r="D226" s="16" t="str">
        <f t="array" ref="D226">IF(B226="","---",IFERROR(
   _xlfn.PERCENTILE.INC(
      IF((tabDados[Descrição Padronizada]=B226)*(tabDados[Valor Unitário]&lt;&gt;""),
         tabDados[Valor Unitário],""
      ),
   D$1),
   _xlfn.MAXIFS(tabDados[Valor Unitário],tabDados[Descrição Padronizada],B226)
))</f>
        <v>---</v>
      </c>
      <c r="E226" s="16" t="str">
        <f>IF(OR(B226="",B226="---"),"---",
   IFERROR(AVERAGEIFS(tabDados[Valor Unitário],tabDados[Descrição Padronizada],B226,tabDados[Valor Unitário],"&gt;="&amp;C226,tabDados[Valor Unitário],"&lt;="&amp;D226),AVERAGE(C226,D226))
)</f>
        <v>---</v>
      </c>
      <c r="F226" s="12" t="str">
        <f t="array" ref="F226">IF(OR(B226="",B226="---"),"---",TRUNC(IFERROR(MODE(IF((tabDados[Descrição Padronizada]=B226)*(tabDados[Vida Útil (meses)]&lt;&gt;""),tabDados[Vida Útil (meses)],"-")),AVERAGEIFS(tabDados[Vida Útil (meses)],tabDados[Descrição Padronizada],B226))+0.5))</f>
        <v>---</v>
      </c>
      <c r="G226" s="13" t="str">
        <f>IF(OR(B226="",B226="---"),"---",TRUNC(IFERROR(AVERAGEIFS(tabDados[Manutenção (%)],tabDados[Descrição Padronizada],B226,tabDados[Manutenção (%)],"&gt;"&amp;0),0)*10000)/10000)</f>
        <v>---</v>
      </c>
      <c r="H226" s="24" t="str">
        <f>IF(OR(B226="---",B226=""),"---",COUNTIF(tabDados[[#All],[Descrição Padronizada]],B226))</f>
        <v>---</v>
      </c>
      <c r="I226" s="24" t="s">
        <v>20</v>
      </c>
    </row>
    <row r="227" spans="1:9" hidden="1" x14ac:dyDescent="0.35">
      <c r="A227" s="15">
        <v>225</v>
      </c>
      <c r="C227" s="16" t="str">
        <f t="array" ref="C227">IF(B227="","---",IFERROR(
   _xlfn.PERCENTILE.INC(
      IF((tabDados[Descrição Padronizada]=B227)*(tabDados[Valor Unitário]&lt;&gt;""),
         tabDados[Valor Unitário],""
      ),
   C$1),
   _xlfn.MINIFS(tabDados[Valor Unitário],tabDados[Descrição Padronizada],B227)
))</f>
        <v>---</v>
      </c>
      <c r="D227" s="16" t="str">
        <f t="array" ref="D227">IF(B227="","---",IFERROR(
   _xlfn.PERCENTILE.INC(
      IF((tabDados[Descrição Padronizada]=B227)*(tabDados[Valor Unitário]&lt;&gt;""),
         tabDados[Valor Unitário],""
      ),
   D$1),
   _xlfn.MAXIFS(tabDados[Valor Unitário],tabDados[Descrição Padronizada],B227)
))</f>
        <v>---</v>
      </c>
      <c r="E227" s="16" t="str">
        <f>IF(OR(B227="",B227="---"),"---",
   IFERROR(AVERAGEIFS(tabDados[Valor Unitário],tabDados[Descrição Padronizada],B227,tabDados[Valor Unitário],"&gt;="&amp;C227,tabDados[Valor Unitário],"&lt;="&amp;D227),AVERAGE(C227,D227))
)</f>
        <v>---</v>
      </c>
      <c r="F227" s="12" t="str">
        <f t="array" ref="F227">IF(OR(B227="",B227="---"),"---",TRUNC(IFERROR(MODE(IF((tabDados[Descrição Padronizada]=B227)*(tabDados[Vida Útil (meses)]&lt;&gt;""),tabDados[Vida Útil (meses)],"-")),AVERAGEIFS(tabDados[Vida Útil (meses)],tabDados[Descrição Padronizada],B227))+0.5))</f>
        <v>---</v>
      </c>
      <c r="G227" s="13" t="str">
        <f>IF(OR(B227="",B227="---"),"---",TRUNC(IFERROR(AVERAGEIFS(tabDados[Manutenção (%)],tabDados[Descrição Padronizada],B227,tabDados[Manutenção (%)],"&gt;"&amp;0),0)*10000)/10000)</f>
        <v>---</v>
      </c>
      <c r="H227" s="24" t="str">
        <f>IF(OR(B227="---",B227=""),"---",COUNTIF(tabDados[[#All],[Descrição Padronizada]],B227))</f>
        <v>---</v>
      </c>
      <c r="I227" s="24" t="s">
        <v>20</v>
      </c>
    </row>
    <row r="228" spans="1:9" hidden="1" x14ac:dyDescent="0.35">
      <c r="A228" s="15">
        <v>226</v>
      </c>
      <c r="C228" s="16" t="str">
        <f t="array" ref="C228">IF(B228="","---",IFERROR(
   _xlfn.PERCENTILE.INC(
      IF((tabDados[Descrição Padronizada]=B228)*(tabDados[Valor Unitário]&lt;&gt;""),
         tabDados[Valor Unitário],""
      ),
   C$1),
   _xlfn.MINIFS(tabDados[Valor Unitário],tabDados[Descrição Padronizada],B228)
))</f>
        <v>---</v>
      </c>
      <c r="D228" s="16" t="str">
        <f t="array" ref="D228">IF(B228="","---",IFERROR(
   _xlfn.PERCENTILE.INC(
      IF((tabDados[Descrição Padronizada]=B228)*(tabDados[Valor Unitário]&lt;&gt;""),
         tabDados[Valor Unitário],""
      ),
   D$1),
   _xlfn.MAXIFS(tabDados[Valor Unitário],tabDados[Descrição Padronizada],B228)
))</f>
        <v>---</v>
      </c>
      <c r="E228" s="16" t="str">
        <f>IF(OR(B228="",B228="---"),"---",
   IFERROR(AVERAGEIFS(tabDados[Valor Unitário],tabDados[Descrição Padronizada],B228,tabDados[Valor Unitário],"&gt;="&amp;C228,tabDados[Valor Unitário],"&lt;="&amp;D228),AVERAGE(C228,D228))
)</f>
        <v>---</v>
      </c>
      <c r="F228" s="12" t="str">
        <f t="array" ref="F228">IF(OR(B228="",B228="---"),"---",TRUNC(IFERROR(MODE(IF((tabDados[Descrição Padronizada]=B228)*(tabDados[Vida Útil (meses)]&lt;&gt;""),tabDados[Vida Útil (meses)],"-")),AVERAGEIFS(tabDados[Vida Útil (meses)],tabDados[Descrição Padronizada],B228))+0.5))</f>
        <v>---</v>
      </c>
      <c r="G228" s="13" t="str">
        <f>IF(OR(B228="",B228="---"),"---",TRUNC(IFERROR(AVERAGEIFS(tabDados[Manutenção (%)],tabDados[Descrição Padronizada],B228,tabDados[Manutenção (%)],"&gt;"&amp;0),0)*10000)/10000)</f>
        <v>---</v>
      </c>
      <c r="H228" s="24" t="str">
        <f>IF(OR(B228="---",B228=""),"---",COUNTIF(tabDados[[#All],[Descrição Padronizada]],B228))</f>
        <v>---</v>
      </c>
      <c r="I228" s="24" t="s">
        <v>20</v>
      </c>
    </row>
    <row r="229" spans="1:9" hidden="1" x14ac:dyDescent="0.35">
      <c r="A229" s="15">
        <v>227</v>
      </c>
      <c r="C229" s="16" t="str">
        <f t="array" ref="C229">IF(B229="","---",IFERROR(
   _xlfn.PERCENTILE.INC(
      IF((tabDados[Descrição Padronizada]=B229)*(tabDados[Valor Unitário]&lt;&gt;""),
         tabDados[Valor Unitário],""
      ),
   C$1),
   _xlfn.MINIFS(tabDados[Valor Unitário],tabDados[Descrição Padronizada],B229)
))</f>
        <v>---</v>
      </c>
      <c r="D229" s="16" t="str">
        <f t="array" ref="D229">IF(B229="","---",IFERROR(
   _xlfn.PERCENTILE.INC(
      IF((tabDados[Descrição Padronizada]=B229)*(tabDados[Valor Unitário]&lt;&gt;""),
         tabDados[Valor Unitário],""
      ),
   D$1),
   _xlfn.MAXIFS(tabDados[Valor Unitário],tabDados[Descrição Padronizada],B229)
))</f>
        <v>---</v>
      </c>
      <c r="E229" s="16" t="str">
        <f>IF(OR(B229="",B229="---"),"---",
   IFERROR(AVERAGEIFS(tabDados[Valor Unitário],tabDados[Descrição Padronizada],B229,tabDados[Valor Unitário],"&gt;="&amp;C229,tabDados[Valor Unitário],"&lt;="&amp;D229),AVERAGE(C229,D229))
)</f>
        <v>---</v>
      </c>
      <c r="F229" s="12" t="str">
        <f t="array" ref="F229">IF(OR(B229="",B229="---"),"---",TRUNC(IFERROR(MODE(IF((tabDados[Descrição Padronizada]=B229)*(tabDados[Vida Útil (meses)]&lt;&gt;""),tabDados[Vida Útil (meses)],"-")),AVERAGEIFS(tabDados[Vida Útil (meses)],tabDados[Descrição Padronizada],B229))+0.5))</f>
        <v>---</v>
      </c>
      <c r="G229" s="13" t="str">
        <f>IF(OR(B229="",B229="---"),"---",TRUNC(IFERROR(AVERAGEIFS(tabDados[Manutenção (%)],tabDados[Descrição Padronizada],B229,tabDados[Manutenção (%)],"&gt;"&amp;0),0)*10000)/10000)</f>
        <v>---</v>
      </c>
      <c r="H229" s="24" t="str">
        <f>IF(OR(B229="---",B229=""),"---",COUNTIF(tabDados[[#All],[Descrição Padronizada]],B229))</f>
        <v>---</v>
      </c>
      <c r="I229" s="24" t="s">
        <v>20</v>
      </c>
    </row>
    <row r="230" spans="1:9" hidden="1" x14ac:dyDescent="0.35">
      <c r="A230" s="15">
        <v>228</v>
      </c>
      <c r="C230" s="16" t="str">
        <f t="array" ref="C230">IF(B230="","---",IFERROR(
   _xlfn.PERCENTILE.INC(
      IF((tabDados[Descrição Padronizada]=B230)*(tabDados[Valor Unitário]&lt;&gt;""),
         tabDados[Valor Unitário],""
      ),
   C$1),
   _xlfn.MINIFS(tabDados[Valor Unitário],tabDados[Descrição Padronizada],B230)
))</f>
        <v>---</v>
      </c>
      <c r="D230" s="16" t="str">
        <f t="array" ref="D230">IF(B230="","---",IFERROR(
   _xlfn.PERCENTILE.INC(
      IF((tabDados[Descrição Padronizada]=B230)*(tabDados[Valor Unitário]&lt;&gt;""),
         tabDados[Valor Unitário],""
      ),
   D$1),
   _xlfn.MAXIFS(tabDados[Valor Unitário],tabDados[Descrição Padronizada],B230)
))</f>
        <v>---</v>
      </c>
      <c r="E230" s="16" t="str">
        <f>IF(OR(B230="",B230="---"),"---",
   IFERROR(AVERAGEIFS(tabDados[Valor Unitário],tabDados[Descrição Padronizada],B230,tabDados[Valor Unitário],"&gt;="&amp;C230,tabDados[Valor Unitário],"&lt;="&amp;D230),AVERAGE(C230,D230))
)</f>
        <v>---</v>
      </c>
      <c r="F230" s="12" t="str">
        <f t="array" ref="F230">IF(OR(B230="",B230="---"),"---",TRUNC(IFERROR(MODE(IF((tabDados[Descrição Padronizada]=B230)*(tabDados[Vida Útil (meses)]&lt;&gt;""),tabDados[Vida Útil (meses)],"-")),AVERAGEIFS(tabDados[Vida Útil (meses)],tabDados[Descrição Padronizada],B230))+0.5))</f>
        <v>---</v>
      </c>
      <c r="G230" s="13" t="str">
        <f>IF(OR(B230="",B230="---"),"---",TRUNC(IFERROR(AVERAGEIFS(tabDados[Manutenção (%)],tabDados[Descrição Padronizada],B230,tabDados[Manutenção (%)],"&gt;"&amp;0),0)*10000)/10000)</f>
        <v>---</v>
      </c>
      <c r="H230" s="24" t="str">
        <f>IF(OR(B230="---",B230=""),"---",COUNTIF(tabDados[[#All],[Descrição Padronizada]],B230))</f>
        <v>---</v>
      </c>
      <c r="I230" s="24" t="s">
        <v>20</v>
      </c>
    </row>
    <row r="231" spans="1:9" hidden="1" x14ac:dyDescent="0.35">
      <c r="A231" s="15">
        <v>229</v>
      </c>
      <c r="C231" s="16" t="str">
        <f t="array" ref="C231">IF(B231="","---",IFERROR(
   _xlfn.PERCENTILE.INC(
      IF((tabDados[Descrição Padronizada]=B231)*(tabDados[Valor Unitário]&lt;&gt;""),
         tabDados[Valor Unitário],""
      ),
   C$1),
   _xlfn.MINIFS(tabDados[Valor Unitário],tabDados[Descrição Padronizada],B231)
))</f>
        <v>---</v>
      </c>
      <c r="D231" s="16" t="str">
        <f t="array" ref="D231">IF(B231="","---",IFERROR(
   _xlfn.PERCENTILE.INC(
      IF((tabDados[Descrição Padronizada]=B231)*(tabDados[Valor Unitário]&lt;&gt;""),
         tabDados[Valor Unitário],""
      ),
   D$1),
   _xlfn.MAXIFS(tabDados[Valor Unitário],tabDados[Descrição Padronizada],B231)
))</f>
        <v>---</v>
      </c>
      <c r="E231" s="16" t="str">
        <f>IF(OR(B231="",B231="---"),"---",
   IFERROR(AVERAGEIFS(tabDados[Valor Unitário],tabDados[Descrição Padronizada],B231,tabDados[Valor Unitário],"&gt;="&amp;C231,tabDados[Valor Unitário],"&lt;="&amp;D231),AVERAGE(C231,D231))
)</f>
        <v>---</v>
      </c>
      <c r="F231" s="12" t="str">
        <f t="array" ref="F231">IF(OR(B231="",B231="---"),"---",TRUNC(IFERROR(MODE(IF((tabDados[Descrição Padronizada]=B231)*(tabDados[Vida Útil (meses)]&lt;&gt;""),tabDados[Vida Útil (meses)],"-")),AVERAGEIFS(tabDados[Vida Útil (meses)],tabDados[Descrição Padronizada],B231))+0.5))</f>
        <v>---</v>
      </c>
      <c r="G231" s="13" t="str">
        <f>IF(OR(B231="",B231="---"),"---",TRUNC(IFERROR(AVERAGEIFS(tabDados[Manutenção (%)],tabDados[Descrição Padronizada],B231,tabDados[Manutenção (%)],"&gt;"&amp;0),0)*10000)/10000)</f>
        <v>---</v>
      </c>
      <c r="H231" s="24" t="str">
        <f>IF(OR(B231="---",B231=""),"---",COUNTIF(tabDados[[#All],[Descrição Padronizada]],B231))</f>
        <v>---</v>
      </c>
      <c r="I231" s="24" t="s">
        <v>20</v>
      </c>
    </row>
    <row r="232" spans="1:9" hidden="1" x14ac:dyDescent="0.35">
      <c r="A232" s="15">
        <v>230</v>
      </c>
      <c r="C232" s="16" t="str">
        <f t="array" ref="C232">IF(B232="","---",IFERROR(
   _xlfn.PERCENTILE.INC(
      IF((tabDados[Descrição Padronizada]=B232)*(tabDados[Valor Unitário]&lt;&gt;""),
         tabDados[Valor Unitário],""
      ),
   C$1),
   _xlfn.MINIFS(tabDados[Valor Unitário],tabDados[Descrição Padronizada],B232)
))</f>
        <v>---</v>
      </c>
      <c r="D232" s="16" t="str">
        <f t="array" ref="D232">IF(B232="","---",IFERROR(
   _xlfn.PERCENTILE.INC(
      IF((tabDados[Descrição Padronizada]=B232)*(tabDados[Valor Unitário]&lt;&gt;""),
         tabDados[Valor Unitário],""
      ),
   D$1),
   _xlfn.MAXIFS(tabDados[Valor Unitário],tabDados[Descrição Padronizada],B232)
))</f>
        <v>---</v>
      </c>
      <c r="E232" s="16" t="str">
        <f>IF(OR(B232="",B232="---"),"---",
   IFERROR(AVERAGEIFS(tabDados[Valor Unitário],tabDados[Descrição Padronizada],B232,tabDados[Valor Unitário],"&gt;="&amp;C232,tabDados[Valor Unitário],"&lt;="&amp;D232),AVERAGE(C232,D232))
)</f>
        <v>---</v>
      </c>
      <c r="F232" s="12" t="str">
        <f t="array" ref="F232">IF(OR(B232="",B232="---"),"---",TRUNC(IFERROR(MODE(IF((tabDados[Descrição Padronizada]=B232)*(tabDados[Vida Útil (meses)]&lt;&gt;""),tabDados[Vida Útil (meses)],"-")),AVERAGEIFS(tabDados[Vida Útil (meses)],tabDados[Descrição Padronizada],B232))+0.5))</f>
        <v>---</v>
      </c>
      <c r="G232" s="13" t="str">
        <f>IF(OR(B232="",B232="---"),"---",TRUNC(IFERROR(AVERAGEIFS(tabDados[Manutenção (%)],tabDados[Descrição Padronizada],B232,tabDados[Manutenção (%)],"&gt;"&amp;0),0)*10000)/10000)</f>
        <v>---</v>
      </c>
      <c r="H232" s="24" t="str">
        <f>IF(OR(B232="---",B232=""),"---",COUNTIF(tabDados[[#All],[Descrição Padronizada]],B232))</f>
        <v>---</v>
      </c>
      <c r="I232" s="24" t="s">
        <v>20</v>
      </c>
    </row>
    <row r="233" spans="1:9" hidden="1" x14ac:dyDescent="0.35">
      <c r="A233" s="15">
        <v>231</v>
      </c>
      <c r="C233" s="16" t="str">
        <f t="array" ref="C233">IF(B233="","---",IFERROR(
   _xlfn.PERCENTILE.INC(
      IF((tabDados[Descrição Padronizada]=B233)*(tabDados[Valor Unitário]&lt;&gt;""),
         tabDados[Valor Unitário],""
      ),
   C$1),
   _xlfn.MINIFS(tabDados[Valor Unitário],tabDados[Descrição Padronizada],B233)
))</f>
        <v>---</v>
      </c>
      <c r="D233" s="16" t="str">
        <f t="array" ref="D233">IF(B233="","---",IFERROR(
   _xlfn.PERCENTILE.INC(
      IF((tabDados[Descrição Padronizada]=B233)*(tabDados[Valor Unitário]&lt;&gt;""),
         tabDados[Valor Unitário],""
      ),
   D$1),
   _xlfn.MAXIFS(tabDados[Valor Unitário],tabDados[Descrição Padronizada],B233)
))</f>
        <v>---</v>
      </c>
      <c r="E233" s="16" t="str">
        <f>IF(OR(B233="",B233="---"),"---",
   IFERROR(AVERAGEIFS(tabDados[Valor Unitário],tabDados[Descrição Padronizada],B233,tabDados[Valor Unitário],"&gt;="&amp;C233,tabDados[Valor Unitário],"&lt;="&amp;D233),AVERAGE(C233,D233))
)</f>
        <v>---</v>
      </c>
      <c r="F233" s="12" t="str">
        <f t="array" ref="F233">IF(OR(B233="",B233="---"),"---",TRUNC(IFERROR(MODE(IF((tabDados[Descrição Padronizada]=B233)*(tabDados[Vida Útil (meses)]&lt;&gt;""),tabDados[Vida Útil (meses)],"-")),AVERAGEIFS(tabDados[Vida Útil (meses)],tabDados[Descrição Padronizada],B233))+0.5))</f>
        <v>---</v>
      </c>
      <c r="G233" s="13" t="str">
        <f>IF(OR(B233="",B233="---"),"---",TRUNC(IFERROR(AVERAGEIFS(tabDados[Manutenção (%)],tabDados[Descrição Padronizada],B233,tabDados[Manutenção (%)],"&gt;"&amp;0),0)*10000)/10000)</f>
        <v>---</v>
      </c>
      <c r="H233" s="24" t="str">
        <f>IF(OR(B233="---",B233=""),"---",COUNTIF(tabDados[[#All],[Descrição Padronizada]],B233))</f>
        <v>---</v>
      </c>
      <c r="I233" s="24" t="s">
        <v>20</v>
      </c>
    </row>
    <row r="234" spans="1:9" hidden="1" x14ac:dyDescent="0.35">
      <c r="A234" s="15">
        <v>232</v>
      </c>
      <c r="C234" s="16" t="str">
        <f t="array" ref="C234">IF(B234="","---",IFERROR(
   _xlfn.PERCENTILE.INC(
      IF((tabDados[Descrição Padronizada]=B234)*(tabDados[Valor Unitário]&lt;&gt;""),
         tabDados[Valor Unitário],""
      ),
   C$1),
   _xlfn.MINIFS(tabDados[Valor Unitário],tabDados[Descrição Padronizada],B234)
))</f>
        <v>---</v>
      </c>
      <c r="D234" s="16" t="str">
        <f t="array" ref="D234">IF(B234="","---",IFERROR(
   _xlfn.PERCENTILE.INC(
      IF((tabDados[Descrição Padronizada]=B234)*(tabDados[Valor Unitário]&lt;&gt;""),
         tabDados[Valor Unitário],""
      ),
   D$1),
   _xlfn.MAXIFS(tabDados[Valor Unitário],tabDados[Descrição Padronizada],B234)
))</f>
        <v>---</v>
      </c>
      <c r="E234" s="16" t="str">
        <f>IF(OR(B234="",B234="---"),"---",
   IFERROR(AVERAGEIFS(tabDados[Valor Unitário],tabDados[Descrição Padronizada],B234,tabDados[Valor Unitário],"&gt;="&amp;C234,tabDados[Valor Unitário],"&lt;="&amp;D234),AVERAGE(C234,D234))
)</f>
        <v>---</v>
      </c>
      <c r="F234" s="12" t="str">
        <f t="array" ref="F234">IF(OR(B234="",B234="---"),"---",TRUNC(IFERROR(MODE(IF((tabDados[Descrição Padronizada]=B234)*(tabDados[Vida Útil (meses)]&lt;&gt;""),tabDados[Vida Útil (meses)],"-")),AVERAGEIFS(tabDados[Vida Útil (meses)],tabDados[Descrição Padronizada],B234))+0.5))</f>
        <v>---</v>
      </c>
      <c r="G234" s="13" t="str">
        <f>IF(OR(B234="",B234="---"),"---",TRUNC(IFERROR(AVERAGEIFS(tabDados[Manutenção (%)],tabDados[Descrição Padronizada],B234,tabDados[Manutenção (%)],"&gt;"&amp;0),0)*10000)/10000)</f>
        <v>---</v>
      </c>
      <c r="H234" s="24" t="str">
        <f>IF(OR(B234="---",B234=""),"---",COUNTIF(tabDados[[#All],[Descrição Padronizada]],B234))</f>
        <v>---</v>
      </c>
      <c r="I234" s="24" t="s">
        <v>20</v>
      </c>
    </row>
    <row r="235" spans="1:9" hidden="1" x14ac:dyDescent="0.35">
      <c r="A235" s="15">
        <v>233</v>
      </c>
      <c r="C235" s="16" t="str">
        <f t="array" ref="C235">IF(B235="","---",IFERROR(
   _xlfn.PERCENTILE.INC(
      IF((tabDados[Descrição Padronizada]=B235)*(tabDados[Valor Unitário]&lt;&gt;""),
         tabDados[Valor Unitário],""
      ),
   C$1),
   _xlfn.MINIFS(tabDados[Valor Unitário],tabDados[Descrição Padronizada],B235)
))</f>
        <v>---</v>
      </c>
      <c r="D235" s="16" t="str">
        <f t="array" ref="D235">IF(B235="","---",IFERROR(
   _xlfn.PERCENTILE.INC(
      IF((tabDados[Descrição Padronizada]=B235)*(tabDados[Valor Unitário]&lt;&gt;""),
         tabDados[Valor Unitário],""
      ),
   D$1),
   _xlfn.MAXIFS(tabDados[Valor Unitário],tabDados[Descrição Padronizada],B235)
))</f>
        <v>---</v>
      </c>
      <c r="E235" s="16" t="str">
        <f>IF(OR(B235="",B235="---"),"---",
   IFERROR(AVERAGEIFS(tabDados[Valor Unitário],tabDados[Descrição Padronizada],B235,tabDados[Valor Unitário],"&gt;="&amp;C235,tabDados[Valor Unitário],"&lt;="&amp;D235),AVERAGE(C235,D235))
)</f>
        <v>---</v>
      </c>
      <c r="F235" s="12" t="str">
        <f t="array" ref="F235">IF(OR(B235="",B235="---"),"---",TRUNC(IFERROR(MODE(IF((tabDados[Descrição Padronizada]=B235)*(tabDados[Vida Útil (meses)]&lt;&gt;""),tabDados[Vida Útil (meses)],"-")),AVERAGEIFS(tabDados[Vida Útil (meses)],tabDados[Descrição Padronizada],B235))+0.5))</f>
        <v>---</v>
      </c>
      <c r="G235" s="13" t="str">
        <f>IF(OR(B235="",B235="---"),"---",TRUNC(IFERROR(AVERAGEIFS(tabDados[Manutenção (%)],tabDados[Descrição Padronizada],B235,tabDados[Manutenção (%)],"&gt;"&amp;0),0)*10000)/10000)</f>
        <v>---</v>
      </c>
      <c r="H235" s="24" t="str">
        <f>IF(OR(B235="---",B235=""),"---",COUNTIF(tabDados[[#All],[Descrição Padronizada]],B235))</f>
        <v>---</v>
      </c>
      <c r="I235" s="24" t="s">
        <v>20</v>
      </c>
    </row>
    <row r="236" spans="1:9" hidden="1" x14ac:dyDescent="0.35">
      <c r="A236" s="15">
        <v>234</v>
      </c>
      <c r="C236" s="16" t="str">
        <f t="array" ref="C236">IF(B236="","---",IFERROR(
   _xlfn.PERCENTILE.INC(
      IF((tabDados[Descrição Padronizada]=B236)*(tabDados[Valor Unitário]&lt;&gt;""),
         tabDados[Valor Unitário],""
      ),
   C$1),
   _xlfn.MINIFS(tabDados[Valor Unitário],tabDados[Descrição Padronizada],B236)
))</f>
        <v>---</v>
      </c>
      <c r="D236" s="16" t="str">
        <f t="array" ref="D236">IF(B236="","---",IFERROR(
   _xlfn.PERCENTILE.INC(
      IF((tabDados[Descrição Padronizada]=B236)*(tabDados[Valor Unitário]&lt;&gt;""),
         tabDados[Valor Unitário],""
      ),
   D$1),
   _xlfn.MAXIFS(tabDados[Valor Unitário],tabDados[Descrição Padronizada],B236)
))</f>
        <v>---</v>
      </c>
      <c r="E236" s="16" t="str">
        <f>IF(OR(B236="",B236="---"),"---",
   IFERROR(AVERAGEIFS(tabDados[Valor Unitário],tabDados[Descrição Padronizada],B236,tabDados[Valor Unitário],"&gt;="&amp;C236,tabDados[Valor Unitário],"&lt;="&amp;D236),AVERAGE(C236,D236))
)</f>
        <v>---</v>
      </c>
      <c r="F236" s="12" t="str">
        <f t="array" ref="F236">IF(OR(B236="",B236="---"),"---",TRUNC(IFERROR(MODE(IF((tabDados[Descrição Padronizada]=B236)*(tabDados[Vida Útil (meses)]&lt;&gt;""),tabDados[Vida Útil (meses)],"-")),AVERAGEIFS(tabDados[Vida Útil (meses)],tabDados[Descrição Padronizada],B236))+0.5))</f>
        <v>---</v>
      </c>
      <c r="G236" s="13" t="str">
        <f>IF(OR(B236="",B236="---"),"---",TRUNC(IFERROR(AVERAGEIFS(tabDados[Manutenção (%)],tabDados[Descrição Padronizada],B236,tabDados[Manutenção (%)],"&gt;"&amp;0),0)*10000)/10000)</f>
        <v>---</v>
      </c>
      <c r="H236" s="24" t="str">
        <f>IF(OR(B236="---",B236=""),"---",COUNTIF(tabDados[[#All],[Descrição Padronizada]],B236))</f>
        <v>---</v>
      </c>
      <c r="I236" s="24" t="s">
        <v>20</v>
      </c>
    </row>
    <row r="237" spans="1:9" hidden="1" x14ac:dyDescent="0.35">
      <c r="A237" s="15">
        <v>235</v>
      </c>
      <c r="C237" s="16" t="str">
        <f t="array" ref="C237">IF(B237="","---",IFERROR(
   _xlfn.PERCENTILE.INC(
      IF((tabDados[Descrição Padronizada]=B237)*(tabDados[Valor Unitário]&lt;&gt;""),
         tabDados[Valor Unitário],""
      ),
   C$1),
   _xlfn.MINIFS(tabDados[Valor Unitário],tabDados[Descrição Padronizada],B237)
))</f>
        <v>---</v>
      </c>
      <c r="D237" s="16" t="str">
        <f t="array" ref="D237">IF(B237="","---",IFERROR(
   _xlfn.PERCENTILE.INC(
      IF((tabDados[Descrição Padronizada]=B237)*(tabDados[Valor Unitário]&lt;&gt;""),
         tabDados[Valor Unitário],""
      ),
   D$1),
   _xlfn.MAXIFS(tabDados[Valor Unitário],tabDados[Descrição Padronizada],B237)
))</f>
        <v>---</v>
      </c>
      <c r="E237" s="16" t="str">
        <f>IF(OR(B237="",B237="---"),"---",
   IFERROR(AVERAGEIFS(tabDados[Valor Unitário],tabDados[Descrição Padronizada],B237,tabDados[Valor Unitário],"&gt;="&amp;C237,tabDados[Valor Unitário],"&lt;="&amp;D237),AVERAGE(C237,D237))
)</f>
        <v>---</v>
      </c>
      <c r="F237" s="12" t="str">
        <f t="array" ref="F237">IF(OR(B237="",B237="---"),"---",TRUNC(IFERROR(MODE(IF((tabDados[Descrição Padronizada]=B237)*(tabDados[Vida Útil (meses)]&lt;&gt;""),tabDados[Vida Útil (meses)],"-")),AVERAGEIFS(tabDados[Vida Útil (meses)],tabDados[Descrição Padronizada],B237))+0.5))</f>
        <v>---</v>
      </c>
      <c r="G237" s="13" t="str">
        <f>IF(OR(B237="",B237="---"),"---",TRUNC(IFERROR(AVERAGEIFS(tabDados[Manutenção (%)],tabDados[Descrição Padronizada],B237,tabDados[Manutenção (%)],"&gt;"&amp;0),0)*10000)/10000)</f>
        <v>---</v>
      </c>
      <c r="H237" s="24" t="str">
        <f>IF(OR(B237="---",B237=""),"---",COUNTIF(tabDados[[#All],[Descrição Padronizada]],B237))</f>
        <v>---</v>
      </c>
      <c r="I237" s="24" t="s">
        <v>20</v>
      </c>
    </row>
    <row r="238" spans="1:9" hidden="1" x14ac:dyDescent="0.35">
      <c r="A238" s="15">
        <v>236</v>
      </c>
      <c r="C238" s="16" t="str">
        <f t="array" ref="C238">IF(B238="","---",IFERROR(
   _xlfn.PERCENTILE.INC(
      IF((tabDados[Descrição Padronizada]=B238)*(tabDados[Valor Unitário]&lt;&gt;""),
         tabDados[Valor Unitário],""
      ),
   C$1),
   _xlfn.MINIFS(tabDados[Valor Unitário],tabDados[Descrição Padronizada],B238)
))</f>
        <v>---</v>
      </c>
      <c r="D238" s="16" t="str">
        <f t="array" ref="D238">IF(B238="","---",IFERROR(
   _xlfn.PERCENTILE.INC(
      IF((tabDados[Descrição Padronizada]=B238)*(tabDados[Valor Unitário]&lt;&gt;""),
         tabDados[Valor Unitário],""
      ),
   D$1),
   _xlfn.MAXIFS(tabDados[Valor Unitário],tabDados[Descrição Padronizada],B238)
))</f>
        <v>---</v>
      </c>
      <c r="E238" s="16" t="str">
        <f>IF(OR(B238="",B238="---"),"---",
   IFERROR(AVERAGEIFS(tabDados[Valor Unitário],tabDados[Descrição Padronizada],B238,tabDados[Valor Unitário],"&gt;="&amp;C238,tabDados[Valor Unitário],"&lt;="&amp;D238),AVERAGE(C238,D238))
)</f>
        <v>---</v>
      </c>
      <c r="F238" s="12" t="str">
        <f t="array" ref="F238">IF(OR(B238="",B238="---"),"---",TRUNC(IFERROR(MODE(IF((tabDados[Descrição Padronizada]=B238)*(tabDados[Vida Útil (meses)]&lt;&gt;""),tabDados[Vida Útil (meses)],"-")),AVERAGEIFS(tabDados[Vida Útil (meses)],tabDados[Descrição Padronizada],B238))+0.5))</f>
        <v>---</v>
      </c>
      <c r="G238" s="13" t="str">
        <f>IF(OR(B238="",B238="---"),"---",TRUNC(IFERROR(AVERAGEIFS(tabDados[Manutenção (%)],tabDados[Descrição Padronizada],B238,tabDados[Manutenção (%)],"&gt;"&amp;0),0)*10000)/10000)</f>
        <v>---</v>
      </c>
      <c r="H238" s="24" t="str">
        <f>IF(OR(B238="---",B238=""),"---",COUNTIF(tabDados[[#All],[Descrição Padronizada]],B238))</f>
        <v>---</v>
      </c>
      <c r="I238" s="24" t="s">
        <v>20</v>
      </c>
    </row>
    <row r="239" spans="1:9" hidden="1" x14ac:dyDescent="0.35">
      <c r="A239" s="15">
        <v>237</v>
      </c>
      <c r="C239" s="16" t="str">
        <f t="array" ref="C239">IF(B239="","---",IFERROR(
   _xlfn.PERCENTILE.INC(
      IF((tabDados[Descrição Padronizada]=B239)*(tabDados[Valor Unitário]&lt;&gt;""),
         tabDados[Valor Unitário],""
      ),
   C$1),
   _xlfn.MINIFS(tabDados[Valor Unitário],tabDados[Descrição Padronizada],B239)
))</f>
        <v>---</v>
      </c>
      <c r="D239" s="16" t="str">
        <f t="array" ref="D239">IF(B239="","---",IFERROR(
   _xlfn.PERCENTILE.INC(
      IF((tabDados[Descrição Padronizada]=B239)*(tabDados[Valor Unitário]&lt;&gt;""),
         tabDados[Valor Unitário],""
      ),
   D$1),
   _xlfn.MAXIFS(tabDados[Valor Unitário],tabDados[Descrição Padronizada],B239)
))</f>
        <v>---</v>
      </c>
      <c r="E239" s="16" t="str">
        <f>IF(OR(B239="",B239="---"),"---",
   IFERROR(AVERAGEIFS(tabDados[Valor Unitário],tabDados[Descrição Padronizada],B239,tabDados[Valor Unitário],"&gt;="&amp;C239,tabDados[Valor Unitário],"&lt;="&amp;D239),AVERAGE(C239,D239))
)</f>
        <v>---</v>
      </c>
      <c r="F239" s="12" t="str">
        <f t="array" ref="F239">IF(OR(B239="",B239="---"),"---",TRUNC(IFERROR(MODE(IF((tabDados[Descrição Padronizada]=B239)*(tabDados[Vida Útil (meses)]&lt;&gt;""),tabDados[Vida Útil (meses)],"-")),AVERAGEIFS(tabDados[Vida Útil (meses)],tabDados[Descrição Padronizada],B239))+0.5))</f>
        <v>---</v>
      </c>
      <c r="G239" s="13" t="str">
        <f>IF(OR(B239="",B239="---"),"---",TRUNC(IFERROR(AVERAGEIFS(tabDados[Manutenção (%)],tabDados[Descrição Padronizada],B239,tabDados[Manutenção (%)],"&gt;"&amp;0),0)*10000)/10000)</f>
        <v>---</v>
      </c>
      <c r="H239" s="24" t="str">
        <f>IF(OR(B239="---",B239=""),"---",COUNTIF(tabDados[[#All],[Descrição Padronizada]],B239))</f>
        <v>---</v>
      </c>
      <c r="I239" s="24" t="s">
        <v>20</v>
      </c>
    </row>
    <row r="240" spans="1:9" hidden="1" x14ac:dyDescent="0.35">
      <c r="A240" s="15">
        <v>238</v>
      </c>
      <c r="C240" s="16" t="str">
        <f t="array" ref="C240">IF(B240="","---",IFERROR(
   _xlfn.PERCENTILE.INC(
      IF((tabDados[Descrição Padronizada]=B240)*(tabDados[Valor Unitário]&lt;&gt;""),
         tabDados[Valor Unitário],""
      ),
   C$1),
   _xlfn.MINIFS(tabDados[Valor Unitário],tabDados[Descrição Padronizada],B240)
))</f>
        <v>---</v>
      </c>
      <c r="D240" s="16" t="str">
        <f t="array" ref="D240">IF(B240="","---",IFERROR(
   _xlfn.PERCENTILE.INC(
      IF((tabDados[Descrição Padronizada]=B240)*(tabDados[Valor Unitário]&lt;&gt;""),
         tabDados[Valor Unitário],""
      ),
   D$1),
   _xlfn.MAXIFS(tabDados[Valor Unitário],tabDados[Descrição Padronizada],B240)
))</f>
        <v>---</v>
      </c>
      <c r="E240" s="16" t="str">
        <f>IF(OR(B240="",B240="---"),"---",
   IFERROR(AVERAGEIFS(tabDados[Valor Unitário],tabDados[Descrição Padronizada],B240,tabDados[Valor Unitário],"&gt;="&amp;C240,tabDados[Valor Unitário],"&lt;="&amp;D240),AVERAGE(C240,D240))
)</f>
        <v>---</v>
      </c>
      <c r="F240" s="12" t="str">
        <f t="array" ref="F240">IF(OR(B240="",B240="---"),"---",TRUNC(IFERROR(MODE(IF((tabDados[Descrição Padronizada]=B240)*(tabDados[Vida Útil (meses)]&lt;&gt;""),tabDados[Vida Útil (meses)],"-")),AVERAGEIFS(tabDados[Vida Útil (meses)],tabDados[Descrição Padronizada],B240))+0.5))</f>
        <v>---</v>
      </c>
      <c r="G240" s="13" t="str">
        <f>IF(OR(B240="",B240="---"),"---",TRUNC(IFERROR(AVERAGEIFS(tabDados[Manutenção (%)],tabDados[Descrição Padronizada],B240,tabDados[Manutenção (%)],"&gt;"&amp;0),0)*10000)/10000)</f>
        <v>---</v>
      </c>
      <c r="H240" s="24" t="str">
        <f>IF(OR(B240="---",B240=""),"---",COUNTIF(tabDados[[#All],[Descrição Padronizada]],B240))</f>
        <v>---</v>
      </c>
      <c r="I240" s="24" t="s">
        <v>20</v>
      </c>
    </row>
    <row r="241" spans="1:9" hidden="1" x14ac:dyDescent="0.35">
      <c r="A241" s="15">
        <v>239</v>
      </c>
      <c r="C241" s="16" t="str">
        <f t="array" ref="C241">IF(B241="","---",IFERROR(
   _xlfn.PERCENTILE.INC(
      IF((tabDados[Descrição Padronizada]=B241)*(tabDados[Valor Unitário]&lt;&gt;""),
         tabDados[Valor Unitário],""
      ),
   C$1),
   _xlfn.MINIFS(tabDados[Valor Unitário],tabDados[Descrição Padronizada],B241)
))</f>
        <v>---</v>
      </c>
      <c r="D241" s="16" t="str">
        <f t="array" ref="D241">IF(B241="","---",IFERROR(
   _xlfn.PERCENTILE.INC(
      IF((tabDados[Descrição Padronizada]=B241)*(tabDados[Valor Unitário]&lt;&gt;""),
         tabDados[Valor Unitário],""
      ),
   D$1),
   _xlfn.MAXIFS(tabDados[Valor Unitário],tabDados[Descrição Padronizada],B241)
))</f>
        <v>---</v>
      </c>
      <c r="E241" s="16" t="str">
        <f>IF(OR(B241="",B241="---"),"---",
   IFERROR(AVERAGEIFS(tabDados[Valor Unitário],tabDados[Descrição Padronizada],B241,tabDados[Valor Unitário],"&gt;="&amp;C241,tabDados[Valor Unitário],"&lt;="&amp;D241),AVERAGE(C241,D241))
)</f>
        <v>---</v>
      </c>
      <c r="F241" s="12" t="str">
        <f t="array" ref="F241">IF(OR(B241="",B241="---"),"---",TRUNC(IFERROR(MODE(IF((tabDados[Descrição Padronizada]=B241)*(tabDados[Vida Útil (meses)]&lt;&gt;""),tabDados[Vida Útil (meses)],"-")),AVERAGEIFS(tabDados[Vida Útil (meses)],tabDados[Descrição Padronizada],B241))+0.5))</f>
        <v>---</v>
      </c>
      <c r="G241" s="13" t="str">
        <f>IF(OR(B241="",B241="---"),"---",TRUNC(IFERROR(AVERAGEIFS(tabDados[Manutenção (%)],tabDados[Descrição Padronizada],B241,tabDados[Manutenção (%)],"&gt;"&amp;0),0)*10000)/10000)</f>
        <v>---</v>
      </c>
      <c r="H241" s="24" t="str">
        <f>IF(OR(B241="---",B241=""),"---",COUNTIF(tabDados[[#All],[Descrição Padronizada]],B241))</f>
        <v>---</v>
      </c>
      <c r="I241" s="24" t="s">
        <v>20</v>
      </c>
    </row>
    <row r="242" spans="1:9" hidden="1" x14ac:dyDescent="0.35">
      <c r="A242" s="15">
        <v>240</v>
      </c>
      <c r="C242" s="16" t="str">
        <f t="array" ref="C242">IF(B242="","---",IFERROR(
   _xlfn.PERCENTILE.INC(
      IF((tabDados[Descrição Padronizada]=B242)*(tabDados[Valor Unitário]&lt;&gt;""),
         tabDados[Valor Unitário],""
      ),
   C$1),
   _xlfn.MINIFS(tabDados[Valor Unitário],tabDados[Descrição Padronizada],B242)
))</f>
        <v>---</v>
      </c>
      <c r="D242" s="16" t="str">
        <f t="array" ref="D242">IF(B242="","---",IFERROR(
   _xlfn.PERCENTILE.INC(
      IF((tabDados[Descrição Padronizada]=B242)*(tabDados[Valor Unitário]&lt;&gt;""),
         tabDados[Valor Unitário],""
      ),
   D$1),
   _xlfn.MAXIFS(tabDados[Valor Unitário],tabDados[Descrição Padronizada],B242)
))</f>
        <v>---</v>
      </c>
      <c r="E242" s="16" t="str">
        <f>IF(OR(B242="",B242="---"),"---",
   IFERROR(AVERAGEIFS(tabDados[Valor Unitário],tabDados[Descrição Padronizada],B242,tabDados[Valor Unitário],"&gt;="&amp;C242,tabDados[Valor Unitário],"&lt;="&amp;D242),AVERAGE(C242,D242))
)</f>
        <v>---</v>
      </c>
      <c r="F242" s="12" t="str">
        <f t="array" ref="F242">IF(OR(B242="",B242="---"),"---",TRUNC(IFERROR(MODE(IF((tabDados[Descrição Padronizada]=B242)*(tabDados[Vida Útil (meses)]&lt;&gt;""),tabDados[Vida Útil (meses)],"-")),AVERAGEIFS(tabDados[Vida Útil (meses)],tabDados[Descrição Padronizada],B242))+0.5))</f>
        <v>---</v>
      </c>
      <c r="G242" s="13" t="str">
        <f>IF(OR(B242="",B242="---"),"---",TRUNC(IFERROR(AVERAGEIFS(tabDados[Manutenção (%)],tabDados[Descrição Padronizada],B242,tabDados[Manutenção (%)],"&gt;"&amp;0),0)*10000)/10000)</f>
        <v>---</v>
      </c>
      <c r="H242" s="24" t="str">
        <f>IF(OR(B242="---",B242=""),"---",COUNTIF(tabDados[[#All],[Descrição Padronizada]],B242))</f>
        <v>---</v>
      </c>
      <c r="I242" s="24" t="s">
        <v>20</v>
      </c>
    </row>
    <row r="243" spans="1:9" hidden="1" x14ac:dyDescent="0.35">
      <c r="A243" s="15">
        <v>241</v>
      </c>
      <c r="C243" s="16" t="str">
        <f t="array" ref="C243">IF(B243="","---",IFERROR(
   _xlfn.PERCENTILE.INC(
      IF((tabDados[Descrição Padronizada]=B243)*(tabDados[Valor Unitário]&lt;&gt;""),
         tabDados[Valor Unitário],""
      ),
   C$1),
   _xlfn.MINIFS(tabDados[Valor Unitário],tabDados[Descrição Padronizada],B243)
))</f>
        <v>---</v>
      </c>
      <c r="D243" s="16" t="str">
        <f t="array" ref="D243">IF(B243="","---",IFERROR(
   _xlfn.PERCENTILE.INC(
      IF((tabDados[Descrição Padronizada]=B243)*(tabDados[Valor Unitário]&lt;&gt;""),
         tabDados[Valor Unitário],""
      ),
   D$1),
   _xlfn.MAXIFS(tabDados[Valor Unitário],tabDados[Descrição Padronizada],B243)
))</f>
        <v>---</v>
      </c>
      <c r="E243" s="16" t="str">
        <f>IF(OR(B243="",B243="---"),"---",
   IFERROR(AVERAGEIFS(tabDados[Valor Unitário],tabDados[Descrição Padronizada],B243,tabDados[Valor Unitário],"&gt;="&amp;C243,tabDados[Valor Unitário],"&lt;="&amp;D243),AVERAGE(C243,D243))
)</f>
        <v>---</v>
      </c>
      <c r="F243" s="12" t="str">
        <f t="array" ref="F243">IF(OR(B243="",B243="---"),"---",TRUNC(IFERROR(MODE(IF((tabDados[Descrição Padronizada]=B243)*(tabDados[Vida Útil (meses)]&lt;&gt;""),tabDados[Vida Útil (meses)],"-")),AVERAGEIFS(tabDados[Vida Útil (meses)],tabDados[Descrição Padronizada],B243))+0.5))</f>
        <v>---</v>
      </c>
      <c r="G243" s="13" t="str">
        <f>IF(OR(B243="",B243="---"),"---",TRUNC(IFERROR(AVERAGEIFS(tabDados[Manutenção (%)],tabDados[Descrição Padronizada],B243,tabDados[Manutenção (%)],"&gt;"&amp;0),0)*10000)/10000)</f>
        <v>---</v>
      </c>
      <c r="H243" s="24" t="str">
        <f>IF(OR(B243="---",B243=""),"---",COUNTIF(tabDados[[#All],[Descrição Padronizada]],B243))</f>
        <v>---</v>
      </c>
      <c r="I243" s="24" t="s">
        <v>20</v>
      </c>
    </row>
    <row r="244" spans="1:9" hidden="1" x14ac:dyDescent="0.35">
      <c r="A244" s="15">
        <v>242</v>
      </c>
      <c r="C244" s="16" t="str">
        <f t="array" ref="C244">IF(B244="","---",IFERROR(
   _xlfn.PERCENTILE.INC(
      IF((tabDados[Descrição Padronizada]=B244)*(tabDados[Valor Unitário]&lt;&gt;""),
         tabDados[Valor Unitário],""
      ),
   C$1),
   _xlfn.MINIFS(tabDados[Valor Unitário],tabDados[Descrição Padronizada],B244)
))</f>
        <v>---</v>
      </c>
      <c r="D244" s="16" t="str">
        <f t="array" ref="D244">IF(B244="","---",IFERROR(
   _xlfn.PERCENTILE.INC(
      IF((tabDados[Descrição Padronizada]=B244)*(tabDados[Valor Unitário]&lt;&gt;""),
         tabDados[Valor Unitário],""
      ),
   D$1),
   _xlfn.MAXIFS(tabDados[Valor Unitário],tabDados[Descrição Padronizada],B244)
))</f>
        <v>---</v>
      </c>
      <c r="E244" s="16" t="str">
        <f>IF(OR(B244="",B244="---"),"---",
   IFERROR(AVERAGEIFS(tabDados[Valor Unitário],tabDados[Descrição Padronizada],B244,tabDados[Valor Unitário],"&gt;="&amp;C244,tabDados[Valor Unitário],"&lt;="&amp;D244),AVERAGE(C244,D244))
)</f>
        <v>---</v>
      </c>
      <c r="F244" s="12" t="str">
        <f t="array" ref="F244">IF(OR(B244="",B244="---"),"---",TRUNC(IFERROR(MODE(IF((tabDados[Descrição Padronizada]=B244)*(tabDados[Vida Útil (meses)]&lt;&gt;""),tabDados[Vida Útil (meses)],"-")),AVERAGEIFS(tabDados[Vida Útil (meses)],tabDados[Descrição Padronizada],B244))+0.5))</f>
        <v>---</v>
      </c>
      <c r="G244" s="13" t="str">
        <f>IF(OR(B244="",B244="---"),"---",TRUNC(IFERROR(AVERAGEIFS(tabDados[Manutenção (%)],tabDados[Descrição Padronizada],B244,tabDados[Manutenção (%)],"&gt;"&amp;0),0)*10000)/10000)</f>
        <v>---</v>
      </c>
      <c r="H244" s="24" t="str">
        <f>IF(OR(B244="---",B244=""),"---",COUNTIF(tabDados[[#All],[Descrição Padronizada]],B244))</f>
        <v>---</v>
      </c>
      <c r="I244" s="24" t="s">
        <v>20</v>
      </c>
    </row>
    <row r="245" spans="1:9" hidden="1" x14ac:dyDescent="0.35">
      <c r="A245" s="15">
        <v>243</v>
      </c>
      <c r="C245" s="16" t="str">
        <f t="array" ref="C245">IF(B245="","---",IFERROR(
   _xlfn.PERCENTILE.INC(
      IF((tabDados[Descrição Padronizada]=B245)*(tabDados[Valor Unitário]&lt;&gt;""),
         tabDados[Valor Unitário],""
      ),
   C$1),
   _xlfn.MINIFS(tabDados[Valor Unitário],tabDados[Descrição Padronizada],B245)
))</f>
        <v>---</v>
      </c>
      <c r="D245" s="16" t="str">
        <f t="array" ref="D245">IF(B245="","---",IFERROR(
   _xlfn.PERCENTILE.INC(
      IF((tabDados[Descrição Padronizada]=B245)*(tabDados[Valor Unitário]&lt;&gt;""),
         tabDados[Valor Unitário],""
      ),
   D$1),
   _xlfn.MAXIFS(tabDados[Valor Unitário],tabDados[Descrição Padronizada],B245)
))</f>
        <v>---</v>
      </c>
      <c r="E245" s="16" t="str">
        <f>IF(OR(B245="",B245="---"),"---",
   IFERROR(AVERAGEIFS(tabDados[Valor Unitário],tabDados[Descrição Padronizada],B245,tabDados[Valor Unitário],"&gt;="&amp;C245,tabDados[Valor Unitário],"&lt;="&amp;D245),AVERAGE(C245,D245))
)</f>
        <v>---</v>
      </c>
      <c r="F245" s="12" t="str">
        <f t="array" ref="F245">IF(OR(B245="",B245="---"),"---",TRUNC(IFERROR(MODE(IF((tabDados[Descrição Padronizada]=B245)*(tabDados[Vida Útil (meses)]&lt;&gt;""),tabDados[Vida Útil (meses)],"-")),AVERAGEIFS(tabDados[Vida Útil (meses)],tabDados[Descrição Padronizada],B245))+0.5))</f>
        <v>---</v>
      </c>
      <c r="G245" s="13" t="str">
        <f>IF(OR(B245="",B245="---"),"---",TRUNC(IFERROR(AVERAGEIFS(tabDados[Manutenção (%)],tabDados[Descrição Padronizada],B245,tabDados[Manutenção (%)],"&gt;"&amp;0),0)*10000)/10000)</f>
        <v>---</v>
      </c>
      <c r="H245" s="24" t="str">
        <f>IF(OR(B245="---",B245=""),"---",COUNTIF(tabDados[[#All],[Descrição Padronizada]],B245))</f>
        <v>---</v>
      </c>
      <c r="I245" s="24" t="s">
        <v>20</v>
      </c>
    </row>
    <row r="246" spans="1:9" hidden="1" x14ac:dyDescent="0.35">
      <c r="A246" s="15">
        <v>244</v>
      </c>
      <c r="C246" s="16" t="str">
        <f t="array" ref="C246">IF(B246="","---",IFERROR(
   _xlfn.PERCENTILE.INC(
      IF((tabDados[Descrição Padronizada]=B246)*(tabDados[Valor Unitário]&lt;&gt;""),
         tabDados[Valor Unitário],""
      ),
   C$1),
   _xlfn.MINIFS(tabDados[Valor Unitário],tabDados[Descrição Padronizada],B246)
))</f>
        <v>---</v>
      </c>
      <c r="D246" s="16" t="str">
        <f t="array" ref="D246">IF(B246="","---",IFERROR(
   _xlfn.PERCENTILE.INC(
      IF((tabDados[Descrição Padronizada]=B246)*(tabDados[Valor Unitário]&lt;&gt;""),
         tabDados[Valor Unitário],""
      ),
   D$1),
   _xlfn.MAXIFS(tabDados[Valor Unitário],tabDados[Descrição Padronizada],B246)
))</f>
        <v>---</v>
      </c>
      <c r="E246" s="16" t="str">
        <f>IF(OR(B246="",B246="---"),"---",
   IFERROR(AVERAGEIFS(tabDados[Valor Unitário],tabDados[Descrição Padronizada],B246,tabDados[Valor Unitário],"&gt;="&amp;C246,tabDados[Valor Unitário],"&lt;="&amp;D246),AVERAGE(C246,D246))
)</f>
        <v>---</v>
      </c>
      <c r="F246" s="12" t="str">
        <f t="array" ref="F246">IF(OR(B246="",B246="---"),"---",TRUNC(IFERROR(MODE(IF((tabDados[Descrição Padronizada]=B246)*(tabDados[Vida Útil (meses)]&lt;&gt;""),tabDados[Vida Útil (meses)],"-")),AVERAGEIFS(tabDados[Vida Útil (meses)],tabDados[Descrição Padronizada],B246))+0.5))</f>
        <v>---</v>
      </c>
      <c r="G246" s="13" t="str">
        <f>IF(OR(B246="",B246="---"),"---",TRUNC(IFERROR(AVERAGEIFS(tabDados[Manutenção (%)],tabDados[Descrição Padronizada],B246,tabDados[Manutenção (%)],"&gt;"&amp;0),0)*10000)/10000)</f>
        <v>---</v>
      </c>
      <c r="H246" s="24" t="str">
        <f>IF(OR(B246="---",B246=""),"---",COUNTIF(tabDados[[#All],[Descrição Padronizada]],B246))</f>
        <v>---</v>
      </c>
      <c r="I246" s="24" t="s">
        <v>20</v>
      </c>
    </row>
    <row r="247" spans="1:9" hidden="1" x14ac:dyDescent="0.35">
      <c r="A247" s="15">
        <v>245</v>
      </c>
      <c r="C247" s="16" t="str">
        <f t="array" ref="C247">IF(B247="","---",IFERROR(
   _xlfn.PERCENTILE.INC(
      IF((tabDados[Descrição Padronizada]=B247)*(tabDados[Valor Unitário]&lt;&gt;""),
         tabDados[Valor Unitário],""
      ),
   C$1),
   _xlfn.MINIFS(tabDados[Valor Unitário],tabDados[Descrição Padronizada],B247)
))</f>
        <v>---</v>
      </c>
      <c r="D247" s="16" t="str">
        <f t="array" ref="D247">IF(B247="","---",IFERROR(
   _xlfn.PERCENTILE.INC(
      IF((tabDados[Descrição Padronizada]=B247)*(tabDados[Valor Unitário]&lt;&gt;""),
         tabDados[Valor Unitário],""
      ),
   D$1),
   _xlfn.MAXIFS(tabDados[Valor Unitário],tabDados[Descrição Padronizada],B247)
))</f>
        <v>---</v>
      </c>
      <c r="E247" s="16" t="str">
        <f>IF(OR(B247="",B247="---"),"---",
   IFERROR(AVERAGEIFS(tabDados[Valor Unitário],tabDados[Descrição Padronizada],B247,tabDados[Valor Unitário],"&gt;="&amp;C247,tabDados[Valor Unitário],"&lt;="&amp;D247),AVERAGE(C247,D247))
)</f>
        <v>---</v>
      </c>
      <c r="F247" s="12" t="str">
        <f t="array" ref="F247">IF(OR(B247="",B247="---"),"---",TRUNC(IFERROR(MODE(IF((tabDados[Descrição Padronizada]=B247)*(tabDados[Vida Útil (meses)]&lt;&gt;""),tabDados[Vida Útil (meses)],"-")),AVERAGEIFS(tabDados[Vida Útil (meses)],tabDados[Descrição Padronizada],B247))+0.5))</f>
        <v>---</v>
      </c>
      <c r="G247" s="13" t="str">
        <f>IF(OR(B247="",B247="---"),"---",TRUNC(IFERROR(AVERAGEIFS(tabDados[Manutenção (%)],tabDados[Descrição Padronizada],B247,tabDados[Manutenção (%)],"&gt;"&amp;0),0)*10000)/10000)</f>
        <v>---</v>
      </c>
      <c r="H247" s="24" t="str">
        <f>IF(OR(B247="---",B247=""),"---",COUNTIF(tabDados[[#All],[Descrição Padronizada]],B247))</f>
        <v>---</v>
      </c>
      <c r="I247" s="24" t="s">
        <v>20</v>
      </c>
    </row>
    <row r="248" spans="1:9" hidden="1" x14ac:dyDescent="0.35">
      <c r="A248" s="15">
        <v>246</v>
      </c>
      <c r="C248" s="16" t="str">
        <f t="array" ref="C248">IF(B248="","---",IFERROR(
   _xlfn.PERCENTILE.INC(
      IF((tabDados[Descrição Padronizada]=B248)*(tabDados[Valor Unitário]&lt;&gt;""),
         tabDados[Valor Unitário],""
      ),
   C$1),
   _xlfn.MINIFS(tabDados[Valor Unitário],tabDados[Descrição Padronizada],B248)
))</f>
        <v>---</v>
      </c>
      <c r="D248" s="16" t="str">
        <f t="array" ref="D248">IF(B248="","---",IFERROR(
   _xlfn.PERCENTILE.INC(
      IF((tabDados[Descrição Padronizada]=B248)*(tabDados[Valor Unitário]&lt;&gt;""),
         tabDados[Valor Unitário],""
      ),
   D$1),
   _xlfn.MAXIFS(tabDados[Valor Unitário],tabDados[Descrição Padronizada],B248)
))</f>
        <v>---</v>
      </c>
      <c r="E248" s="16" t="str">
        <f>IF(OR(B248="",B248="---"),"---",
   IFERROR(AVERAGEIFS(tabDados[Valor Unitário],tabDados[Descrição Padronizada],B248,tabDados[Valor Unitário],"&gt;="&amp;C248,tabDados[Valor Unitário],"&lt;="&amp;D248),AVERAGE(C248,D248))
)</f>
        <v>---</v>
      </c>
      <c r="F248" s="12" t="str">
        <f t="array" ref="F248">IF(OR(B248="",B248="---"),"---",TRUNC(IFERROR(MODE(IF((tabDados[Descrição Padronizada]=B248)*(tabDados[Vida Útil (meses)]&lt;&gt;""),tabDados[Vida Útil (meses)],"-")),AVERAGEIFS(tabDados[Vida Útil (meses)],tabDados[Descrição Padronizada],B248))+0.5))</f>
        <v>---</v>
      </c>
      <c r="G248" s="13" t="str">
        <f>IF(OR(B248="",B248="---"),"---",TRUNC(IFERROR(AVERAGEIFS(tabDados[Manutenção (%)],tabDados[Descrição Padronizada],B248,tabDados[Manutenção (%)],"&gt;"&amp;0),0)*10000)/10000)</f>
        <v>---</v>
      </c>
      <c r="H248" s="24" t="str">
        <f>IF(OR(B248="---",B248=""),"---",COUNTIF(tabDados[[#All],[Descrição Padronizada]],B248))</f>
        <v>---</v>
      </c>
      <c r="I248" s="24" t="s">
        <v>20</v>
      </c>
    </row>
    <row r="249" spans="1:9" hidden="1" x14ac:dyDescent="0.35">
      <c r="A249" s="15">
        <v>247</v>
      </c>
      <c r="C249" s="16" t="str">
        <f t="array" ref="C249">IF(B249="","---",IFERROR(
   _xlfn.PERCENTILE.INC(
      IF((tabDados[Descrição Padronizada]=B249)*(tabDados[Valor Unitário]&lt;&gt;""),
         tabDados[Valor Unitário],""
      ),
   C$1),
   _xlfn.MINIFS(tabDados[Valor Unitário],tabDados[Descrição Padronizada],B249)
))</f>
        <v>---</v>
      </c>
      <c r="D249" s="16" t="str">
        <f t="array" ref="D249">IF(B249="","---",IFERROR(
   _xlfn.PERCENTILE.INC(
      IF((tabDados[Descrição Padronizada]=B249)*(tabDados[Valor Unitário]&lt;&gt;""),
         tabDados[Valor Unitário],""
      ),
   D$1),
   _xlfn.MAXIFS(tabDados[Valor Unitário],tabDados[Descrição Padronizada],B249)
))</f>
        <v>---</v>
      </c>
      <c r="E249" s="16" t="str">
        <f>IF(OR(B249="",B249="---"),"---",
   IFERROR(AVERAGEIFS(tabDados[Valor Unitário],tabDados[Descrição Padronizada],B249,tabDados[Valor Unitário],"&gt;="&amp;C249,tabDados[Valor Unitário],"&lt;="&amp;D249),AVERAGE(C249,D249))
)</f>
        <v>---</v>
      </c>
      <c r="F249" s="12" t="str">
        <f t="array" ref="F249">IF(OR(B249="",B249="---"),"---",TRUNC(IFERROR(MODE(IF((tabDados[Descrição Padronizada]=B249)*(tabDados[Vida Útil (meses)]&lt;&gt;""),tabDados[Vida Útil (meses)],"-")),AVERAGEIFS(tabDados[Vida Útil (meses)],tabDados[Descrição Padronizada],B249))+0.5))</f>
        <v>---</v>
      </c>
      <c r="G249" s="13" t="str">
        <f>IF(OR(B249="",B249="---"),"---",TRUNC(IFERROR(AVERAGEIFS(tabDados[Manutenção (%)],tabDados[Descrição Padronizada],B249,tabDados[Manutenção (%)],"&gt;"&amp;0),0)*10000)/10000)</f>
        <v>---</v>
      </c>
      <c r="H249" s="24" t="str">
        <f>IF(OR(B249="---",B249=""),"---",COUNTIF(tabDados[[#All],[Descrição Padronizada]],B249))</f>
        <v>---</v>
      </c>
      <c r="I249" s="24" t="s">
        <v>20</v>
      </c>
    </row>
    <row r="250" spans="1:9" hidden="1" x14ac:dyDescent="0.35">
      <c r="A250" s="15">
        <v>248</v>
      </c>
      <c r="C250" s="16" t="str">
        <f t="array" ref="C250">IF(B250="","---",IFERROR(
   _xlfn.PERCENTILE.INC(
      IF((tabDados[Descrição Padronizada]=B250)*(tabDados[Valor Unitário]&lt;&gt;""),
         tabDados[Valor Unitário],""
      ),
   C$1),
   _xlfn.MINIFS(tabDados[Valor Unitário],tabDados[Descrição Padronizada],B250)
))</f>
        <v>---</v>
      </c>
      <c r="D250" s="16" t="str">
        <f t="array" ref="D250">IF(B250="","---",IFERROR(
   _xlfn.PERCENTILE.INC(
      IF((tabDados[Descrição Padronizada]=B250)*(tabDados[Valor Unitário]&lt;&gt;""),
         tabDados[Valor Unitário],""
      ),
   D$1),
   _xlfn.MAXIFS(tabDados[Valor Unitário],tabDados[Descrição Padronizada],B250)
))</f>
        <v>---</v>
      </c>
      <c r="E250" s="16" t="str">
        <f>IF(OR(B250="",B250="---"),"---",
   IFERROR(AVERAGEIFS(tabDados[Valor Unitário],tabDados[Descrição Padronizada],B250,tabDados[Valor Unitário],"&gt;="&amp;C250,tabDados[Valor Unitário],"&lt;="&amp;D250),AVERAGE(C250,D250))
)</f>
        <v>---</v>
      </c>
      <c r="F250" s="12" t="str">
        <f t="array" ref="F250">IF(OR(B250="",B250="---"),"---",TRUNC(IFERROR(MODE(IF((tabDados[Descrição Padronizada]=B250)*(tabDados[Vida Útil (meses)]&lt;&gt;""),tabDados[Vida Útil (meses)],"-")),AVERAGEIFS(tabDados[Vida Útil (meses)],tabDados[Descrição Padronizada],B250))+0.5))</f>
        <v>---</v>
      </c>
      <c r="G250" s="13" t="str">
        <f>IF(OR(B250="",B250="---"),"---",TRUNC(IFERROR(AVERAGEIFS(tabDados[Manutenção (%)],tabDados[Descrição Padronizada],B250,tabDados[Manutenção (%)],"&gt;"&amp;0),0)*10000)/10000)</f>
        <v>---</v>
      </c>
      <c r="H250" s="24" t="str">
        <f>IF(OR(B250="---",B250=""),"---",COUNTIF(tabDados[[#All],[Descrição Padronizada]],B250))</f>
        <v>---</v>
      </c>
      <c r="I250" s="24" t="s">
        <v>20</v>
      </c>
    </row>
    <row r="251" spans="1:9" hidden="1" x14ac:dyDescent="0.35">
      <c r="A251" s="15">
        <v>249</v>
      </c>
      <c r="C251" s="16" t="str">
        <f t="array" ref="C251">IF(B251="","---",IFERROR(
   _xlfn.PERCENTILE.INC(
      IF((tabDados[Descrição Padronizada]=B251)*(tabDados[Valor Unitário]&lt;&gt;""),
         tabDados[Valor Unitário],""
      ),
   C$1),
   _xlfn.MINIFS(tabDados[Valor Unitário],tabDados[Descrição Padronizada],B251)
))</f>
        <v>---</v>
      </c>
      <c r="D251" s="16" t="str">
        <f t="array" ref="D251">IF(B251="","---",IFERROR(
   _xlfn.PERCENTILE.INC(
      IF((tabDados[Descrição Padronizada]=B251)*(tabDados[Valor Unitário]&lt;&gt;""),
         tabDados[Valor Unitário],""
      ),
   D$1),
   _xlfn.MAXIFS(tabDados[Valor Unitário],tabDados[Descrição Padronizada],B251)
))</f>
        <v>---</v>
      </c>
      <c r="E251" s="16" t="str">
        <f>IF(OR(B251="",B251="---"),"---",
   IFERROR(AVERAGEIFS(tabDados[Valor Unitário],tabDados[Descrição Padronizada],B251,tabDados[Valor Unitário],"&gt;="&amp;C251,tabDados[Valor Unitário],"&lt;="&amp;D251),AVERAGE(C251,D251))
)</f>
        <v>---</v>
      </c>
      <c r="F251" s="12" t="str">
        <f t="array" ref="F251">IF(OR(B251="",B251="---"),"---",TRUNC(IFERROR(MODE(IF((tabDados[Descrição Padronizada]=B251)*(tabDados[Vida Útil (meses)]&lt;&gt;""),tabDados[Vida Útil (meses)],"-")),AVERAGEIFS(tabDados[Vida Útil (meses)],tabDados[Descrição Padronizada],B251))+0.5))</f>
        <v>---</v>
      </c>
      <c r="G251" s="13" t="str">
        <f>IF(OR(B251="",B251="---"),"---",TRUNC(IFERROR(AVERAGEIFS(tabDados[Manutenção (%)],tabDados[Descrição Padronizada],B251,tabDados[Manutenção (%)],"&gt;"&amp;0),0)*10000)/10000)</f>
        <v>---</v>
      </c>
      <c r="H251" s="24" t="str">
        <f>IF(OR(B251="---",B251=""),"---",COUNTIF(tabDados[[#All],[Descrição Padronizada]],B251))</f>
        <v>---</v>
      </c>
      <c r="I251" s="24" t="s">
        <v>20</v>
      </c>
    </row>
    <row r="252" spans="1:9" hidden="1" x14ac:dyDescent="0.35">
      <c r="A252" s="15">
        <v>250</v>
      </c>
      <c r="C252" s="16" t="str">
        <f t="array" ref="C252">IF(B252="","---",IFERROR(
   _xlfn.PERCENTILE.INC(
      IF((tabDados[Descrição Padronizada]=B252)*(tabDados[Valor Unitário]&lt;&gt;""),
         tabDados[Valor Unitário],""
      ),
   C$1),
   _xlfn.MINIFS(tabDados[Valor Unitário],tabDados[Descrição Padronizada],B252)
))</f>
        <v>---</v>
      </c>
      <c r="D252" s="16" t="str">
        <f t="array" ref="D252">IF(B252="","---",IFERROR(
   _xlfn.PERCENTILE.INC(
      IF((tabDados[Descrição Padronizada]=B252)*(tabDados[Valor Unitário]&lt;&gt;""),
         tabDados[Valor Unitário],""
      ),
   D$1),
   _xlfn.MAXIFS(tabDados[Valor Unitário],tabDados[Descrição Padronizada],B252)
))</f>
        <v>---</v>
      </c>
      <c r="E252" s="16" t="str">
        <f>IF(OR(B252="",B252="---"),"---",
   IFERROR(AVERAGEIFS(tabDados[Valor Unitário],tabDados[Descrição Padronizada],B252,tabDados[Valor Unitário],"&gt;="&amp;C252,tabDados[Valor Unitário],"&lt;="&amp;D252),AVERAGE(C252,D252))
)</f>
        <v>---</v>
      </c>
      <c r="F252" s="12" t="str">
        <f t="array" ref="F252">IF(OR(B252="",B252="---"),"---",TRUNC(IFERROR(MODE(IF((tabDados[Descrição Padronizada]=B252)*(tabDados[Vida Útil (meses)]&lt;&gt;""),tabDados[Vida Útil (meses)],"-")),AVERAGEIFS(tabDados[Vida Útil (meses)],tabDados[Descrição Padronizada],B252))+0.5))</f>
        <v>---</v>
      </c>
      <c r="G252" s="13" t="str">
        <f>IF(OR(B252="",B252="---"),"---",TRUNC(IFERROR(AVERAGEIFS(tabDados[Manutenção (%)],tabDados[Descrição Padronizada],B252,tabDados[Manutenção (%)],"&gt;"&amp;0),0)*10000)/10000)</f>
        <v>---</v>
      </c>
      <c r="H252" s="24" t="str">
        <f>IF(OR(B252="---",B252=""),"---",COUNTIF(tabDados[[#All],[Descrição Padronizada]],B252))</f>
        <v>---</v>
      </c>
      <c r="I252" s="24" t="s">
        <v>20</v>
      </c>
    </row>
    <row r="253" spans="1:9" hidden="1" x14ac:dyDescent="0.35">
      <c r="A253" s="15">
        <v>251</v>
      </c>
      <c r="C253" s="16" t="str">
        <f t="array" ref="C253">IF(B253="","---",IFERROR(
   _xlfn.PERCENTILE.INC(
      IF((tabDados[Descrição Padronizada]=B253)*(tabDados[Valor Unitário]&lt;&gt;""),
         tabDados[Valor Unitário],""
      ),
   C$1),
   _xlfn.MINIFS(tabDados[Valor Unitário],tabDados[Descrição Padronizada],B253)
))</f>
        <v>---</v>
      </c>
      <c r="D253" s="16" t="str">
        <f t="array" ref="D253">IF(B253="","---",IFERROR(
   _xlfn.PERCENTILE.INC(
      IF((tabDados[Descrição Padronizada]=B253)*(tabDados[Valor Unitário]&lt;&gt;""),
         tabDados[Valor Unitário],""
      ),
   D$1),
   _xlfn.MAXIFS(tabDados[Valor Unitário],tabDados[Descrição Padronizada],B253)
))</f>
        <v>---</v>
      </c>
      <c r="E253" s="16" t="str">
        <f>IF(OR(B253="",B253="---"),"---",
   IFERROR(AVERAGEIFS(tabDados[Valor Unitário],tabDados[Descrição Padronizada],B253,tabDados[Valor Unitário],"&gt;="&amp;C253,tabDados[Valor Unitário],"&lt;="&amp;D253),AVERAGE(C253,D253))
)</f>
        <v>---</v>
      </c>
      <c r="F253" s="12" t="str">
        <f t="array" ref="F253">IF(OR(B253="",B253="---"),"---",TRUNC(IFERROR(MODE(IF((tabDados[Descrição Padronizada]=B253)*(tabDados[Vida Útil (meses)]&lt;&gt;""),tabDados[Vida Útil (meses)],"-")),AVERAGEIFS(tabDados[Vida Útil (meses)],tabDados[Descrição Padronizada],B253))+0.5))</f>
        <v>---</v>
      </c>
      <c r="G253" s="13" t="str">
        <f>IF(OR(B253="",B253="---"),"---",TRUNC(IFERROR(AVERAGEIFS(tabDados[Manutenção (%)],tabDados[Descrição Padronizada],B253,tabDados[Manutenção (%)],"&gt;"&amp;0),0)*10000)/10000)</f>
        <v>---</v>
      </c>
      <c r="H253" s="24" t="str">
        <f>IF(OR(B253="---",B253=""),"---",COUNTIF(tabDados[[#All],[Descrição Padronizada]],B253))</f>
        <v>---</v>
      </c>
      <c r="I253" s="24" t="s">
        <v>20</v>
      </c>
    </row>
    <row r="254" spans="1:9" hidden="1" x14ac:dyDescent="0.35">
      <c r="A254" s="15">
        <v>252</v>
      </c>
      <c r="C254" s="16" t="str">
        <f t="array" ref="C254">IF(B254="","---",IFERROR(
   _xlfn.PERCENTILE.INC(
      IF((tabDados[Descrição Padronizada]=B254)*(tabDados[Valor Unitário]&lt;&gt;""),
         tabDados[Valor Unitário],""
      ),
   C$1),
   _xlfn.MINIFS(tabDados[Valor Unitário],tabDados[Descrição Padronizada],B254)
))</f>
        <v>---</v>
      </c>
      <c r="D254" s="16" t="str">
        <f t="array" ref="D254">IF(B254="","---",IFERROR(
   _xlfn.PERCENTILE.INC(
      IF((tabDados[Descrição Padronizada]=B254)*(tabDados[Valor Unitário]&lt;&gt;""),
         tabDados[Valor Unitário],""
      ),
   D$1),
   _xlfn.MAXIFS(tabDados[Valor Unitário],tabDados[Descrição Padronizada],B254)
))</f>
        <v>---</v>
      </c>
      <c r="E254" s="16" t="str">
        <f>IF(OR(B254="",B254="---"),"---",
   IFERROR(AVERAGEIFS(tabDados[Valor Unitário],tabDados[Descrição Padronizada],B254,tabDados[Valor Unitário],"&gt;="&amp;C254,tabDados[Valor Unitário],"&lt;="&amp;D254),AVERAGE(C254,D254))
)</f>
        <v>---</v>
      </c>
      <c r="F254" s="12" t="str">
        <f t="array" ref="F254">IF(OR(B254="",B254="---"),"---",TRUNC(IFERROR(MODE(IF((tabDados[Descrição Padronizada]=B254)*(tabDados[Vida Útil (meses)]&lt;&gt;""),tabDados[Vida Útil (meses)],"-")),AVERAGEIFS(tabDados[Vida Útil (meses)],tabDados[Descrição Padronizada],B254))+0.5))</f>
        <v>---</v>
      </c>
      <c r="G254" s="13" t="str">
        <f>IF(OR(B254="",B254="---"),"---",TRUNC(IFERROR(AVERAGEIFS(tabDados[Manutenção (%)],tabDados[Descrição Padronizada],B254,tabDados[Manutenção (%)],"&gt;"&amp;0),0)*10000)/10000)</f>
        <v>---</v>
      </c>
      <c r="H254" s="24" t="str">
        <f>IF(OR(B254="---",B254=""),"---",COUNTIF(tabDados[[#All],[Descrição Padronizada]],B254))</f>
        <v>---</v>
      </c>
      <c r="I254" s="24" t="s">
        <v>20</v>
      </c>
    </row>
    <row r="255" spans="1:9" hidden="1" x14ac:dyDescent="0.35">
      <c r="A255" s="15">
        <v>253</v>
      </c>
      <c r="C255" s="16" t="str">
        <f t="array" ref="C255">IF(B255="","---",IFERROR(
   _xlfn.PERCENTILE.INC(
      IF((tabDados[Descrição Padronizada]=B255)*(tabDados[Valor Unitário]&lt;&gt;""),
         tabDados[Valor Unitário],""
      ),
   C$1),
   _xlfn.MINIFS(tabDados[Valor Unitário],tabDados[Descrição Padronizada],B255)
))</f>
        <v>---</v>
      </c>
      <c r="D255" s="16" t="str">
        <f t="array" ref="D255">IF(B255="","---",IFERROR(
   _xlfn.PERCENTILE.INC(
      IF((tabDados[Descrição Padronizada]=B255)*(tabDados[Valor Unitário]&lt;&gt;""),
         tabDados[Valor Unitário],""
      ),
   D$1),
   _xlfn.MAXIFS(tabDados[Valor Unitário],tabDados[Descrição Padronizada],B255)
))</f>
        <v>---</v>
      </c>
      <c r="E255" s="16" t="str">
        <f>IF(OR(B255="",B255="---"),"---",
   IFERROR(AVERAGEIFS(tabDados[Valor Unitário],tabDados[Descrição Padronizada],B255,tabDados[Valor Unitário],"&gt;="&amp;C255,tabDados[Valor Unitário],"&lt;="&amp;D255),AVERAGE(C255,D255))
)</f>
        <v>---</v>
      </c>
      <c r="F255" s="12" t="str">
        <f t="array" ref="F255">IF(OR(B255="",B255="---"),"---",TRUNC(IFERROR(MODE(IF((tabDados[Descrição Padronizada]=B255)*(tabDados[Vida Útil (meses)]&lt;&gt;""),tabDados[Vida Útil (meses)],"-")),AVERAGEIFS(tabDados[Vida Útil (meses)],tabDados[Descrição Padronizada],B255))+0.5))</f>
        <v>---</v>
      </c>
      <c r="G255" s="13" t="str">
        <f>IF(OR(B255="",B255="---"),"---",TRUNC(IFERROR(AVERAGEIFS(tabDados[Manutenção (%)],tabDados[Descrição Padronizada],B255,tabDados[Manutenção (%)],"&gt;"&amp;0),0)*10000)/10000)</f>
        <v>---</v>
      </c>
      <c r="H255" s="24" t="str">
        <f>IF(OR(B255="---",B255=""),"---",COUNTIF(tabDados[[#All],[Descrição Padronizada]],B255))</f>
        <v>---</v>
      </c>
      <c r="I255" s="24" t="s">
        <v>20</v>
      </c>
    </row>
    <row r="256" spans="1:9" hidden="1" x14ac:dyDescent="0.35">
      <c r="A256" s="15">
        <v>254</v>
      </c>
      <c r="C256" s="16" t="str">
        <f t="array" ref="C256">IF(B256="","---",IFERROR(
   _xlfn.PERCENTILE.INC(
      IF((tabDados[Descrição Padronizada]=B256)*(tabDados[Valor Unitário]&lt;&gt;""),
         tabDados[Valor Unitário],""
      ),
   C$1),
   _xlfn.MINIFS(tabDados[Valor Unitário],tabDados[Descrição Padronizada],B256)
))</f>
        <v>---</v>
      </c>
      <c r="D256" s="16" t="str">
        <f t="array" ref="D256">IF(B256="","---",IFERROR(
   _xlfn.PERCENTILE.INC(
      IF((tabDados[Descrição Padronizada]=B256)*(tabDados[Valor Unitário]&lt;&gt;""),
         tabDados[Valor Unitário],""
      ),
   D$1),
   _xlfn.MAXIFS(tabDados[Valor Unitário],tabDados[Descrição Padronizada],B256)
))</f>
        <v>---</v>
      </c>
      <c r="E256" s="16" t="str">
        <f>IF(OR(B256="",B256="---"),"---",
   IFERROR(AVERAGEIFS(tabDados[Valor Unitário],tabDados[Descrição Padronizada],B256,tabDados[Valor Unitário],"&gt;="&amp;C256,tabDados[Valor Unitário],"&lt;="&amp;D256),AVERAGE(C256,D256))
)</f>
        <v>---</v>
      </c>
      <c r="F256" s="12" t="str">
        <f t="array" ref="F256">IF(OR(B256="",B256="---"),"---",TRUNC(IFERROR(MODE(IF((tabDados[Descrição Padronizada]=B256)*(tabDados[Vida Útil (meses)]&lt;&gt;""),tabDados[Vida Útil (meses)],"-")),AVERAGEIFS(tabDados[Vida Útil (meses)],tabDados[Descrição Padronizada],B256))+0.5))</f>
        <v>---</v>
      </c>
      <c r="G256" s="13" t="str">
        <f>IF(OR(B256="",B256="---"),"---",TRUNC(IFERROR(AVERAGEIFS(tabDados[Manutenção (%)],tabDados[Descrição Padronizada],B256,tabDados[Manutenção (%)],"&gt;"&amp;0),0)*10000)/10000)</f>
        <v>---</v>
      </c>
      <c r="H256" s="24" t="str">
        <f>IF(OR(B256="---",B256=""),"---",COUNTIF(tabDados[[#All],[Descrição Padronizada]],B256))</f>
        <v>---</v>
      </c>
      <c r="I256" s="24" t="s">
        <v>20</v>
      </c>
    </row>
    <row r="257" spans="1:9" hidden="1" x14ac:dyDescent="0.35">
      <c r="A257" s="15">
        <v>255</v>
      </c>
      <c r="C257" s="16" t="str">
        <f t="array" ref="C257">IF(B257="","---",IFERROR(
   _xlfn.PERCENTILE.INC(
      IF((tabDados[Descrição Padronizada]=B257)*(tabDados[Valor Unitário]&lt;&gt;""),
         tabDados[Valor Unitário],""
      ),
   C$1),
   _xlfn.MINIFS(tabDados[Valor Unitário],tabDados[Descrição Padronizada],B257)
))</f>
        <v>---</v>
      </c>
      <c r="D257" s="16" t="str">
        <f t="array" ref="D257">IF(B257="","---",IFERROR(
   _xlfn.PERCENTILE.INC(
      IF((tabDados[Descrição Padronizada]=B257)*(tabDados[Valor Unitário]&lt;&gt;""),
         tabDados[Valor Unitário],""
      ),
   D$1),
   _xlfn.MAXIFS(tabDados[Valor Unitário],tabDados[Descrição Padronizada],B257)
))</f>
        <v>---</v>
      </c>
      <c r="E257" s="16" t="str">
        <f>IF(OR(B257="",B257="---"),"---",
   IFERROR(AVERAGEIFS(tabDados[Valor Unitário],tabDados[Descrição Padronizada],B257,tabDados[Valor Unitário],"&gt;="&amp;C257,tabDados[Valor Unitário],"&lt;="&amp;D257),AVERAGE(C257,D257))
)</f>
        <v>---</v>
      </c>
      <c r="F257" s="12" t="str">
        <f t="array" ref="F257">IF(OR(B257="",B257="---"),"---",TRUNC(IFERROR(MODE(IF((tabDados[Descrição Padronizada]=B257)*(tabDados[Vida Útil (meses)]&lt;&gt;""),tabDados[Vida Útil (meses)],"-")),AVERAGEIFS(tabDados[Vida Útil (meses)],tabDados[Descrição Padronizada],B257))+0.5))</f>
        <v>---</v>
      </c>
      <c r="G257" s="13" t="str">
        <f>IF(OR(B257="",B257="---"),"---",TRUNC(IFERROR(AVERAGEIFS(tabDados[Manutenção (%)],tabDados[Descrição Padronizada],B257,tabDados[Manutenção (%)],"&gt;"&amp;0),0)*10000)/10000)</f>
        <v>---</v>
      </c>
      <c r="H257" s="24" t="str">
        <f>IF(OR(B257="---",B257=""),"---",COUNTIF(tabDados[[#All],[Descrição Padronizada]],B257))</f>
        <v>---</v>
      </c>
      <c r="I257" s="24" t="s">
        <v>20</v>
      </c>
    </row>
    <row r="258" spans="1:9" hidden="1" x14ac:dyDescent="0.35">
      <c r="A258" s="15">
        <v>256</v>
      </c>
      <c r="C258" s="16" t="str">
        <f t="array" ref="C258">IF(B258="","---",IFERROR(
   _xlfn.PERCENTILE.INC(
      IF((tabDados[Descrição Padronizada]=B258)*(tabDados[Valor Unitário]&lt;&gt;""),
         tabDados[Valor Unitário],""
      ),
   C$1),
   _xlfn.MINIFS(tabDados[Valor Unitário],tabDados[Descrição Padronizada],B258)
))</f>
        <v>---</v>
      </c>
      <c r="D258" s="16" t="str">
        <f t="array" ref="D258">IF(B258="","---",IFERROR(
   _xlfn.PERCENTILE.INC(
      IF((tabDados[Descrição Padronizada]=B258)*(tabDados[Valor Unitário]&lt;&gt;""),
         tabDados[Valor Unitário],""
      ),
   D$1),
   _xlfn.MAXIFS(tabDados[Valor Unitário],tabDados[Descrição Padronizada],B258)
))</f>
        <v>---</v>
      </c>
      <c r="E258" s="16" t="str">
        <f>IF(OR(B258="",B258="---"),"---",
   IFERROR(AVERAGEIFS(tabDados[Valor Unitário],tabDados[Descrição Padronizada],B258,tabDados[Valor Unitário],"&gt;="&amp;C258,tabDados[Valor Unitário],"&lt;="&amp;D258),AVERAGE(C258,D258))
)</f>
        <v>---</v>
      </c>
      <c r="F258" s="12" t="str">
        <f t="array" ref="F258">IF(OR(B258="",B258="---"),"---",TRUNC(IFERROR(MODE(IF((tabDados[Descrição Padronizada]=B258)*(tabDados[Vida Útil (meses)]&lt;&gt;""),tabDados[Vida Útil (meses)],"-")),AVERAGEIFS(tabDados[Vida Útil (meses)],tabDados[Descrição Padronizada],B258))+0.5))</f>
        <v>---</v>
      </c>
      <c r="G258" s="13" t="str">
        <f>IF(OR(B258="",B258="---"),"---",TRUNC(IFERROR(AVERAGEIFS(tabDados[Manutenção (%)],tabDados[Descrição Padronizada],B258,tabDados[Manutenção (%)],"&gt;"&amp;0),0)*10000)/10000)</f>
        <v>---</v>
      </c>
      <c r="H258" s="24" t="str">
        <f>IF(OR(B258="---",B258=""),"---",COUNTIF(tabDados[[#All],[Descrição Padronizada]],B258))</f>
        <v>---</v>
      </c>
      <c r="I258" s="24" t="s">
        <v>20</v>
      </c>
    </row>
    <row r="259" spans="1:9" hidden="1" x14ac:dyDescent="0.35">
      <c r="A259" s="15">
        <v>257</v>
      </c>
      <c r="C259" s="16" t="str">
        <f t="array" ref="C259">IF(B259="","---",IFERROR(
   _xlfn.PERCENTILE.INC(
      IF((tabDados[Descrição Padronizada]=B259)*(tabDados[Valor Unitário]&lt;&gt;""),
         tabDados[Valor Unitário],""
      ),
   C$1),
   _xlfn.MINIFS(tabDados[Valor Unitário],tabDados[Descrição Padronizada],B259)
))</f>
        <v>---</v>
      </c>
      <c r="D259" s="16" t="str">
        <f t="array" ref="D259">IF(B259="","---",IFERROR(
   _xlfn.PERCENTILE.INC(
      IF((tabDados[Descrição Padronizada]=B259)*(tabDados[Valor Unitário]&lt;&gt;""),
         tabDados[Valor Unitário],""
      ),
   D$1),
   _xlfn.MAXIFS(tabDados[Valor Unitário],tabDados[Descrição Padronizada],B259)
))</f>
        <v>---</v>
      </c>
      <c r="E259" s="16" t="str">
        <f>IF(OR(B259="",B259="---"),"---",
   IFERROR(AVERAGEIFS(tabDados[Valor Unitário],tabDados[Descrição Padronizada],B259,tabDados[Valor Unitário],"&gt;="&amp;C259,tabDados[Valor Unitário],"&lt;="&amp;D259),AVERAGE(C259,D259))
)</f>
        <v>---</v>
      </c>
      <c r="F259" s="12" t="str">
        <f t="array" ref="F259">IF(OR(B259="",B259="---"),"---",TRUNC(IFERROR(MODE(IF((tabDados[Descrição Padronizada]=B259)*(tabDados[Vida Útil (meses)]&lt;&gt;""),tabDados[Vida Útil (meses)],"-")),AVERAGEIFS(tabDados[Vida Útil (meses)],tabDados[Descrição Padronizada],B259))+0.5))</f>
        <v>---</v>
      </c>
      <c r="G259" s="13" t="str">
        <f>IF(OR(B259="",B259="---"),"---",TRUNC(IFERROR(AVERAGEIFS(tabDados[Manutenção (%)],tabDados[Descrição Padronizada],B259,tabDados[Manutenção (%)],"&gt;"&amp;0),0)*10000)/10000)</f>
        <v>---</v>
      </c>
      <c r="H259" s="24" t="str">
        <f>IF(OR(B259="---",B259=""),"---",COUNTIF(tabDados[[#All],[Descrição Padronizada]],B259))</f>
        <v>---</v>
      </c>
      <c r="I259" s="24" t="s">
        <v>20</v>
      </c>
    </row>
    <row r="260" spans="1:9" hidden="1" x14ac:dyDescent="0.35">
      <c r="A260" s="15">
        <v>258</v>
      </c>
      <c r="C260" s="16" t="str">
        <f t="array" ref="C260">IF(B260="","---",IFERROR(
   _xlfn.PERCENTILE.INC(
      IF((tabDados[Descrição Padronizada]=B260)*(tabDados[Valor Unitário]&lt;&gt;""),
         tabDados[Valor Unitário],""
      ),
   C$1),
   _xlfn.MINIFS(tabDados[Valor Unitário],tabDados[Descrição Padronizada],B260)
))</f>
        <v>---</v>
      </c>
      <c r="D260" s="16" t="str">
        <f t="array" ref="D260">IF(B260="","---",IFERROR(
   _xlfn.PERCENTILE.INC(
      IF((tabDados[Descrição Padronizada]=B260)*(tabDados[Valor Unitário]&lt;&gt;""),
         tabDados[Valor Unitário],""
      ),
   D$1),
   _xlfn.MAXIFS(tabDados[Valor Unitário],tabDados[Descrição Padronizada],B260)
))</f>
        <v>---</v>
      </c>
      <c r="E260" s="16" t="str">
        <f>IF(OR(B260="",B260="---"),"---",
   IFERROR(AVERAGEIFS(tabDados[Valor Unitário],tabDados[Descrição Padronizada],B260,tabDados[Valor Unitário],"&gt;="&amp;C260,tabDados[Valor Unitário],"&lt;="&amp;D260),AVERAGE(C260,D260))
)</f>
        <v>---</v>
      </c>
      <c r="F260" s="12" t="str">
        <f t="array" ref="F260">IF(OR(B260="",B260="---"),"---",TRUNC(IFERROR(MODE(IF((tabDados[Descrição Padronizada]=B260)*(tabDados[Vida Útil (meses)]&lt;&gt;""),tabDados[Vida Útil (meses)],"-")),AVERAGEIFS(tabDados[Vida Útil (meses)],tabDados[Descrição Padronizada],B260))+0.5))</f>
        <v>---</v>
      </c>
      <c r="G260" s="13" t="str">
        <f>IF(OR(B260="",B260="---"),"---",TRUNC(IFERROR(AVERAGEIFS(tabDados[Manutenção (%)],tabDados[Descrição Padronizada],B260,tabDados[Manutenção (%)],"&gt;"&amp;0),0)*10000)/10000)</f>
        <v>---</v>
      </c>
      <c r="H260" s="24" t="str">
        <f>IF(OR(B260="---",B260=""),"---",COUNTIF(tabDados[[#All],[Descrição Padronizada]],B260))</f>
        <v>---</v>
      </c>
      <c r="I260" s="24" t="s">
        <v>20</v>
      </c>
    </row>
    <row r="261" spans="1:9" hidden="1" x14ac:dyDescent="0.35">
      <c r="A261" s="15">
        <v>259</v>
      </c>
      <c r="C261" s="16" t="str">
        <f t="array" ref="C261">IF(B261="","---",IFERROR(
   _xlfn.PERCENTILE.INC(
      IF((tabDados[Descrição Padronizada]=B261)*(tabDados[Valor Unitário]&lt;&gt;""),
         tabDados[Valor Unitário],""
      ),
   C$1),
   _xlfn.MINIFS(tabDados[Valor Unitário],tabDados[Descrição Padronizada],B261)
))</f>
        <v>---</v>
      </c>
      <c r="D261" s="16" t="str">
        <f t="array" ref="D261">IF(B261="","---",IFERROR(
   _xlfn.PERCENTILE.INC(
      IF((tabDados[Descrição Padronizada]=B261)*(tabDados[Valor Unitário]&lt;&gt;""),
         tabDados[Valor Unitário],""
      ),
   D$1),
   _xlfn.MAXIFS(tabDados[Valor Unitário],tabDados[Descrição Padronizada],B261)
))</f>
        <v>---</v>
      </c>
      <c r="E261" s="16" t="str">
        <f>IF(OR(B261="",B261="---"),"---",
   IFERROR(AVERAGEIFS(tabDados[Valor Unitário],tabDados[Descrição Padronizada],B261,tabDados[Valor Unitário],"&gt;="&amp;C261,tabDados[Valor Unitário],"&lt;="&amp;D261),AVERAGE(C261,D261))
)</f>
        <v>---</v>
      </c>
      <c r="F261" s="12" t="str">
        <f t="array" ref="F261">IF(OR(B261="",B261="---"),"---",TRUNC(IFERROR(MODE(IF((tabDados[Descrição Padronizada]=B261)*(tabDados[Vida Útil (meses)]&lt;&gt;""),tabDados[Vida Útil (meses)],"-")),AVERAGEIFS(tabDados[Vida Útil (meses)],tabDados[Descrição Padronizada],B261))+0.5))</f>
        <v>---</v>
      </c>
      <c r="G261" s="13" t="str">
        <f>IF(OR(B261="",B261="---"),"---",TRUNC(IFERROR(AVERAGEIFS(tabDados[Manutenção (%)],tabDados[Descrição Padronizada],B261,tabDados[Manutenção (%)],"&gt;"&amp;0),0)*10000)/10000)</f>
        <v>---</v>
      </c>
      <c r="H261" s="24" t="str">
        <f>IF(OR(B261="---",B261=""),"---",COUNTIF(tabDados[[#All],[Descrição Padronizada]],B261))</f>
        <v>---</v>
      </c>
      <c r="I261" s="24" t="s">
        <v>20</v>
      </c>
    </row>
    <row r="262" spans="1:9" hidden="1" x14ac:dyDescent="0.35">
      <c r="A262" s="15">
        <v>260</v>
      </c>
      <c r="C262" s="16" t="str">
        <f t="array" ref="C262">IF(B262="","---",IFERROR(
   _xlfn.PERCENTILE.INC(
      IF((tabDados[Descrição Padronizada]=B262)*(tabDados[Valor Unitário]&lt;&gt;""),
         tabDados[Valor Unitário],""
      ),
   C$1),
   _xlfn.MINIFS(tabDados[Valor Unitário],tabDados[Descrição Padronizada],B262)
))</f>
        <v>---</v>
      </c>
      <c r="D262" s="16" t="str">
        <f t="array" ref="D262">IF(B262="","---",IFERROR(
   _xlfn.PERCENTILE.INC(
      IF((tabDados[Descrição Padronizada]=B262)*(tabDados[Valor Unitário]&lt;&gt;""),
         tabDados[Valor Unitário],""
      ),
   D$1),
   _xlfn.MAXIFS(tabDados[Valor Unitário],tabDados[Descrição Padronizada],B262)
))</f>
        <v>---</v>
      </c>
      <c r="E262" s="16" t="str">
        <f>IF(OR(B262="",B262="---"),"---",
   IFERROR(AVERAGEIFS(tabDados[Valor Unitário],tabDados[Descrição Padronizada],B262,tabDados[Valor Unitário],"&gt;="&amp;C262,tabDados[Valor Unitário],"&lt;="&amp;D262),AVERAGE(C262,D262))
)</f>
        <v>---</v>
      </c>
      <c r="F262" s="12" t="str">
        <f t="array" ref="F262">IF(OR(B262="",B262="---"),"---",TRUNC(IFERROR(MODE(IF((tabDados[Descrição Padronizada]=B262)*(tabDados[Vida Útil (meses)]&lt;&gt;""),tabDados[Vida Útil (meses)],"-")),AVERAGEIFS(tabDados[Vida Útil (meses)],tabDados[Descrição Padronizada],B262))+0.5))</f>
        <v>---</v>
      </c>
      <c r="G262" s="13" t="str">
        <f>IF(OR(B262="",B262="---"),"---",TRUNC(IFERROR(AVERAGEIFS(tabDados[Manutenção (%)],tabDados[Descrição Padronizada],B262,tabDados[Manutenção (%)],"&gt;"&amp;0),0)*10000)/10000)</f>
        <v>---</v>
      </c>
      <c r="H262" s="24" t="str">
        <f>IF(OR(B262="---",B262=""),"---",COUNTIF(tabDados[[#All],[Descrição Padronizada]],B262))</f>
        <v>---</v>
      </c>
      <c r="I262" s="24" t="s">
        <v>20</v>
      </c>
    </row>
    <row r="263" spans="1:9" hidden="1" x14ac:dyDescent="0.35">
      <c r="A263" s="15">
        <v>261</v>
      </c>
      <c r="C263" s="16" t="str">
        <f t="array" ref="C263">IF(B263="","---",IFERROR(
   _xlfn.PERCENTILE.INC(
      IF((tabDados[Descrição Padronizada]=B263)*(tabDados[Valor Unitário]&lt;&gt;""),
         tabDados[Valor Unitário],""
      ),
   C$1),
   _xlfn.MINIFS(tabDados[Valor Unitário],tabDados[Descrição Padronizada],B263)
))</f>
        <v>---</v>
      </c>
      <c r="D263" s="16" t="str">
        <f t="array" ref="D263">IF(B263="","---",IFERROR(
   _xlfn.PERCENTILE.INC(
      IF((tabDados[Descrição Padronizada]=B263)*(tabDados[Valor Unitário]&lt;&gt;""),
         tabDados[Valor Unitário],""
      ),
   D$1),
   _xlfn.MAXIFS(tabDados[Valor Unitário],tabDados[Descrição Padronizada],B263)
))</f>
        <v>---</v>
      </c>
      <c r="E263" s="16" t="str">
        <f>IF(OR(B263="",B263="---"),"---",
   IFERROR(AVERAGEIFS(tabDados[Valor Unitário],tabDados[Descrição Padronizada],B263,tabDados[Valor Unitário],"&gt;="&amp;C263,tabDados[Valor Unitário],"&lt;="&amp;D263),AVERAGE(C263,D263))
)</f>
        <v>---</v>
      </c>
      <c r="F263" s="12" t="str">
        <f t="array" ref="F263">IF(OR(B263="",B263="---"),"---",TRUNC(IFERROR(MODE(IF((tabDados[Descrição Padronizada]=B263)*(tabDados[Vida Útil (meses)]&lt;&gt;""),tabDados[Vida Útil (meses)],"-")),AVERAGEIFS(tabDados[Vida Útil (meses)],tabDados[Descrição Padronizada],B263))+0.5))</f>
        <v>---</v>
      </c>
      <c r="G263" s="13" t="str">
        <f>IF(OR(B263="",B263="---"),"---",TRUNC(IFERROR(AVERAGEIFS(tabDados[Manutenção (%)],tabDados[Descrição Padronizada],B263,tabDados[Manutenção (%)],"&gt;"&amp;0),0)*10000)/10000)</f>
        <v>---</v>
      </c>
      <c r="H263" s="24" t="str">
        <f>IF(OR(B263="---",B263=""),"---",COUNTIF(tabDados[[#All],[Descrição Padronizada]],B263))</f>
        <v>---</v>
      </c>
      <c r="I263" s="24" t="s">
        <v>20</v>
      </c>
    </row>
    <row r="264" spans="1:9" hidden="1" x14ac:dyDescent="0.35">
      <c r="A264" s="15">
        <v>262</v>
      </c>
      <c r="C264" s="16" t="str">
        <f t="array" ref="C264">IF(B264="","---",IFERROR(
   _xlfn.PERCENTILE.INC(
      IF((tabDados[Descrição Padronizada]=B264)*(tabDados[Valor Unitário]&lt;&gt;""),
         tabDados[Valor Unitário],""
      ),
   C$1),
   _xlfn.MINIFS(tabDados[Valor Unitário],tabDados[Descrição Padronizada],B264)
))</f>
        <v>---</v>
      </c>
      <c r="D264" s="16" t="str">
        <f t="array" ref="D264">IF(B264="","---",IFERROR(
   _xlfn.PERCENTILE.INC(
      IF((tabDados[Descrição Padronizada]=B264)*(tabDados[Valor Unitário]&lt;&gt;""),
         tabDados[Valor Unitário],""
      ),
   D$1),
   _xlfn.MAXIFS(tabDados[Valor Unitário],tabDados[Descrição Padronizada],B264)
))</f>
        <v>---</v>
      </c>
      <c r="E264" s="16" t="str">
        <f>IF(OR(B264="",B264="---"),"---",
   IFERROR(AVERAGEIFS(tabDados[Valor Unitário],tabDados[Descrição Padronizada],B264,tabDados[Valor Unitário],"&gt;="&amp;C264,tabDados[Valor Unitário],"&lt;="&amp;D264),AVERAGE(C264,D264))
)</f>
        <v>---</v>
      </c>
      <c r="F264" s="12" t="str">
        <f t="array" ref="F264">IF(OR(B264="",B264="---"),"---",TRUNC(IFERROR(MODE(IF((tabDados[Descrição Padronizada]=B264)*(tabDados[Vida Útil (meses)]&lt;&gt;""),tabDados[Vida Útil (meses)],"-")),AVERAGEIFS(tabDados[Vida Útil (meses)],tabDados[Descrição Padronizada],B264))+0.5))</f>
        <v>---</v>
      </c>
      <c r="G264" s="13" t="str">
        <f>IF(OR(B264="",B264="---"),"---",TRUNC(IFERROR(AVERAGEIFS(tabDados[Manutenção (%)],tabDados[Descrição Padronizada],B264,tabDados[Manutenção (%)],"&gt;"&amp;0),0)*10000)/10000)</f>
        <v>---</v>
      </c>
      <c r="H264" s="24" t="str">
        <f>IF(OR(B264="---",B264=""),"---",COUNTIF(tabDados[[#All],[Descrição Padronizada]],B264))</f>
        <v>---</v>
      </c>
      <c r="I264" s="24" t="s">
        <v>20</v>
      </c>
    </row>
    <row r="265" spans="1:9" hidden="1" x14ac:dyDescent="0.35">
      <c r="A265" s="15">
        <v>263</v>
      </c>
      <c r="C265" s="16" t="str">
        <f t="array" ref="C265">IF(B265="","---",IFERROR(
   _xlfn.PERCENTILE.INC(
      IF((tabDados[Descrição Padronizada]=B265)*(tabDados[Valor Unitário]&lt;&gt;""),
         tabDados[Valor Unitário],""
      ),
   C$1),
   _xlfn.MINIFS(tabDados[Valor Unitário],tabDados[Descrição Padronizada],B265)
))</f>
        <v>---</v>
      </c>
      <c r="D265" s="16" t="str">
        <f t="array" ref="D265">IF(B265="","---",IFERROR(
   _xlfn.PERCENTILE.INC(
      IF((tabDados[Descrição Padronizada]=B265)*(tabDados[Valor Unitário]&lt;&gt;""),
         tabDados[Valor Unitário],""
      ),
   D$1),
   _xlfn.MAXIFS(tabDados[Valor Unitário],tabDados[Descrição Padronizada],B265)
))</f>
        <v>---</v>
      </c>
      <c r="E265" s="16" t="str">
        <f>IF(OR(B265="",B265="---"),"---",
   IFERROR(AVERAGEIFS(tabDados[Valor Unitário],tabDados[Descrição Padronizada],B265,tabDados[Valor Unitário],"&gt;="&amp;C265,tabDados[Valor Unitário],"&lt;="&amp;D265),AVERAGE(C265,D265))
)</f>
        <v>---</v>
      </c>
      <c r="F265" s="12" t="str">
        <f t="array" ref="F265">IF(OR(B265="",B265="---"),"---",TRUNC(IFERROR(MODE(IF((tabDados[Descrição Padronizada]=B265)*(tabDados[Vida Útil (meses)]&lt;&gt;""),tabDados[Vida Útil (meses)],"-")),AVERAGEIFS(tabDados[Vida Útil (meses)],tabDados[Descrição Padronizada],B265))+0.5))</f>
        <v>---</v>
      </c>
      <c r="G265" s="13" t="str">
        <f>IF(OR(B265="",B265="---"),"---",TRUNC(IFERROR(AVERAGEIFS(tabDados[Manutenção (%)],tabDados[Descrição Padronizada],B265,tabDados[Manutenção (%)],"&gt;"&amp;0),0)*10000)/10000)</f>
        <v>---</v>
      </c>
      <c r="H265" s="24" t="str">
        <f>IF(OR(B265="---",B265=""),"---",COUNTIF(tabDados[[#All],[Descrição Padronizada]],B265))</f>
        <v>---</v>
      </c>
      <c r="I265" s="24" t="s">
        <v>20</v>
      </c>
    </row>
    <row r="266" spans="1:9" hidden="1" x14ac:dyDescent="0.35">
      <c r="A266" s="15">
        <v>264</v>
      </c>
      <c r="C266" s="16" t="str">
        <f t="array" ref="C266">IF(B266="","---",IFERROR(
   _xlfn.PERCENTILE.INC(
      IF((tabDados[Descrição Padronizada]=B266)*(tabDados[Valor Unitário]&lt;&gt;""),
         tabDados[Valor Unitário],""
      ),
   C$1),
   _xlfn.MINIFS(tabDados[Valor Unitário],tabDados[Descrição Padronizada],B266)
))</f>
        <v>---</v>
      </c>
      <c r="D266" s="16" t="str">
        <f t="array" ref="D266">IF(B266="","---",IFERROR(
   _xlfn.PERCENTILE.INC(
      IF((tabDados[Descrição Padronizada]=B266)*(tabDados[Valor Unitário]&lt;&gt;""),
         tabDados[Valor Unitário],""
      ),
   D$1),
   _xlfn.MAXIFS(tabDados[Valor Unitário],tabDados[Descrição Padronizada],B266)
))</f>
        <v>---</v>
      </c>
      <c r="E266" s="16" t="str">
        <f>IF(OR(B266="",B266="---"),"---",
   IFERROR(AVERAGEIFS(tabDados[Valor Unitário],tabDados[Descrição Padronizada],B266,tabDados[Valor Unitário],"&gt;="&amp;C266,tabDados[Valor Unitário],"&lt;="&amp;D266),AVERAGE(C266,D266))
)</f>
        <v>---</v>
      </c>
      <c r="F266" s="12" t="str">
        <f t="array" ref="F266">IF(OR(B266="",B266="---"),"---",TRUNC(IFERROR(MODE(IF((tabDados[Descrição Padronizada]=B266)*(tabDados[Vida Útil (meses)]&lt;&gt;""),tabDados[Vida Útil (meses)],"-")),AVERAGEIFS(tabDados[Vida Útil (meses)],tabDados[Descrição Padronizada],B266))+0.5))</f>
        <v>---</v>
      </c>
      <c r="G266" s="13" t="str">
        <f>IF(OR(B266="",B266="---"),"---",TRUNC(IFERROR(AVERAGEIFS(tabDados[Manutenção (%)],tabDados[Descrição Padronizada],B266,tabDados[Manutenção (%)],"&gt;"&amp;0),0)*10000)/10000)</f>
        <v>---</v>
      </c>
      <c r="H266" s="24" t="str">
        <f>IF(OR(B266="---",B266=""),"---",COUNTIF(tabDados[[#All],[Descrição Padronizada]],B266))</f>
        <v>---</v>
      </c>
      <c r="I266" s="24" t="s">
        <v>20</v>
      </c>
    </row>
    <row r="267" spans="1:9" hidden="1" x14ac:dyDescent="0.35">
      <c r="A267" s="15">
        <v>265</v>
      </c>
      <c r="C267" s="16" t="str">
        <f t="array" ref="C267">IF(B267="","---",IFERROR(
   _xlfn.PERCENTILE.INC(
      IF((tabDados[Descrição Padronizada]=B267)*(tabDados[Valor Unitário]&lt;&gt;""),
         tabDados[Valor Unitário],""
      ),
   C$1),
   _xlfn.MINIFS(tabDados[Valor Unitário],tabDados[Descrição Padronizada],B267)
))</f>
        <v>---</v>
      </c>
      <c r="D267" s="16" t="str">
        <f t="array" ref="D267">IF(B267="","---",IFERROR(
   _xlfn.PERCENTILE.INC(
      IF((tabDados[Descrição Padronizada]=B267)*(tabDados[Valor Unitário]&lt;&gt;""),
         tabDados[Valor Unitário],""
      ),
   D$1),
   _xlfn.MAXIFS(tabDados[Valor Unitário],tabDados[Descrição Padronizada],B267)
))</f>
        <v>---</v>
      </c>
      <c r="E267" s="16" t="str">
        <f>IF(OR(B267="",B267="---"),"---",
   IFERROR(AVERAGEIFS(tabDados[Valor Unitário],tabDados[Descrição Padronizada],B267,tabDados[Valor Unitário],"&gt;="&amp;C267,tabDados[Valor Unitário],"&lt;="&amp;D267),AVERAGE(C267,D267))
)</f>
        <v>---</v>
      </c>
      <c r="F267" s="12" t="str">
        <f t="array" ref="F267">IF(OR(B267="",B267="---"),"---",TRUNC(IFERROR(MODE(IF((tabDados[Descrição Padronizada]=B267)*(tabDados[Vida Útil (meses)]&lt;&gt;""),tabDados[Vida Útil (meses)],"-")),AVERAGEIFS(tabDados[Vida Útil (meses)],tabDados[Descrição Padronizada],B267))+0.5))</f>
        <v>---</v>
      </c>
      <c r="G267" s="13" t="str">
        <f>IF(OR(B267="",B267="---"),"---",TRUNC(IFERROR(AVERAGEIFS(tabDados[Manutenção (%)],tabDados[Descrição Padronizada],B267,tabDados[Manutenção (%)],"&gt;"&amp;0),0)*10000)/10000)</f>
        <v>---</v>
      </c>
      <c r="H267" s="24" t="str">
        <f>IF(OR(B267="---",B267=""),"---",COUNTIF(tabDados[[#All],[Descrição Padronizada]],B267))</f>
        <v>---</v>
      </c>
      <c r="I267" s="24" t="s">
        <v>20</v>
      </c>
    </row>
    <row r="268" spans="1:9" hidden="1" x14ac:dyDescent="0.35">
      <c r="A268" s="15">
        <v>266</v>
      </c>
      <c r="C268" s="16" t="str">
        <f t="array" ref="C268">IF(B268="","---",IFERROR(
   _xlfn.PERCENTILE.INC(
      IF((tabDados[Descrição Padronizada]=B268)*(tabDados[Valor Unitário]&lt;&gt;""),
         tabDados[Valor Unitário],""
      ),
   C$1),
   _xlfn.MINIFS(tabDados[Valor Unitário],tabDados[Descrição Padronizada],B268)
))</f>
        <v>---</v>
      </c>
      <c r="D268" s="16" t="str">
        <f t="array" ref="D268">IF(B268="","---",IFERROR(
   _xlfn.PERCENTILE.INC(
      IF((tabDados[Descrição Padronizada]=B268)*(tabDados[Valor Unitário]&lt;&gt;""),
         tabDados[Valor Unitário],""
      ),
   D$1),
   _xlfn.MAXIFS(tabDados[Valor Unitário],tabDados[Descrição Padronizada],B268)
))</f>
        <v>---</v>
      </c>
      <c r="E268" s="16" t="str">
        <f>IF(OR(B268="",B268="---"),"---",
   IFERROR(AVERAGEIFS(tabDados[Valor Unitário],tabDados[Descrição Padronizada],B268,tabDados[Valor Unitário],"&gt;="&amp;C268,tabDados[Valor Unitário],"&lt;="&amp;D268),AVERAGE(C268,D268))
)</f>
        <v>---</v>
      </c>
      <c r="F268" s="12" t="str">
        <f t="array" ref="F268">IF(OR(B268="",B268="---"),"---",TRUNC(IFERROR(MODE(IF((tabDados[Descrição Padronizada]=B268)*(tabDados[Vida Útil (meses)]&lt;&gt;""),tabDados[Vida Útil (meses)],"-")),AVERAGEIFS(tabDados[Vida Útil (meses)],tabDados[Descrição Padronizada],B268))+0.5))</f>
        <v>---</v>
      </c>
      <c r="G268" s="13" t="str">
        <f>IF(OR(B268="",B268="---"),"---",TRUNC(IFERROR(AVERAGEIFS(tabDados[Manutenção (%)],tabDados[Descrição Padronizada],B268,tabDados[Manutenção (%)],"&gt;"&amp;0),0)*10000)/10000)</f>
        <v>---</v>
      </c>
      <c r="H268" s="24" t="str">
        <f>IF(OR(B268="---",B268=""),"---",COUNTIF(tabDados[[#All],[Descrição Padronizada]],B268))</f>
        <v>---</v>
      </c>
      <c r="I268" s="24" t="s">
        <v>20</v>
      </c>
    </row>
    <row r="269" spans="1:9" hidden="1" x14ac:dyDescent="0.35">
      <c r="A269" s="15">
        <v>267</v>
      </c>
      <c r="C269" s="16" t="str">
        <f t="array" ref="C269">IF(B269="","---",IFERROR(
   _xlfn.PERCENTILE.INC(
      IF((tabDados[Descrição Padronizada]=B269)*(tabDados[Valor Unitário]&lt;&gt;""),
         tabDados[Valor Unitário],""
      ),
   C$1),
   _xlfn.MINIFS(tabDados[Valor Unitário],tabDados[Descrição Padronizada],B269)
))</f>
        <v>---</v>
      </c>
      <c r="D269" s="16" t="str">
        <f t="array" ref="D269">IF(B269="","---",IFERROR(
   _xlfn.PERCENTILE.INC(
      IF((tabDados[Descrição Padronizada]=B269)*(tabDados[Valor Unitário]&lt;&gt;""),
         tabDados[Valor Unitário],""
      ),
   D$1),
   _xlfn.MAXIFS(tabDados[Valor Unitário],tabDados[Descrição Padronizada],B269)
))</f>
        <v>---</v>
      </c>
      <c r="E269" s="16" t="str">
        <f>IF(OR(B269="",B269="---"),"---",
   IFERROR(AVERAGEIFS(tabDados[Valor Unitário],tabDados[Descrição Padronizada],B269,tabDados[Valor Unitário],"&gt;="&amp;C269,tabDados[Valor Unitário],"&lt;="&amp;D269),AVERAGE(C269,D269))
)</f>
        <v>---</v>
      </c>
      <c r="F269" s="12" t="str">
        <f t="array" ref="F269">IF(OR(B269="",B269="---"),"---",TRUNC(IFERROR(MODE(IF((tabDados[Descrição Padronizada]=B269)*(tabDados[Vida Útil (meses)]&lt;&gt;""),tabDados[Vida Útil (meses)],"-")),AVERAGEIFS(tabDados[Vida Útil (meses)],tabDados[Descrição Padronizada],B269))+0.5))</f>
        <v>---</v>
      </c>
      <c r="G269" s="13" t="str">
        <f>IF(OR(B269="",B269="---"),"---",TRUNC(IFERROR(AVERAGEIFS(tabDados[Manutenção (%)],tabDados[Descrição Padronizada],B269,tabDados[Manutenção (%)],"&gt;"&amp;0),0)*10000)/10000)</f>
        <v>---</v>
      </c>
      <c r="H269" s="24" t="str">
        <f>IF(OR(B269="---",B269=""),"---",COUNTIF(tabDados[[#All],[Descrição Padronizada]],B269))</f>
        <v>---</v>
      </c>
      <c r="I269" s="24" t="s">
        <v>20</v>
      </c>
    </row>
    <row r="270" spans="1:9" hidden="1" x14ac:dyDescent="0.35">
      <c r="A270" s="15">
        <v>268</v>
      </c>
      <c r="C270" s="16" t="str">
        <f t="array" ref="C270">IF(B270="","---",IFERROR(
   _xlfn.PERCENTILE.INC(
      IF((tabDados[Descrição Padronizada]=B270)*(tabDados[Valor Unitário]&lt;&gt;""),
         tabDados[Valor Unitário],""
      ),
   C$1),
   _xlfn.MINIFS(tabDados[Valor Unitário],tabDados[Descrição Padronizada],B270)
))</f>
        <v>---</v>
      </c>
      <c r="D270" s="16" t="str">
        <f t="array" ref="D270">IF(B270="","---",IFERROR(
   _xlfn.PERCENTILE.INC(
      IF((tabDados[Descrição Padronizada]=B270)*(tabDados[Valor Unitário]&lt;&gt;""),
         tabDados[Valor Unitário],""
      ),
   D$1),
   _xlfn.MAXIFS(tabDados[Valor Unitário],tabDados[Descrição Padronizada],B270)
))</f>
        <v>---</v>
      </c>
      <c r="E270" s="16" t="str">
        <f>IF(OR(B270="",B270="---"),"---",
   IFERROR(AVERAGEIFS(tabDados[Valor Unitário],tabDados[Descrição Padronizada],B270,tabDados[Valor Unitário],"&gt;="&amp;C270,tabDados[Valor Unitário],"&lt;="&amp;D270),AVERAGE(C270,D270))
)</f>
        <v>---</v>
      </c>
      <c r="F270" s="12" t="str">
        <f t="array" ref="F270">IF(OR(B270="",B270="---"),"---",TRUNC(IFERROR(MODE(IF((tabDados[Descrição Padronizada]=B270)*(tabDados[Vida Útil (meses)]&lt;&gt;""),tabDados[Vida Útil (meses)],"-")),AVERAGEIFS(tabDados[Vida Útil (meses)],tabDados[Descrição Padronizada],B270))+0.5))</f>
        <v>---</v>
      </c>
      <c r="G270" s="13" t="str">
        <f>IF(OR(B270="",B270="---"),"---",TRUNC(IFERROR(AVERAGEIFS(tabDados[Manutenção (%)],tabDados[Descrição Padronizada],B270,tabDados[Manutenção (%)],"&gt;"&amp;0),0)*10000)/10000)</f>
        <v>---</v>
      </c>
      <c r="H270" s="24" t="str">
        <f>IF(OR(B270="---",B270=""),"---",COUNTIF(tabDados[[#All],[Descrição Padronizada]],B270))</f>
        <v>---</v>
      </c>
      <c r="I270" s="24" t="s">
        <v>20</v>
      </c>
    </row>
    <row r="271" spans="1:9" hidden="1" x14ac:dyDescent="0.35">
      <c r="A271" s="15">
        <v>269</v>
      </c>
      <c r="C271" s="16" t="str">
        <f t="array" ref="C271">IF(B271="","---",IFERROR(
   _xlfn.PERCENTILE.INC(
      IF((tabDados[Descrição Padronizada]=B271)*(tabDados[Valor Unitário]&lt;&gt;""),
         tabDados[Valor Unitário],""
      ),
   C$1),
   _xlfn.MINIFS(tabDados[Valor Unitário],tabDados[Descrição Padronizada],B271)
))</f>
        <v>---</v>
      </c>
      <c r="D271" s="16" t="str">
        <f t="array" ref="D271">IF(B271="","---",IFERROR(
   _xlfn.PERCENTILE.INC(
      IF((tabDados[Descrição Padronizada]=B271)*(tabDados[Valor Unitário]&lt;&gt;""),
         tabDados[Valor Unitário],""
      ),
   D$1),
   _xlfn.MAXIFS(tabDados[Valor Unitário],tabDados[Descrição Padronizada],B271)
))</f>
        <v>---</v>
      </c>
      <c r="E271" s="16" t="str">
        <f>IF(OR(B271="",B271="---"),"---",
   IFERROR(AVERAGEIFS(tabDados[Valor Unitário],tabDados[Descrição Padronizada],B271,tabDados[Valor Unitário],"&gt;="&amp;C271,tabDados[Valor Unitário],"&lt;="&amp;D271),AVERAGE(C271,D271))
)</f>
        <v>---</v>
      </c>
      <c r="F271" s="12" t="str">
        <f t="array" ref="F271">IF(OR(B271="",B271="---"),"---",TRUNC(IFERROR(MODE(IF((tabDados[Descrição Padronizada]=B271)*(tabDados[Vida Útil (meses)]&lt;&gt;""),tabDados[Vida Útil (meses)],"-")),AVERAGEIFS(tabDados[Vida Útil (meses)],tabDados[Descrição Padronizada],B271))+0.5))</f>
        <v>---</v>
      </c>
      <c r="G271" s="13" t="str">
        <f>IF(OR(B271="",B271="---"),"---",TRUNC(IFERROR(AVERAGEIFS(tabDados[Manutenção (%)],tabDados[Descrição Padronizada],B271,tabDados[Manutenção (%)],"&gt;"&amp;0),0)*10000)/10000)</f>
        <v>---</v>
      </c>
      <c r="H271" s="24" t="str">
        <f>IF(OR(B271="---",B271=""),"---",COUNTIF(tabDados[[#All],[Descrição Padronizada]],B271))</f>
        <v>---</v>
      </c>
      <c r="I271" s="24" t="s">
        <v>20</v>
      </c>
    </row>
    <row r="272" spans="1:9" hidden="1" x14ac:dyDescent="0.35">
      <c r="A272" s="15">
        <v>270</v>
      </c>
      <c r="C272" s="16" t="str">
        <f t="array" ref="C272">IF(B272="","---",IFERROR(
   _xlfn.PERCENTILE.INC(
      IF((tabDados[Descrição Padronizada]=B272)*(tabDados[Valor Unitário]&lt;&gt;""),
         tabDados[Valor Unitário],""
      ),
   C$1),
   _xlfn.MINIFS(tabDados[Valor Unitário],tabDados[Descrição Padronizada],B272)
))</f>
        <v>---</v>
      </c>
      <c r="D272" s="16" t="str">
        <f t="array" ref="D272">IF(B272="","---",IFERROR(
   _xlfn.PERCENTILE.INC(
      IF((tabDados[Descrição Padronizada]=B272)*(tabDados[Valor Unitário]&lt;&gt;""),
         tabDados[Valor Unitário],""
      ),
   D$1),
   _xlfn.MAXIFS(tabDados[Valor Unitário],tabDados[Descrição Padronizada],B272)
))</f>
        <v>---</v>
      </c>
      <c r="E272" s="16" t="str">
        <f>IF(OR(B272="",B272="---"),"---",
   IFERROR(AVERAGEIFS(tabDados[Valor Unitário],tabDados[Descrição Padronizada],B272,tabDados[Valor Unitário],"&gt;="&amp;C272,tabDados[Valor Unitário],"&lt;="&amp;D272),AVERAGE(C272,D272))
)</f>
        <v>---</v>
      </c>
      <c r="F272" s="12" t="str">
        <f t="array" ref="F272">IF(OR(B272="",B272="---"),"---",TRUNC(IFERROR(MODE(IF((tabDados[Descrição Padronizada]=B272)*(tabDados[Vida Útil (meses)]&lt;&gt;""),tabDados[Vida Útil (meses)],"-")),AVERAGEIFS(tabDados[Vida Útil (meses)],tabDados[Descrição Padronizada],B272))+0.5))</f>
        <v>---</v>
      </c>
      <c r="G272" s="13" t="str">
        <f>IF(OR(B272="",B272="---"),"---",TRUNC(IFERROR(AVERAGEIFS(tabDados[Manutenção (%)],tabDados[Descrição Padronizada],B272,tabDados[Manutenção (%)],"&gt;"&amp;0),0)*10000)/10000)</f>
        <v>---</v>
      </c>
      <c r="H272" s="24" t="str">
        <f>IF(OR(B272="---",B272=""),"---",COUNTIF(tabDados[[#All],[Descrição Padronizada]],B272))</f>
        <v>---</v>
      </c>
      <c r="I272" s="24" t="s">
        <v>20</v>
      </c>
    </row>
    <row r="273" spans="1:9" hidden="1" x14ac:dyDescent="0.35">
      <c r="A273" s="15">
        <v>271</v>
      </c>
      <c r="C273" s="16" t="str">
        <f t="array" ref="C273">IF(B273="","---",IFERROR(
   _xlfn.PERCENTILE.INC(
      IF((tabDados[Descrição Padronizada]=B273)*(tabDados[Valor Unitário]&lt;&gt;""),
         tabDados[Valor Unitário],""
      ),
   C$1),
   _xlfn.MINIFS(tabDados[Valor Unitário],tabDados[Descrição Padronizada],B273)
))</f>
        <v>---</v>
      </c>
      <c r="D273" s="16" t="str">
        <f t="array" ref="D273">IF(B273="","---",IFERROR(
   _xlfn.PERCENTILE.INC(
      IF((tabDados[Descrição Padronizada]=B273)*(tabDados[Valor Unitário]&lt;&gt;""),
         tabDados[Valor Unitário],""
      ),
   D$1),
   _xlfn.MAXIFS(tabDados[Valor Unitário],tabDados[Descrição Padronizada],B273)
))</f>
        <v>---</v>
      </c>
      <c r="E273" s="16" t="str">
        <f>IF(OR(B273="",B273="---"),"---",
   IFERROR(AVERAGEIFS(tabDados[Valor Unitário],tabDados[Descrição Padronizada],B273,tabDados[Valor Unitário],"&gt;="&amp;C273,tabDados[Valor Unitário],"&lt;="&amp;D273),AVERAGE(C273,D273))
)</f>
        <v>---</v>
      </c>
      <c r="F273" s="12" t="str">
        <f t="array" ref="F273">IF(OR(B273="",B273="---"),"---",TRUNC(IFERROR(MODE(IF((tabDados[Descrição Padronizada]=B273)*(tabDados[Vida Útil (meses)]&lt;&gt;""),tabDados[Vida Útil (meses)],"-")),AVERAGEIFS(tabDados[Vida Útil (meses)],tabDados[Descrição Padronizada],B273))+0.5))</f>
        <v>---</v>
      </c>
      <c r="G273" s="13" t="str">
        <f>IF(OR(B273="",B273="---"),"---",TRUNC(IFERROR(AVERAGEIFS(tabDados[Manutenção (%)],tabDados[Descrição Padronizada],B273,tabDados[Manutenção (%)],"&gt;"&amp;0),0)*10000)/10000)</f>
        <v>---</v>
      </c>
      <c r="H273" s="24" t="str">
        <f>IF(OR(B273="---",B273=""),"---",COUNTIF(tabDados[[#All],[Descrição Padronizada]],B273))</f>
        <v>---</v>
      </c>
      <c r="I273" s="24" t="s">
        <v>20</v>
      </c>
    </row>
    <row r="274" spans="1:9" hidden="1" x14ac:dyDescent="0.35">
      <c r="A274" s="15">
        <v>272</v>
      </c>
      <c r="C274" s="16" t="str">
        <f t="array" ref="C274">IF(B274="","---",IFERROR(
   _xlfn.PERCENTILE.INC(
      IF((tabDados[Descrição Padronizada]=B274)*(tabDados[Valor Unitário]&lt;&gt;""),
         tabDados[Valor Unitário],""
      ),
   C$1),
   _xlfn.MINIFS(tabDados[Valor Unitário],tabDados[Descrição Padronizada],B274)
))</f>
        <v>---</v>
      </c>
      <c r="D274" s="16" t="str">
        <f t="array" ref="D274">IF(B274="","---",IFERROR(
   _xlfn.PERCENTILE.INC(
      IF((tabDados[Descrição Padronizada]=B274)*(tabDados[Valor Unitário]&lt;&gt;""),
         tabDados[Valor Unitário],""
      ),
   D$1),
   _xlfn.MAXIFS(tabDados[Valor Unitário],tabDados[Descrição Padronizada],B274)
))</f>
        <v>---</v>
      </c>
      <c r="E274" s="16" t="str">
        <f>IF(OR(B274="",B274="---"),"---",
   IFERROR(AVERAGEIFS(tabDados[Valor Unitário],tabDados[Descrição Padronizada],B274,tabDados[Valor Unitário],"&gt;="&amp;C274,tabDados[Valor Unitário],"&lt;="&amp;D274),AVERAGE(C274,D274))
)</f>
        <v>---</v>
      </c>
      <c r="F274" s="12" t="str">
        <f t="array" ref="F274">IF(OR(B274="",B274="---"),"---",TRUNC(IFERROR(MODE(IF((tabDados[Descrição Padronizada]=B274)*(tabDados[Vida Útil (meses)]&lt;&gt;""),tabDados[Vida Útil (meses)],"-")),AVERAGEIFS(tabDados[Vida Útil (meses)],tabDados[Descrição Padronizada],B274))+0.5))</f>
        <v>---</v>
      </c>
      <c r="G274" s="13" t="str">
        <f>IF(OR(B274="",B274="---"),"---",TRUNC(IFERROR(AVERAGEIFS(tabDados[Manutenção (%)],tabDados[Descrição Padronizada],B274,tabDados[Manutenção (%)],"&gt;"&amp;0),0)*10000)/10000)</f>
        <v>---</v>
      </c>
      <c r="H274" s="24" t="str">
        <f>IF(OR(B274="---",B274=""),"---",COUNTIF(tabDados[[#All],[Descrição Padronizada]],B274))</f>
        <v>---</v>
      </c>
      <c r="I274" s="24" t="s">
        <v>20</v>
      </c>
    </row>
    <row r="275" spans="1:9" hidden="1" x14ac:dyDescent="0.35">
      <c r="A275" s="15">
        <v>273</v>
      </c>
      <c r="C275" s="16" t="str">
        <f t="array" ref="C275">IF(B275="","---",IFERROR(
   _xlfn.PERCENTILE.INC(
      IF((tabDados[Descrição Padronizada]=B275)*(tabDados[Valor Unitário]&lt;&gt;""),
         tabDados[Valor Unitário],""
      ),
   C$1),
   _xlfn.MINIFS(tabDados[Valor Unitário],tabDados[Descrição Padronizada],B275)
))</f>
        <v>---</v>
      </c>
      <c r="D275" s="16" t="str">
        <f t="array" ref="D275">IF(B275="","---",IFERROR(
   _xlfn.PERCENTILE.INC(
      IF((tabDados[Descrição Padronizada]=B275)*(tabDados[Valor Unitário]&lt;&gt;""),
         tabDados[Valor Unitário],""
      ),
   D$1),
   _xlfn.MAXIFS(tabDados[Valor Unitário],tabDados[Descrição Padronizada],B275)
))</f>
        <v>---</v>
      </c>
      <c r="E275" s="16" t="str">
        <f>IF(OR(B275="",B275="---"),"---",
   IFERROR(AVERAGEIFS(tabDados[Valor Unitário],tabDados[Descrição Padronizada],B275,tabDados[Valor Unitário],"&gt;="&amp;C275,tabDados[Valor Unitário],"&lt;="&amp;D275),AVERAGE(C275,D275))
)</f>
        <v>---</v>
      </c>
      <c r="F275" s="12" t="str">
        <f t="array" ref="F275">IF(OR(B275="",B275="---"),"---",TRUNC(IFERROR(MODE(IF((tabDados[Descrição Padronizada]=B275)*(tabDados[Vida Útil (meses)]&lt;&gt;""),tabDados[Vida Útil (meses)],"-")),AVERAGEIFS(tabDados[Vida Útil (meses)],tabDados[Descrição Padronizada],B275))+0.5))</f>
        <v>---</v>
      </c>
      <c r="G275" s="13" t="str">
        <f>IF(OR(B275="",B275="---"),"---",TRUNC(IFERROR(AVERAGEIFS(tabDados[Manutenção (%)],tabDados[Descrição Padronizada],B275,tabDados[Manutenção (%)],"&gt;"&amp;0),0)*10000)/10000)</f>
        <v>---</v>
      </c>
      <c r="H275" s="24" t="str">
        <f>IF(OR(B275="---",B275=""),"---",COUNTIF(tabDados[[#All],[Descrição Padronizada]],B275))</f>
        <v>---</v>
      </c>
      <c r="I275" s="24" t="s">
        <v>20</v>
      </c>
    </row>
    <row r="276" spans="1:9" hidden="1" x14ac:dyDescent="0.35">
      <c r="A276" s="15">
        <v>274</v>
      </c>
      <c r="C276" s="16" t="str">
        <f t="array" ref="C276">IF(B276="","---",IFERROR(
   _xlfn.PERCENTILE.INC(
      IF((tabDados[Descrição Padronizada]=B276)*(tabDados[Valor Unitário]&lt;&gt;""),
         tabDados[Valor Unitário],""
      ),
   C$1),
   _xlfn.MINIFS(tabDados[Valor Unitário],tabDados[Descrição Padronizada],B276)
))</f>
        <v>---</v>
      </c>
      <c r="D276" s="16" t="str">
        <f t="array" ref="D276">IF(B276="","---",IFERROR(
   _xlfn.PERCENTILE.INC(
      IF((tabDados[Descrição Padronizada]=B276)*(tabDados[Valor Unitário]&lt;&gt;""),
         tabDados[Valor Unitário],""
      ),
   D$1),
   _xlfn.MAXIFS(tabDados[Valor Unitário],tabDados[Descrição Padronizada],B276)
))</f>
        <v>---</v>
      </c>
      <c r="E276" s="16" t="str">
        <f>IF(OR(B276="",B276="---"),"---",
   IFERROR(AVERAGEIFS(tabDados[Valor Unitário],tabDados[Descrição Padronizada],B276,tabDados[Valor Unitário],"&gt;="&amp;C276,tabDados[Valor Unitário],"&lt;="&amp;D276),AVERAGE(C276,D276))
)</f>
        <v>---</v>
      </c>
      <c r="F276" s="12" t="str">
        <f t="array" ref="F276">IF(OR(B276="",B276="---"),"---",TRUNC(IFERROR(MODE(IF((tabDados[Descrição Padronizada]=B276)*(tabDados[Vida Útil (meses)]&lt;&gt;""),tabDados[Vida Útil (meses)],"-")),AVERAGEIFS(tabDados[Vida Útil (meses)],tabDados[Descrição Padronizada],B276))+0.5))</f>
        <v>---</v>
      </c>
      <c r="G276" s="13" t="str">
        <f>IF(OR(B276="",B276="---"),"---",TRUNC(IFERROR(AVERAGEIFS(tabDados[Manutenção (%)],tabDados[Descrição Padronizada],B276,tabDados[Manutenção (%)],"&gt;"&amp;0),0)*10000)/10000)</f>
        <v>---</v>
      </c>
      <c r="H276" s="24" t="str">
        <f>IF(OR(B276="---",B276=""),"---",COUNTIF(tabDados[[#All],[Descrição Padronizada]],B276))</f>
        <v>---</v>
      </c>
      <c r="I276" s="24" t="s">
        <v>20</v>
      </c>
    </row>
    <row r="277" spans="1:9" hidden="1" x14ac:dyDescent="0.35">
      <c r="A277" s="15">
        <v>275</v>
      </c>
      <c r="C277" s="16" t="str">
        <f t="array" ref="C277">IF(B277="","---",IFERROR(
   _xlfn.PERCENTILE.INC(
      IF((tabDados[Descrição Padronizada]=B277)*(tabDados[Valor Unitário]&lt;&gt;""),
         tabDados[Valor Unitário],""
      ),
   C$1),
   _xlfn.MINIFS(tabDados[Valor Unitário],tabDados[Descrição Padronizada],B277)
))</f>
        <v>---</v>
      </c>
      <c r="D277" s="16" t="str">
        <f t="array" ref="D277">IF(B277="","---",IFERROR(
   _xlfn.PERCENTILE.INC(
      IF((tabDados[Descrição Padronizada]=B277)*(tabDados[Valor Unitário]&lt;&gt;""),
         tabDados[Valor Unitário],""
      ),
   D$1),
   _xlfn.MAXIFS(tabDados[Valor Unitário],tabDados[Descrição Padronizada],B277)
))</f>
        <v>---</v>
      </c>
      <c r="E277" s="16" t="str">
        <f>IF(OR(B277="",B277="---"),"---",
   IFERROR(AVERAGEIFS(tabDados[Valor Unitário],tabDados[Descrição Padronizada],B277,tabDados[Valor Unitário],"&gt;="&amp;C277,tabDados[Valor Unitário],"&lt;="&amp;D277),AVERAGE(C277,D277))
)</f>
        <v>---</v>
      </c>
      <c r="F277" s="12" t="str">
        <f t="array" ref="F277">IF(OR(B277="",B277="---"),"---",TRUNC(IFERROR(MODE(IF((tabDados[Descrição Padronizada]=B277)*(tabDados[Vida Útil (meses)]&lt;&gt;""),tabDados[Vida Útil (meses)],"-")),AVERAGEIFS(tabDados[Vida Útil (meses)],tabDados[Descrição Padronizada],B277))+0.5))</f>
        <v>---</v>
      </c>
      <c r="G277" s="13" t="str">
        <f>IF(OR(B277="",B277="---"),"---",TRUNC(IFERROR(AVERAGEIFS(tabDados[Manutenção (%)],tabDados[Descrição Padronizada],B277,tabDados[Manutenção (%)],"&gt;"&amp;0),0)*10000)/10000)</f>
        <v>---</v>
      </c>
      <c r="H277" s="24" t="str">
        <f>IF(OR(B277="---",B277=""),"---",COUNTIF(tabDados[[#All],[Descrição Padronizada]],B277))</f>
        <v>---</v>
      </c>
      <c r="I277" s="24" t="s">
        <v>20</v>
      </c>
    </row>
    <row r="278" spans="1:9" hidden="1" x14ac:dyDescent="0.35">
      <c r="A278" s="15">
        <v>276</v>
      </c>
      <c r="C278" s="16" t="str">
        <f t="array" ref="C278">IF(B278="","---",IFERROR(
   _xlfn.PERCENTILE.INC(
      IF((tabDados[Descrição Padronizada]=B278)*(tabDados[Valor Unitário]&lt;&gt;""),
         tabDados[Valor Unitário],""
      ),
   C$1),
   _xlfn.MINIFS(tabDados[Valor Unitário],tabDados[Descrição Padronizada],B278)
))</f>
        <v>---</v>
      </c>
      <c r="D278" s="16" t="str">
        <f t="array" ref="D278">IF(B278="","---",IFERROR(
   _xlfn.PERCENTILE.INC(
      IF((tabDados[Descrição Padronizada]=B278)*(tabDados[Valor Unitário]&lt;&gt;""),
         tabDados[Valor Unitário],""
      ),
   D$1),
   _xlfn.MAXIFS(tabDados[Valor Unitário],tabDados[Descrição Padronizada],B278)
))</f>
        <v>---</v>
      </c>
      <c r="E278" s="16" t="str">
        <f>IF(OR(B278="",B278="---"),"---",
   IFERROR(AVERAGEIFS(tabDados[Valor Unitário],tabDados[Descrição Padronizada],B278,tabDados[Valor Unitário],"&gt;="&amp;C278,tabDados[Valor Unitário],"&lt;="&amp;D278),AVERAGE(C278,D278))
)</f>
        <v>---</v>
      </c>
      <c r="F278" s="12" t="str">
        <f t="array" ref="F278">IF(OR(B278="",B278="---"),"---",TRUNC(IFERROR(MODE(IF((tabDados[Descrição Padronizada]=B278)*(tabDados[Vida Útil (meses)]&lt;&gt;""),tabDados[Vida Útil (meses)],"-")),AVERAGEIFS(tabDados[Vida Útil (meses)],tabDados[Descrição Padronizada],B278))+0.5))</f>
        <v>---</v>
      </c>
      <c r="G278" s="13" t="str">
        <f>IF(OR(B278="",B278="---"),"---",TRUNC(IFERROR(AVERAGEIFS(tabDados[Manutenção (%)],tabDados[Descrição Padronizada],B278,tabDados[Manutenção (%)],"&gt;"&amp;0),0)*10000)/10000)</f>
        <v>---</v>
      </c>
      <c r="H278" s="24" t="str">
        <f>IF(OR(B278="---",B278=""),"---",COUNTIF(tabDados[[#All],[Descrição Padronizada]],B278))</f>
        <v>---</v>
      </c>
      <c r="I278" s="24" t="s">
        <v>20</v>
      </c>
    </row>
    <row r="279" spans="1:9" hidden="1" x14ac:dyDescent="0.35">
      <c r="A279" s="15">
        <v>277</v>
      </c>
      <c r="C279" s="16" t="str">
        <f t="array" ref="C279">IF(B279="","---",IFERROR(
   _xlfn.PERCENTILE.INC(
      IF((tabDados[Descrição Padronizada]=B279)*(tabDados[Valor Unitário]&lt;&gt;""),
         tabDados[Valor Unitário],""
      ),
   C$1),
   _xlfn.MINIFS(tabDados[Valor Unitário],tabDados[Descrição Padronizada],B279)
))</f>
        <v>---</v>
      </c>
      <c r="D279" s="16" t="str">
        <f t="array" ref="D279">IF(B279="","---",IFERROR(
   _xlfn.PERCENTILE.INC(
      IF((tabDados[Descrição Padronizada]=B279)*(tabDados[Valor Unitário]&lt;&gt;""),
         tabDados[Valor Unitário],""
      ),
   D$1),
   _xlfn.MAXIFS(tabDados[Valor Unitário],tabDados[Descrição Padronizada],B279)
))</f>
        <v>---</v>
      </c>
      <c r="E279" s="16" t="str">
        <f>IF(OR(B279="",B279="---"),"---",
   IFERROR(AVERAGEIFS(tabDados[Valor Unitário],tabDados[Descrição Padronizada],B279,tabDados[Valor Unitário],"&gt;="&amp;C279,tabDados[Valor Unitário],"&lt;="&amp;D279),AVERAGE(C279,D279))
)</f>
        <v>---</v>
      </c>
      <c r="F279" s="12" t="str">
        <f t="array" ref="F279">IF(OR(B279="",B279="---"),"---",TRUNC(IFERROR(MODE(IF((tabDados[Descrição Padronizada]=B279)*(tabDados[Vida Útil (meses)]&lt;&gt;""),tabDados[Vida Útil (meses)],"-")),AVERAGEIFS(tabDados[Vida Útil (meses)],tabDados[Descrição Padronizada],B279))+0.5))</f>
        <v>---</v>
      </c>
      <c r="G279" s="13" t="str">
        <f>IF(OR(B279="",B279="---"),"---",TRUNC(IFERROR(AVERAGEIFS(tabDados[Manutenção (%)],tabDados[Descrição Padronizada],B279,tabDados[Manutenção (%)],"&gt;"&amp;0),0)*10000)/10000)</f>
        <v>---</v>
      </c>
      <c r="H279" s="24" t="str">
        <f>IF(OR(B279="---",B279=""),"---",COUNTIF(tabDados[[#All],[Descrição Padronizada]],B279))</f>
        <v>---</v>
      </c>
      <c r="I279" s="24" t="s">
        <v>20</v>
      </c>
    </row>
    <row r="280" spans="1:9" hidden="1" x14ac:dyDescent="0.35">
      <c r="A280" s="15">
        <v>278</v>
      </c>
      <c r="C280" s="16" t="str">
        <f t="array" ref="C280">IF(B280="","---",IFERROR(
   _xlfn.PERCENTILE.INC(
      IF((tabDados[Descrição Padronizada]=B280)*(tabDados[Valor Unitário]&lt;&gt;""),
         tabDados[Valor Unitário],""
      ),
   C$1),
   _xlfn.MINIFS(tabDados[Valor Unitário],tabDados[Descrição Padronizada],B280)
))</f>
        <v>---</v>
      </c>
      <c r="D280" s="16" t="str">
        <f t="array" ref="D280">IF(B280="","---",IFERROR(
   _xlfn.PERCENTILE.INC(
      IF((tabDados[Descrição Padronizada]=B280)*(tabDados[Valor Unitário]&lt;&gt;""),
         tabDados[Valor Unitário],""
      ),
   D$1),
   _xlfn.MAXIFS(tabDados[Valor Unitário],tabDados[Descrição Padronizada],B280)
))</f>
        <v>---</v>
      </c>
      <c r="E280" s="16" t="str">
        <f>IF(OR(B280="",B280="---"),"---",
   IFERROR(AVERAGEIFS(tabDados[Valor Unitário],tabDados[Descrição Padronizada],B280,tabDados[Valor Unitário],"&gt;="&amp;C280,tabDados[Valor Unitário],"&lt;="&amp;D280),AVERAGE(C280,D280))
)</f>
        <v>---</v>
      </c>
      <c r="F280" s="12" t="str">
        <f t="array" ref="F280">IF(OR(B280="",B280="---"),"---",TRUNC(IFERROR(MODE(IF((tabDados[Descrição Padronizada]=B280)*(tabDados[Vida Útil (meses)]&lt;&gt;""),tabDados[Vida Útil (meses)],"-")),AVERAGEIFS(tabDados[Vida Útil (meses)],tabDados[Descrição Padronizada],B280))+0.5))</f>
        <v>---</v>
      </c>
      <c r="G280" s="13" t="str">
        <f>IF(OR(B280="",B280="---"),"---",TRUNC(IFERROR(AVERAGEIFS(tabDados[Manutenção (%)],tabDados[Descrição Padronizada],B280,tabDados[Manutenção (%)],"&gt;"&amp;0),0)*10000)/10000)</f>
        <v>---</v>
      </c>
      <c r="H280" s="24" t="str">
        <f>IF(OR(B280="---",B280=""),"---",COUNTIF(tabDados[[#All],[Descrição Padronizada]],B280))</f>
        <v>---</v>
      </c>
      <c r="I280" s="24" t="s">
        <v>20</v>
      </c>
    </row>
    <row r="281" spans="1:9" hidden="1" x14ac:dyDescent="0.35">
      <c r="A281" s="15">
        <v>279</v>
      </c>
      <c r="C281" s="16" t="str">
        <f t="array" ref="C281">IF(B281="","---",IFERROR(
   _xlfn.PERCENTILE.INC(
      IF((tabDados[Descrição Padronizada]=B281)*(tabDados[Valor Unitário]&lt;&gt;""),
         tabDados[Valor Unitário],""
      ),
   C$1),
   _xlfn.MINIFS(tabDados[Valor Unitário],tabDados[Descrição Padronizada],B281)
))</f>
        <v>---</v>
      </c>
      <c r="D281" s="16" t="str">
        <f t="array" ref="D281">IF(B281="","---",IFERROR(
   _xlfn.PERCENTILE.INC(
      IF((tabDados[Descrição Padronizada]=B281)*(tabDados[Valor Unitário]&lt;&gt;""),
         tabDados[Valor Unitário],""
      ),
   D$1),
   _xlfn.MAXIFS(tabDados[Valor Unitário],tabDados[Descrição Padronizada],B281)
))</f>
        <v>---</v>
      </c>
      <c r="E281" s="16" t="str">
        <f>IF(OR(B281="",B281="---"),"---",
   IFERROR(AVERAGEIFS(tabDados[Valor Unitário],tabDados[Descrição Padronizada],B281,tabDados[Valor Unitário],"&gt;="&amp;C281,tabDados[Valor Unitário],"&lt;="&amp;D281),AVERAGE(C281,D281))
)</f>
        <v>---</v>
      </c>
      <c r="F281" s="12" t="str">
        <f t="array" ref="F281">IF(OR(B281="",B281="---"),"---",TRUNC(IFERROR(MODE(IF((tabDados[Descrição Padronizada]=B281)*(tabDados[Vida Útil (meses)]&lt;&gt;""),tabDados[Vida Útil (meses)],"-")),AVERAGEIFS(tabDados[Vida Útil (meses)],tabDados[Descrição Padronizada],B281))+0.5))</f>
        <v>---</v>
      </c>
      <c r="G281" s="13" t="str">
        <f>IF(OR(B281="",B281="---"),"---",TRUNC(IFERROR(AVERAGEIFS(tabDados[Manutenção (%)],tabDados[Descrição Padronizada],B281,tabDados[Manutenção (%)],"&gt;"&amp;0),0)*10000)/10000)</f>
        <v>---</v>
      </c>
      <c r="H281" s="24" t="str">
        <f>IF(OR(B281="---",B281=""),"---",COUNTIF(tabDados[[#All],[Descrição Padronizada]],B281))</f>
        <v>---</v>
      </c>
      <c r="I281" s="24" t="s">
        <v>20</v>
      </c>
    </row>
    <row r="282" spans="1:9" hidden="1" x14ac:dyDescent="0.35">
      <c r="A282" s="15">
        <v>280</v>
      </c>
      <c r="C282" s="16" t="str">
        <f t="array" ref="C282">IF(B282="","---",IFERROR(
   _xlfn.PERCENTILE.INC(
      IF((tabDados[Descrição Padronizada]=B282)*(tabDados[Valor Unitário]&lt;&gt;""),
         tabDados[Valor Unitário],""
      ),
   C$1),
   _xlfn.MINIFS(tabDados[Valor Unitário],tabDados[Descrição Padronizada],B282)
))</f>
        <v>---</v>
      </c>
      <c r="D282" s="16" t="str">
        <f t="array" ref="D282">IF(B282="","---",IFERROR(
   _xlfn.PERCENTILE.INC(
      IF((tabDados[Descrição Padronizada]=B282)*(tabDados[Valor Unitário]&lt;&gt;""),
         tabDados[Valor Unitário],""
      ),
   D$1),
   _xlfn.MAXIFS(tabDados[Valor Unitário],tabDados[Descrição Padronizada],B282)
))</f>
        <v>---</v>
      </c>
      <c r="E282" s="16" t="str">
        <f>IF(OR(B282="",B282="---"),"---",
   IFERROR(AVERAGEIFS(tabDados[Valor Unitário],tabDados[Descrição Padronizada],B282,tabDados[Valor Unitário],"&gt;="&amp;C282,tabDados[Valor Unitário],"&lt;="&amp;D282),AVERAGE(C282,D282))
)</f>
        <v>---</v>
      </c>
      <c r="F282" s="12" t="str">
        <f t="array" ref="F282">IF(OR(B282="",B282="---"),"---",TRUNC(IFERROR(MODE(IF((tabDados[Descrição Padronizada]=B282)*(tabDados[Vida Útil (meses)]&lt;&gt;""),tabDados[Vida Útil (meses)],"-")),AVERAGEIFS(tabDados[Vida Útil (meses)],tabDados[Descrição Padronizada],B282))+0.5))</f>
        <v>---</v>
      </c>
      <c r="G282" s="13" t="str">
        <f>IF(OR(B282="",B282="---"),"---",TRUNC(IFERROR(AVERAGEIFS(tabDados[Manutenção (%)],tabDados[Descrição Padronizada],B282,tabDados[Manutenção (%)],"&gt;"&amp;0),0)*10000)/10000)</f>
        <v>---</v>
      </c>
      <c r="H282" s="24" t="str">
        <f>IF(OR(B282="---",B282=""),"---",COUNTIF(tabDados[[#All],[Descrição Padronizada]],B282))</f>
        <v>---</v>
      </c>
      <c r="I282" s="24" t="s">
        <v>20</v>
      </c>
    </row>
    <row r="283" spans="1:9" hidden="1" x14ac:dyDescent="0.35">
      <c r="A283" s="15">
        <v>281</v>
      </c>
      <c r="C283" s="16" t="str">
        <f t="array" ref="C283">IF(B283="","---",IFERROR(
   _xlfn.PERCENTILE.INC(
      IF((tabDados[Descrição Padronizada]=B283)*(tabDados[Valor Unitário]&lt;&gt;""),
         tabDados[Valor Unitário],""
      ),
   C$1),
   _xlfn.MINIFS(tabDados[Valor Unitário],tabDados[Descrição Padronizada],B283)
))</f>
        <v>---</v>
      </c>
      <c r="D283" s="16" t="str">
        <f t="array" ref="D283">IF(B283="","---",IFERROR(
   _xlfn.PERCENTILE.INC(
      IF((tabDados[Descrição Padronizada]=B283)*(tabDados[Valor Unitário]&lt;&gt;""),
         tabDados[Valor Unitário],""
      ),
   D$1),
   _xlfn.MAXIFS(tabDados[Valor Unitário],tabDados[Descrição Padronizada],B283)
))</f>
        <v>---</v>
      </c>
      <c r="E283" s="16" t="str">
        <f>IF(OR(B283="",B283="---"),"---",
   IFERROR(AVERAGEIFS(tabDados[Valor Unitário],tabDados[Descrição Padronizada],B283,tabDados[Valor Unitário],"&gt;="&amp;C283,tabDados[Valor Unitário],"&lt;="&amp;D283),AVERAGE(C283,D283))
)</f>
        <v>---</v>
      </c>
      <c r="F283" s="12" t="str">
        <f t="array" ref="F283">IF(OR(B283="",B283="---"),"---",TRUNC(IFERROR(MODE(IF((tabDados[Descrição Padronizada]=B283)*(tabDados[Vida Útil (meses)]&lt;&gt;""),tabDados[Vida Útil (meses)],"-")),AVERAGEIFS(tabDados[Vida Útil (meses)],tabDados[Descrição Padronizada],B283))+0.5))</f>
        <v>---</v>
      </c>
      <c r="G283" s="13" t="str">
        <f>IF(OR(B283="",B283="---"),"---",TRUNC(IFERROR(AVERAGEIFS(tabDados[Manutenção (%)],tabDados[Descrição Padronizada],B283,tabDados[Manutenção (%)],"&gt;"&amp;0),0)*10000)/10000)</f>
        <v>---</v>
      </c>
      <c r="H283" s="24" t="str">
        <f>IF(OR(B283="---",B283=""),"---",COUNTIF(tabDados[[#All],[Descrição Padronizada]],B283))</f>
        <v>---</v>
      </c>
      <c r="I283" s="24" t="s">
        <v>20</v>
      </c>
    </row>
    <row r="284" spans="1:9" hidden="1" x14ac:dyDescent="0.35">
      <c r="A284" s="15">
        <v>282</v>
      </c>
      <c r="C284" s="16" t="str">
        <f t="array" ref="C284">IF(B284="","---",IFERROR(
   _xlfn.PERCENTILE.INC(
      IF((tabDados[Descrição Padronizada]=B284)*(tabDados[Valor Unitário]&lt;&gt;""),
         tabDados[Valor Unitário],""
      ),
   C$1),
   _xlfn.MINIFS(tabDados[Valor Unitário],tabDados[Descrição Padronizada],B284)
))</f>
        <v>---</v>
      </c>
      <c r="D284" s="16" t="str">
        <f t="array" ref="D284">IF(B284="","---",IFERROR(
   _xlfn.PERCENTILE.INC(
      IF((tabDados[Descrição Padronizada]=B284)*(tabDados[Valor Unitário]&lt;&gt;""),
         tabDados[Valor Unitário],""
      ),
   D$1),
   _xlfn.MAXIFS(tabDados[Valor Unitário],tabDados[Descrição Padronizada],B284)
))</f>
        <v>---</v>
      </c>
      <c r="E284" s="16" t="str">
        <f>IF(OR(B284="",B284="---"),"---",
   IFERROR(AVERAGEIFS(tabDados[Valor Unitário],tabDados[Descrição Padronizada],B284,tabDados[Valor Unitário],"&gt;="&amp;C284,tabDados[Valor Unitário],"&lt;="&amp;D284),AVERAGE(C284,D284))
)</f>
        <v>---</v>
      </c>
      <c r="F284" s="12" t="str">
        <f t="array" ref="F284">IF(OR(B284="",B284="---"),"---",TRUNC(IFERROR(MODE(IF((tabDados[Descrição Padronizada]=B284)*(tabDados[Vida Útil (meses)]&lt;&gt;""),tabDados[Vida Útil (meses)],"-")),AVERAGEIFS(tabDados[Vida Útil (meses)],tabDados[Descrição Padronizada],B284))+0.5))</f>
        <v>---</v>
      </c>
      <c r="G284" s="13" t="str">
        <f>IF(OR(B284="",B284="---"),"---",TRUNC(IFERROR(AVERAGEIFS(tabDados[Manutenção (%)],tabDados[Descrição Padronizada],B284,tabDados[Manutenção (%)],"&gt;"&amp;0),0)*10000)/10000)</f>
        <v>---</v>
      </c>
      <c r="H284" s="24" t="str">
        <f>IF(OR(B284="---",B284=""),"---",COUNTIF(tabDados[[#All],[Descrição Padronizada]],B284))</f>
        <v>---</v>
      </c>
      <c r="I284" s="24" t="s">
        <v>20</v>
      </c>
    </row>
    <row r="285" spans="1:9" hidden="1" x14ac:dyDescent="0.35">
      <c r="A285" s="15">
        <v>283</v>
      </c>
      <c r="C285" s="16" t="str">
        <f t="array" ref="C285">IF(B285="","---",IFERROR(
   _xlfn.PERCENTILE.INC(
      IF((tabDados[Descrição Padronizada]=B285)*(tabDados[Valor Unitário]&lt;&gt;""),
         tabDados[Valor Unitário],""
      ),
   C$1),
   _xlfn.MINIFS(tabDados[Valor Unitário],tabDados[Descrição Padronizada],B285)
))</f>
        <v>---</v>
      </c>
      <c r="D285" s="16" t="str">
        <f t="array" ref="D285">IF(B285="","---",IFERROR(
   _xlfn.PERCENTILE.INC(
      IF((tabDados[Descrição Padronizada]=B285)*(tabDados[Valor Unitário]&lt;&gt;""),
         tabDados[Valor Unitário],""
      ),
   D$1),
   _xlfn.MAXIFS(tabDados[Valor Unitário],tabDados[Descrição Padronizada],B285)
))</f>
        <v>---</v>
      </c>
      <c r="E285" s="16" t="str">
        <f>IF(OR(B285="",B285="---"),"---",
   IFERROR(AVERAGEIFS(tabDados[Valor Unitário],tabDados[Descrição Padronizada],B285,tabDados[Valor Unitário],"&gt;="&amp;C285,tabDados[Valor Unitário],"&lt;="&amp;D285),AVERAGE(C285,D285))
)</f>
        <v>---</v>
      </c>
      <c r="F285" s="12" t="str">
        <f t="array" ref="F285">IF(OR(B285="",B285="---"),"---",TRUNC(IFERROR(MODE(IF((tabDados[Descrição Padronizada]=B285)*(tabDados[Vida Útil (meses)]&lt;&gt;""),tabDados[Vida Útil (meses)],"-")),AVERAGEIFS(tabDados[Vida Útil (meses)],tabDados[Descrição Padronizada],B285))+0.5))</f>
        <v>---</v>
      </c>
      <c r="G285" s="13" t="str">
        <f>IF(OR(B285="",B285="---"),"---",TRUNC(IFERROR(AVERAGEIFS(tabDados[Manutenção (%)],tabDados[Descrição Padronizada],B285,tabDados[Manutenção (%)],"&gt;"&amp;0),0)*10000)/10000)</f>
        <v>---</v>
      </c>
      <c r="H285" s="24" t="str">
        <f>IF(OR(B285="---",B285=""),"---",COUNTIF(tabDados[[#All],[Descrição Padronizada]],B285))</f>
        <v>---</v>
      </c>
      <c r="I285" s="24" t="s">
        <v>20</v>
      </c>
    </row>
    <row r="286" spans="1:9" hidden="1" x14ac:dyDescent="0.35">
      <c r="A286" s="15">
        <v>284</v>
      </c>
      <c r="C286" s="16" t="str">
        <f t="array" ref="C286">IF(B286="","---",IFERROR(
   _xlfn.PERCENTILE.INC(
      IF((tabDados[Descrição Padronizada]=B286)*(tabDados[Valor Unitário]&lt;&gt;""),
         tabDados[Valor Unitário],""
      ),
   C$1),
   _xlfn.MINIFS(tabDados[Valor Unitário],tabDados[Descrição Padronizada],B286)
))</f>
        <v>---</v>
      </c>
      <c r="D286" s="16" t="str">
        <f t="array" ref="D286">IF(B286="","---",IFERROR(
   _xlfn.PERCENTILE.INC(
      IF((tabDados[Descrição Padronizada]=B286)*(tabDados[Valor Unitário]&lt;&gt;""),
         tabDados[Valor Unitário],""
      ),
   D$1),
   _xlfn.MAXIFS(tabDados[Valor Unitário],tabDados[Descrição Padronizada],B286)
))</f>
        <v>---</v>
      </c>
      <c r="E286" s="16" t="str">
        <f>IF(OR(B286="",B286="---"),"---",
   IFERROR(AVERAGEIFS(tabDados[Valor Unitário],tabDados[Descrição Padronizada],B286,tabDados[Valor Unitário],"&gt;="&amp;C286,tabDados[Valor Unitário],"&lt;="&amp;D286),AVERAGE(C286,D286))
)</f>
        <v>---</v>
      </c>
      <c r="F286" s="12" t="str">
        <f t="array" ref="F286">IF(OR(B286="",B286="---"),"---",TRUNC(IFERROR(MODE(IF((tabDados[Descrição Padronizada]=B286)*(tabDados[Vida Útil (meses)]&lt;&gt;""),tabDados[Vida Útil (meses)],"-")),AVERAGEIFS(tabDados[Vida Útil (meses)],tabDados[Descrição Padronizada],B286))+0.5))</f>
        <v>---</v>
      </c>
      <c r="G286" s="13" t="str">
        <f>IF(OR(B286="",B286="---"),"---",TRUNC(IFERROR(AVERAGEIFS(tabDados[Manutenção (%)],tabDados[Descrição Padronizada],B286,tabDados[Manutenção (%)],"&gt;"&amp;0),0)*10000)/10000)</f>
        <v>---</v>
      </c>
      <c r="H286" s="24" t="str">
        <f>IF(OR(B286="---",B286=""),"---",COUNTIF(tabDados[[#All],[Descrição Padronizada]],B286))</f>
        <v>---</v>
      </c>
      <c r="I286" s="24" t="s">
        <v>20</v>
      </c>
    </row>
    <row r="287" spans="1:9" hidden="1" x14ac:dyDescent="0.35">
      <c r="A287" s="15">
        <v>285</v>
      </c>
      <c r="C287" s="16" t="str">
        <f t="array" ref="C287">IF(B287="","---",IFERROR(
   _xlfn.PERCENTILE.INC(
      IF((tabDados[Descrição Padronizada]=B287)*(tabDados[Valor Unitário]&lt;&gt;""),
         tabDados[Valor Unitário],""
      ),
   C$1),
   _xlfn.MINIFS(tabDados[Valor Unitário],tabDados[Descrição Padronizada],B287)
))</f>
        <v>---</v>
      </c>
      <c r="D287" s="16" t="str">
        <f t="array" ref="D287">IF(B287="","---",IFERROR(
   _xlfn.PERCENTILE.INC(
      IF((tabDados[Descrição Padronizada]=B287)*(tabDados[Valor Unitário]&lt;&gt;""),
         tabDados[Valor Unitário],""
      ),
   D$1),
   _xlfn.MAXIFS(tabDados[Valor Unitário],tabDados[Descrição Padronizada],B287)
))</f>
        <v>---</v>
      </c>
      <c r="E287" s="16" t="str">
        <f>IF(OR(B287="",B287="---"),"---",
   IFERROR(AVERAGEIFS(tabDados[Valor Unitário],tabDados[Descrição Padronizada],B287,tabDados[Valor Unitário],"&gt;="&amp;C287,tabDados[Valor Unitário],"&lt;="&amp;D287),AVERAGE(C287,D287))
)</f>
        <v>---</v>
      </c>
      <c r="F287" s="12" t="str">
        <f t="array" ref="F287">IF(OR(B287="",B287="---"),"---",TRUNC(IFERROR(MODE(IF((tabDados[Descrição Padronizada]=B287)*(tabDados[Vida Útil (meses)]&lt;&gt;""),tabDados[Vida Útil (meses)],"-")),AVERAGEIFS(tabDados[Vida Útil (meses)],tabDados[Descrição Padronizada],B287))+0.5))</f>
        <v>---</v>
      </c>
      <c r="G287" s="13" t="str">
        <f>IF(OR(B287="",B287="---"),"---",TRUNC(IFERROR(AVERAGEIFS(tabDados[Manutenção (%)],tabDados[Descrição Padronizada],B287,tabDados[Manutenção (%)],"&gt;"&amp;0),0)*10000)/10000)</f>
        <v>---</v>
      </c>
      <c r="H287" s="24" t="str">
        <f>IF(OR(B287="---",B287=""),"---",COUNTIF(tabDados[[#All],[Descrição Padronizada]],B287))</f>
        <v>---</v>
      </c>
      <c r="I287" s="24" t="s">
        <v>20</v>
      </c>
    </row>
    <row r="288" spans="1:9" hidden="1" x14ac:dyDescent="0.35">
      <c r="A288" s="15">
        <v>286</v>
      </c>
      <c r="C288" s="16" t="str">
        <f t="array" ref="C288">IF(B288="","---",IFERROR(
   _xlfn.PERCENTILE.INC(
      IF((tabDados[Descrição Padronizada]=B288)*(tabDados[Valor Unitário]&lt;&gt;""),
         tabDados[Valor Unitário],""
      ),
   C$1),
   _xlfn.MINIFS(tabDados[Valor Unitário],tabDados[Descrição Padronizada],B288)
))</f>
        <v>---</v>
      </c>
      <c r="D288" s="16" t="str">
        <f t="array" ref="D288">IF(B288="","---",IFERROR(
   _xlfn.PERCENTILE.INC(
      IF((tabDados[Descrição Padronizada]=B288)*(tabDados[Valor Unitário]&lt;&gt;""),
         tabDados[Valor Unitário],""
      ),
   D$1),
   _xlfn.MAXIFS(tabDados[Valor Unitário],tabDados[Descrição Padronizada],B288)
))</f>
        <v>---</v>
      </c>
      <c r="E288" s="16" t="str">
        <f>IF(OR(B288="",B288="---"),"---",
   IFERROR(AVERAGEIFS(tabDados[Valor Unitário],tabDados[Descrição Padronizada],B288,tabDados[Valor Unitário],"&gt;="&amp;C288,tabDados[Valor Unitário],"&lt;="&amp;D288),AVERAGE(C288,D288))
)</f>
        <v>---</v>
      </c>
      <c r="F288" s="12" t="str">
        <f t="array" ref="F288">IF(OR(B288="",B288="---"),"---",TRUNC(IFERROR(MODE(IF((tabDados[Descrição Padronizada]=B288)*(tabDados[Vida Útil (meses)]&lt;&gt;""),tabDados[Vida Útil (meses)],"-")),AVERAGEIFS(tabDados[Vida Útil (meses)],tabDados[Descrição Padronizada],B288))+0.5))</f>
        <v>---</v>
      </c>
      <c r="G288" s="13" t="str">
        <f>IF(OR(B288="",B288="---"),"---",TRUNC(IFERROR(AVERAGEIFS(tabDados[Manutenção (%)],tabDados[Descrição Padronizada],B288,tabDados[Manutenção (%)],"&gt;"&amp;0),0)*10000)/10000)</f>
        <v>---</v>
      </c>
      <c r="H288" s="24" t="str">
        <f>IF(OR(B288="---",B288=""),"---",COUNTIF(tabDados[[#All],[Descrição Padronizada]],B288))</f>
        <v>---</v>
      </c>
      <c r="I288" s="24" t="s">
        <v>20</v>
      </c>
    </row>
    <row r="289" spans="1:9" hidden="1" x14ac:dyDescent="0.35">
      <c r="A289" s="15">
        <v>287</v>
      </c>
      <c r="C289" s="16" t="str">
        <f t="array" ref="C289">IF(B289="","---",IFERROR(
   _xlfn.PERCENTILE.INC(
      IF((tabDados[Descrição Padronizada]=B289)*(tabDados[Valor Unitário]&lt;&gt;""),
         tabDados[Valor Unitário],""
      ),
   C$1),
   _xlfn.MINIFS(tabDados[Valor Unitário],tabDados[Descrição Padronizada],B289)
))</f>
        <v>---</v>
      </c>
      <c r="D289" s="16" t="str">
        <f t="array" ref="D289">IF(B289="","---",IFERROR(
   _xlfn.PERCENTILE.INC(
      IF((tabDados[Descrição Padronizada]=B289)*(tabDados[Valor Unitário]&lt;&gt;""),
         tabDados[Valor Unitário],""
      ),
   D$1),
   _xlfn.MAXIFS(tabDados[Valor Unitário],tabDados[Descrição Padronizada],B289)
))</f>
        <v>---</v>
      </c>
      <c r="E289" s="16" t="str">
        <f>IF(OR(B289="",B289="---"),"---",
   IFERROR(AVERAGEIFS(tabDados[Valor Unitário],tabDados[Descrição Padronizada],B289,tabDados[Valor Unitário],"&gt;="&amp;C289,tabDados[Valor Unitário],"&lt;="&amp;D289),AVERAGE(C289,D289))
)</f>
        <v>---</v>
      </c>
      <c r="F289" s="12" t="str">
        <f t="array" ref="F289">IF(OR(B289="",B289="---"),"---",TRUNC(IFERROR(MODE(IF((tabDados[Descrição Padronizada]=B289)*(tabDados[Vida Útil (meses)]&lt;&gt;""),tabDados[Vida Útil (meses)],"-")),AVERAGEIFS(tabDados[Vida Útil (meses)],tabDados[Descrição Padronizada],B289))+0.5))</f>
        <v>---</v>
      </c>
      <c r="G289" s="13" t="str">
        <f>IF(OR(B289="",B289="---"),"---",TRUNC(IFERROR(AVERAGEIFS(tabDados[Manutenção (%)],tabDados[Descrição Padronizada],B289,tabDados[Manutenção (%)],"&gt;"&amp;0),0)*10000)/10000)</f>
        <v>---</v>
      </c>
      <c r="H289" s="24" t="str">
        <f>IF(OR(B289="---",B289=""),"---",COUNTIF(tabDados[[#All],[Descrição Padronizada]],B289))</f>
        <v>---</v>
      </c>
      <c r="I289" s="24" t="s">
        <v>20</v>
      </c>
    </row>
    <row r="290" spans="1:9" hidden="1" x14ac:dyDescent="0.35">
      <c r="A290" s="15">
        <v>288</v>
      </c>
      <c r="C290" s="16" t="str">
        <f t="array" ref="C290">IF(B290="","---",IFERROR(
   _xlfn.PERCENTILE.INC(
      IF((tabDados[Descrição Padronizada]=B290)*(tabDados[Valor Unitário]&lt;&gt;""),
         tabDados[Valor Unitário],""
      ),
   C$1),
   _xlfn.MINIFS(tabDados[Valor Unitário],tabDados[Descrição Padronizada],B290)
))</f>
        <v>---</v>
      </c>
      <c r="D290" s="16" t="str">
        <f t="array" ref="D290">IF(B290="","---",IFERROR(
   _xlfn.PERCENTILE.INC(
      IF((tabDados[Descrição Padronizada]=B290)*(tabDados[Valor Unitário]&lt;&gt;""),
         tabDados[Valor Unitário],""
      ),
   D$1),
   _xlfn.MAXIFS(tabDados[Valor Unitário],tabDados[Descrição Padronizada],B290)
))</f>
        <v>---</v>
      </c>
      <c r="E290" s="16" t="str">
        <f>IF(OR(B290="",B290="---"),"---",
   IFERROR(AVERAGEIFS(tabDados[Valor Unitário],tabDados[Descrição Padronizada],B290,tabDados[Valor Unitário],"&gt;="&amp;C290,tabDados[Valor Unitário],"&lt;="&amp;D290),AVERAGE(C290,D290))
)</f>
        <v>---</v>
      </c>
      <c r="F290" s="12" t="str">
        <f t="array" ref="F290">IF(OR(B290="",B290="---"),"---",TRUNC(IFERROR(MODE(IF((tabDados[Descrição Padronizada]=B290)*(tabDados[Vida Útil (meses)]&lt;&gt;""),tabDados[Vida Útil (meses)],"-")),AVERAGEIFS(tabDados[Vida Útil (meses)],tabDados[Descrição Padronizada],B290))+0.5))</f>
        <v>---</v>
      </c>
      <c r="G290" s="13" t="str">
        <f>IF(OR(B290="",B290="---"),"---",TRUNC(IFERROR(AVERAGEIFS(tabDados[Manutenção (%)],tabDados[Descrição Padronizada],B290,tabDados[Manutenção (%)],"&gt;"&amp;0),0)*10000)/10000)</f>
        <v>---</v>
      </c>
      <c r="H290" s="24" t="str">
        <f>IF(OR(B290="---",B290=""),"---",COUNTIF(tabDados[[#All],[Descrição Padronizada]],B290))</f>
        <v>---</v>
      </c>
      <c r="I290" s="24" t="s">
        <v>20</v>
      </c>
    </row>
    <row r="291" spans="1:9" hidden="1" x14ac:dyDescent="0.35">
      <c r="A291" s="15">
        <v>289</v>
      </c>
      <c r="C291" s="16" t="str">
        <f t="array" ref="C291">IF(B291="","---",IFERROR(
   _xlfn.PERCENTILE.INC(
      IF((tabDados[Descrição Padronizada]=B291)*(tabDados[Valor Unitário]&lt;&gt;""),
         tabDados[Valor Unitário],""
      ),
   C$1),
   _xlfn.MINIFS(tabDados[Valor Unitário],tabDados[Descrição Padronizada],B291)
))</f>
        <v>---</v>
      </c>
      <c r="D291" s="16" t="str">
        <f t="array" ref="D291">IF(B291="","---",IFERROR(
   _xlfn.PERCENTILE.INC(
      IF((tabDados[Descrição Padronizada]=B291)*(tabDados[Valor Unitário]&lt;&gt;""),
         tabDados[Valor Unitário],""
      ),
   D$1),
   _xlfn.MAXIFS(tabDados[Valor Unitário],tabDados[Descrição Padronizada],B291)
))</f>
        <v>---</v>
      </c>
      <c r="E291" s="16" t="str">
        <f>IF(OR(B291="",B291="---"),"---",
   IFERROR(AVERAGEIFS(tabDados[Valor Unitário],tabDados[Descrição Padronizada],B291,tabDados[Valor Unitário],"&gt;="&amp;C291,tabDados[Valor Unitário],"&lt;="&amp;D291),AVERAGE(C291,D291))
)</f>
        <v>---</v>
      </c>
      <c r="F291" s="12" t="str">
        <f t="array" ref="F291">IF(OR(B291="",B291="---"),"---",TRUNC(IFERROR(MODE(IF((tabDados[Descrição Padronizada]=B291)*(tabDados[Vida Útil (meses)]&lt;&gt;""),tabDados[Vida Útil (meses)],"-")),AVERAGEIFS(tabDados[Vida Útil (meses)],tabDados[Descrição Padronizada],B291))+0.5))</f>
        <v>---</v>
      </c>
      <c r="G291" s="13" t="str">
        <f>IF(OR(B291="",B291="---"),"---",TRUNC(IFERROR(AVERAGEIFS(tabDados[Manutenção (%)],tabDados[Descrição Padronizada],B291,tabDados[Manutenção (%)],"&gt;"&amp;0),0)*10000)/10000)</f>
        <v>---</v>
      </c>
      <c r="H291" s="24" t="str">
        <f>IF(OR(B291="---",B291=""),"---",COUNTIF(tabDados[[#All],[Descrição Padronizada]],B291))</f>
        <v>---</v>
      </c>
      <c r="I291" s="24" t="s">
        <v>20</v>
      </c>
    </row>
    <row r="292" spans="1:9" hidden="1" x14ac:dyDescent="0.35">
      <c r="A292" s="15">
        <v>290</v>
      </c>
      <c r="C292" s="16" t="str">
        <f t="array" ref="C292">IF(B292="","---",IFERROR(
   _xlfn.PERCENTILE.INC(
      IF((tabDados[Descrição Padronizada]=B292)*(tabDados[Valor Unitário]&lt;&gt;""),
         tabDados[Valor Unitário],""
      ),
   C$1),
   _xlfn.MINIFS(tabDados[Valor Unitário],tabDados[Descrição Padronizada],B292)
))</f>
        <v>---</v>
      </c>
      <c r="D292" s="16" t="str">
        <f t="array" ref="D292">IF(B292="","---",IFERROR(
   _xlfn.PERCENTILE.INC(
      IF((tabDados[Descrição Padronizada]=B292)*(tabDados[Valor Unitário]&lt;&gt;""),
         tabDados[Valor Unitário],""
      ),
   D$1),
   _xlfn.MAXIFS(tabDados[Valor Unitário],tabDados[Descrição Padronizada],B292)
))</f>
        <v>---</v>
      </c>
      <c r="E292" s="16" t="str">
        <f>IF(OR(B292="",B292="---"),"---",
   IFERROR(AVERAGEIFS(tabDados[Valor Unitário],tabDados[Descrição Padronizada],B292,tabDados[Valor Unitário],"&gt;="&amp;C292,tabDados[Valor Unitário],"&lt;="&amp;D292),AVERAGE(C292,D292))
)</f>
        <v>---</v>
      </c>
      <c r="F292" s="12" t="str">
        <f t="array" ref="F292">IF(OR(B292="",B292="---"),"---",TRUNC(IFERROR(MODE(IF((tabDados[Descrição Padronizada]=B292)*(tabDados[Vida Útil (meses)]&lt;&gt;""),tabDados[Vida Útil (meses)],"-")),AVERAGEIFS(tabDados[Vida Útil (meses)],tabDados[Descrição Padronizada],B292))+0.5))</f>
        <v>---</v>
      </c>
      <c r="G292" s="13" t="str">
        <f>IF(OR(B292="",B292="---"),"---",TRUNC(IFERROR(AVERAGEIFS(tabDados[Manutenção (%)],tabDados[Descrição Padronizada],B292,tabDados[Manutenção (%)],"&gt;"&amp;0),0)*10000)/10000)</f>
        <v>---</v>
      </c>
      <c r="H292" s="24" t="str">
        <f>IF(OR(B292="---",B292=""),"---",COUNTIF(tabDados[[#All],[Descrição Padronizada]],B292))</f>
        <v>---</v>
      </c>
      <c r="I292" s="24" t="s">
        <v>20</v>
      </c>
    </row>
    <row r="293" spans="1:9" hidden="1" x14ac:dyDescent="0.35">
      <c r="A293" s="15">
        <v>291</v>
      </c>
      <c r="C293" s="16" t="str">
        <f t="array" ref="C293">IF(B293="","---",IFERROR(
   _xlfn.PERCENTILE.INC(
      IF((tabDados[Descrição Padronizada]=B293)*(tabDados[Valor Unitário]&lt;&gt;""),
         tabDados[Valor Unitário],""
      ),
   C$1),
   _xlfn.MINIFS(tabDados[Valor Unitário],tabDados[Descrição Padronizada],B293)
))</f>
        <v>---</v>
      </c>
      <c r="D293" s="16" t="str">
        <f t="array" ref="D293">IF(B293="","---",IFERROR(
   _xlfn.PERCENTILE.INC(
      IF((tabDados[Descrição Padronizada]=B293)*(tabDados[Valor Unitário]&lt;&gt;""),
         tabDados[Valor Unitário],""
      ),
   D$1),
   _xlfn.MAXIFS(tabDados[Valor Unitário],tabDados[Descrição Padronizada],B293)
))</f>
        <v>---</v>
      </c>
      <c r="E293" s="16" t="str">
        <f>IF(OR(B293="",B293="---"),"---",
   IFERROR(AVERAGEIFS(tabDados[Valor Unitário],tabDados[Descrição Padronizada],B293,tabDados[Valor Unitário],"&gt;="&amp;C293,tabDados[Valor Unitário],"&lt;="&amp;D293),AVERAGE(C293,D293))
)</f>
        <v>---</v>
      </c>
      <c r="F293" s="12" t="str">
        <f t="array" ref="F293">IF(OR(B293="",B293="---"),"---",TRUNC(IFERROR(MODE(IF((tabDados[Descrição Padronizada]=B293)*(tabDados[Vida Útil (meses)]&lt;&gt;""),tabDados[Vida Útil (meses)],"-")),AVERAGEIFS(tabDados[Vida Útil (meses)],tabDados[Descrição Padronizada],B293))+0.5))</f>
        <v>---</v>
      </c>
      <c r="G293" s="13" t="str">
        <f>IF(OR(B293="",B293="---"),"---",TRUNC(IFERROR(AVERAGEIFS(tabDados[Manutenção (%)],tabDados[Descrição Padronizada],B293,tabDados[Manutenção (%)],"&gt;"&amp;0),0)*10000)/10000)</f>
        <v>---</v>
      </c>
      <c r="H293" s="24" t="str">
        <f>IF(OR(B293="---",B293=""),"---",COUNTIF(tabDados[[#All],[Descrição Padronizada]],B293))</f>
        <v>---</v>
      </c>
      <c r="I293" s="24" t="s">
        <v>20</v>
      </c>
    </row>
    <row r="294" spans="1:9" hidden="1" x14ac:dyDescent="0.35">
      <c r="A294" s="15">
        <v>292</v>
      </c>
      <c r="C294" s="16" t="str">
        <f t="array" ref="C294">IF(B294="","---",IFERROR(
   _xlfn.PERCENTILE.INC(
      IF((tabDados[Descrição Padronizada]=B294)*(tabDados[Valor Unitário]&lt;&gt;""),
         tabDados[Valor Unitário],""
      ),
   C$1),
   _xlfn.MINIFS(tabDados[Valor Unitário],tabDados[Descrição Padronizada],B294)
))</f>
        <v>---</v>
      </c>
      <c r="D294" s="16" t="str">
        <f t="array" ref="D294">IF(B294="","---",IFERROR(
   _xlfn.PERCENTILE.INC(
      IF((tabDados[Descrição Padronizada]=B294)*(tabDados[Valor Unitário]&lt;&gt;""),
         tabDados[Valor Unitário],""
      ),
   D$1),
   _xlfn.MAXIFS(tabDados[Valor Unitário],tabDados[Descrição Padronizada],B294)
))</f>
        <v>---</v>
      </c>
      <c r="E294" s="16" t="str">
        <f>IF(OR(B294="",B294="---"),"---",
   IFERROR(AVERAGEIFS(tabDados[Valor Unitário],tabDados[Descrição Padronizada],B294,tabDados[Valor Unitário],"&gt;="&amp;C294,tabDados[Valor Unitário],"&lt;="&amp;D294),AVERAGE(C294,D294))
)</f>
        <v>---</v>
      </c>
      <c r="F294" s="12" t="str">
        <f t="array" ref="F294">IF(OR(B294="",B294="---"),"---",TRUNC(IFERROR(MODE(IF((tabDados[Descrição Padronizada]=B294)*(tabDados[Vida Útil (meses)]&lt;&gt;""),tabDados[Vida Útil (meses)],"-")),AVERAGEIFS(tabDados[Vida Útil (meses)],tabDados[Descrição Padronizada],B294))+0.5))</f>
        <v>---</v>
      </c>
      <c r="G294" s="13" t="str">
        <f>IF(OR(B294="",B294="---"),"---",TRUNC(IFERROR(AVERAGEIFS(tabDados[Manutenção (%)],tabDados[Descrição Padronizada],B294,tabDados[Manutenção (%)],"&gt;"&amp;0),0)*10000)/10000)</f>
        <v>---</v>
      </c>
      <c r="H294" s="24" t="str">
        <f>IF(OR(B294="---",B294=""),"---",COUNTIF(tabDados[[#All],[Descrição Padronizada]],B294))</f>
        <v>---</v>
      </c>
      <c r="I294" s="24" t="s">
        <v>20</v>
      </c>
    </row>
    <row r="295" spans="1:9" hidden="1" x14ac:dyDescent="0.35">
      <c r="A295" s="15">
        <v>293</v>
      </c>
      <c r="C295" s="16" t="str">
        <f t="array" ref="C295">IF(B295="","---",IFERROR(
   _xlfn.PERCENTILE.INC(
      IF((tabDados[Descrição Padronizada]=B295)*(tabDados[Valor Unitário]&lt;&gt;""),
         tabDados[Valor Unitário],""
      ),
   C$1),
   _xlfn.MINIFS(tabDados[Valor Unitário],tabDados[Descrição Padronizada],B295)
))</f>
        <v>---</v>
      </c>
      <c r="D295" s="16" t="str">
        <f t="array" ref="D295">IF(B295="","---",IFERROR(
   _xlfn.PERCENTILE.INC(
      IF((tabDados[Descrição Padronizada]=B295)*(tabDados[Valor Unitário]&lt;&gt;""),
         tabDados[Valor Unitário],""
      ),
   D$1),
   _xlfn.MAXIFS(tabDados[Valor Unitário],tabDados[Descrição Padronizada],B295)
))</f>
        <v>---</v>
      </c>
      <c r="E295" s="16" t="str">
        <f>IF(OR(B295="",B295="---"),"---",
   IFERROR(AVERAGEIFS(tabDados[Valor Unitário],tabDados[Descrição Padronizada],B295,tabDados[Valor Unitário],"&gt;="&amp;C295,tabDados[Valor Unitário],"&lt;="&amp;D295),AVERAGE(C295,D295))
)</f>
        <v>---</v>
      </c>
      <c r="F295" s="12" t="str">
        <f t="array" ref="F295">IF(OR(B295="",B295="---"),"---",TRUNC(IFERROR(MODE(IF((tabDados[Descrição Padronizada]=B295)*(tabDados[Vida Útil (meses)]&lt;&gt;""),tabDados[Vida Útil (meses)],"-")),AVERAGEIFS(tabDados[Vida Útil (meses)],tabDados[Descrição Padronizada],B295))+0.5))</f>
        <v>---</v>
      </c>
      <c r="G295" s="13" t="str">
        <f>IF(OR(B295="",B295="---"),"---",TRUNC(IFERROR(AVERAGEIFS(tabDados[Manutenção (%)],tabDados[Descrição Padronizada],B295,tabDados[Manutenção (%)],"&gt;"&amp;0),0)*10000)/10000)</f>
        <v>---</v>
      </c>
      <c r="H295" s="24" t="str">
        <f>IF(OR(B295="---",B295=""),"---",COUNTIF(tabDados[[#All],[Descrição Padronizada]],B295))</f>
        <v>---</v>
      </c>
      <c r="I295" s="24" t="s">
        <v>20</v>
      </c>
    </row>
    <row r="296" spans="1:9" hidden="1" x14ac:dyDescent="0.35">
      <c r="A296" s="15">
        <v>294</v>
      </c>
      <c r="C296" s="16" t="str">
        <f t="array" ref="C296">IF(B296="","---",IFERROR(
   _xlfn.PERCENTILE.INC(
      IF((tabDados[Descrição Padronizada]=B296)*(tabDados[Valor Unitário]&lt;&gt;""),
         tabDados[Valor Unitário],""
      ),
   C$1),
   _xlfn.MINIFS(tabDados[Valor Unitário],tabDados[Descrição Padronizada],B296)
))</f>
        <v>---</v>
      </c>
      <c r="D296" s="16" t="str">
        <f t="array" ref="D296">IF(B296="","---",IFERROR(
   _xlfn.PERCENTILE.INC(
      IF((tabDados[Descrição Padronizada]=B296)*(tabDados[Valor Unitário]&lt;&gt;""),
         tabDados[Valor Unitário],""
      ),
   D$1),
   _xlfn.MAXIFS(tabDados[Valor Unitário],tabDados[Descrição Padronizada],B296)
))</f>
        <v>---</v>
      </c>
      <c r="E296" s="16" t="str">
        <f>IF(OR(B296="",B296="---"),"---",
   IFERROR(AVERAGEIFS(tabDados[Valor Unitário],tabDados[Descrição Padronizada],B296,tabDados[Valor Unitário],"&gt;="&amp;C296,tabDados[Valor Unitário],"&lt;="&amp;D296),AVERAGE(C296,D296))
)</f>
        <v>---</v>
      </c>
      <c r="F296" s="12" t="str">
        <f t="array" ref="F296">IF(OR(B296="",B296="---"),"---",TRUNC(IFERROR(MODE(IF((tabDados[Descrição Padronizada]=B296)*(tabDados[Vida Útil (meses)]&lt;&gt;""),tabDados[Vida Útil (meses)],"-")),AVERAGEIFS(tabDados[Vida Útil (meses)],tabDados[Descrição Padronizada],B296))+0.5))</f>
        <v>---</v>
      </c>
      <c r="G296" s="13" t="str">
        <f>IF(OR(B296="",B296="---"),"---",TRUNC(IFERROR(AVERAGEIFS(tabDados[Manutenção (%)],tabDados[Descrição Padronizada],B296,tabDados[Manutenção (%)],"&gt;"&amp;0),0)*10000)/10000)</f>
        <v>---</v>
      </c>
      <c r="H296" s="24" t="str">
        <f>IF(OR(B296="---",B296=""),"---",COUNTIF(tabDados[[#All],[Descrição Padronizada]],B296))</f>
        <v>---</v>
      </c>
      <c r="I296" s="24" t="s">
        <v>20</v>
      </c>
    </row>
    <row r="297" spans="1:9" hidden="1" x14ac:dyDescent="0.35">
      <c r="A297" s="15">
        <v>295</v>
      </c>
      <c r="C297" s="16" t="str">
        <f t="array" ref="C297">IF(B297="","---",IFERROR(
   _xlfn.PERCENTILE.INC(
      IF((tabDados[Descrição Padronizada]=B297)*(tabDados[Valor Unitário]&lt;&gt;""),
         tabDados[Valor Unitário],""
      ),
   C$1),
   _xlfn.MINIFS(tabDados[Valor Unitário],tabDados[Descrição Padronizada],B297)
))</f>
        <v>---</v>
      </c>
      <c r="D297" s="16" t="str">
        <f t="array" ref="D297">IF(B297="","---",IFERROR(
   _xlfn.PERCENTILE.INC(
      IF((tabDados[Descrição Padronizada]=B297)*(tabDados[Valor Unitário]&lt;&gt;""),
         tabDados[Valor Unitário],""
      ),
   D$1),
   _xlfn.MAXIFS(tabDados[Valor Unitário],tabDados[Descrição Padronizada],B297)
))</f>
        <v>---</v>
      </c>
      <c r="E297" s="16" t="str">
        <f>IF(OR(B297="",B297="---"),"---",
   IFERROR(AVERAGEIFS(tabDados[Valor Unitário],tabDados[Descrição Padronizada],B297,tabDados[Valor Unitário],"&gt;="&amp;C297,tabDados[Valor Unitário],"&lt;="&amp;D297),AVERAGE(C297,D297))
)</f>
        <v>---</v>
      </c>
      <c r="F297" s="12" t="str">
        <f t="array" ref="F297">IF(OR(B297="",B297="---"),"---",TRUNC(IFERROR(MODE(IF((tabDados[Descrição Padronizada]=B297)*(tabDados[Vida Útil (meses)]&lt;&gt;""),tabDados[Vida Útil (meses)],"-")),AVERAGEIFS(tabDados[Vida Útil (meses)],tabDados[Descrição Padronizada],B297))+0.5))</f>
        <v>---</v>
      </c>
      <c r="G297" s="13" t="str">
        <f>IF(OR(B297="",B297="---"),"---",TRUNC(IFERROR(AVERAGEIFS(tabDados[Manutenção (%)],tabDados[Descrição Padronizada],B297,tabDados[Manutenção (%)],"&gt;"&amp;0),0)*10000)/10000)</f>
        <v>---</v>
      </c>
      <c r="H297" s="24" t="str">
        <f>IF(OR(B297="---",B297=""),"---",COUNTIF(tabDados[[#All],[Descrição Padronizada]],B297))</f>
        <v>---</v>
      </c>
      <c r="I297" s="24" t="s">
        <v>20</v>
      </c>
    </row>
    <row r="298" spans="1:9" hidden="1" x14ac:dyDescent="0.35">
      <c r="A298" s="15">
        <v>296</v>
      </c>
      <c r="C298" s="16" t="str">
        <f t="array" ref="C298">IF(B298="","---",IFERROR(
   _xlfn.PERCENTILE.INC(
      IF((tabDados[Descrição Padronizada]=B298)*(tabDados[Valor Unitário]&lt;&gt;""),
         tabDados[Valor Unitário],""
      ),
   C$1),
   _xlfn.MINIFS(tabDados[Valor Unitário],tabDados[Descrição Padronizada],B298)
))</f>
        <v>---</v>
      </c>
      <c r="D298" s="16" t="str">
        <f t="array" ref="D298">IF(B298="","---",IFERROR(
   _xlfn.PERCENTILE.INC(
      IF((tabDados[Descrição Padronizada]=B298)*(tabDados[Valor Unitário]&lt;&gt;""),
         tabDados[Valor Unitário],""
      ),
   D$1),
   _xlfn.MAXIFS(tabDados[Valor Unitário],tabDados[Descrição Padronizada],B298)
))</f>
        <v>---</v>
      </c>
      <c r="E298" s="16" t="str">
        <f>IF(OR(B298="",B298="---"),"---",
   IFERROR(AVERAGEIFS(tabDados[Valor Unitário],tabDados[Descrição Padronizada],B298,tabDados[Valor Unitário],"&gt;="&amp;C298,tabDados[Valor Unitário],"&lt;="&amp;D298),AVERAGE(C298,D298))
)</f>
        <v>---</v>
      </c>
      <c r="F298" s="12" t="str">
        <f t="array" ref="F298">IF(OR(B298="",B298="---"),"---",TRUNC(IFERROR(MODE(IF((tabDados[Descrição Padronizada]=B298)*(tabDados[Vida Útil (meses)]&lt;&gt;""),tabDados[Vida Útil (meses)],"-")),AVERAGEIFS(tabDados[Vida Útil (meses)],tabDados[Descrição Padronizada],B298))+0.5))</f>
        <v>---</v>
      </c>
      <c r="G298" s="13" t="str">
        <f>IF(OR(B298="",B298="---"),"---",TRUNC(IFERROR(AVERAGEIFS(tabDados[Manutenção (%)],tabDados[Descrição Padronizada],B298,tabDados[Manutenção (%)],"&gt;"&amp;0),0)*10000)/10000)</f>
        <v>---</v>
      </c>
      <c r="H298" s="24" t="str">
        <f>IF(OR(B298="---",B298=""),"---",COUNTIF(tabDados[[#All],[Descrição Padronizada]],B298))</f>
        <v>---</v>
      </c>
      <c r="I298" s="24" t="s">
        <v>20</v>
      </c>
    </row>
    <row r="299" spans="1:9" hidden="1" x14ac:dyDescent="0.35">
      <c r="A299" s="15">
        <v>297</v>
      </c>
      <c r="C299" s="16" t="str">
        <f t="array" ref="C299">IF(B299="","---",IFERROR(
   _xlfn.PERCENTILE.INC(
      IF((tabDados[Descrição Padronizada]=B299)*(tabDados[Valor Unitário]&lt;&gt;""),
         tabDados[Valor Unitário],""
      ),
   C$1),
   _xlfn.MINIFS(tabDados[Valor Unitário],tabDados[Descrição Padronizada],B299)
))</f>
        <v>---</v>
      </c>
      <c r="D299" s="16" t="str">
        <f t="array" ref="D299">IF(B299="","---",IFERROR(
   _xlfn.PERCENTILE.INC(
      IF((tabDados[Descrição Padronizada]=B299)*(tabDados[Valor Unitário]&lt;&gt;""),
         tabDados[Valor Unitário],""
      ),
   D$1),
   _xlfn.MAXIFS(tabDados[Valor Unitário],tabDados[Descrição Padronizada],B299)
))</f>
        <v>---</v>
      </c>
      <c r="E299" s="16" t="str">
        <f>IF(OR(B299="",B299="---"),"---",
   IFERROR(AVERAGEIFS(tabDados[Valor Unitário],tabDados[Descrição Padronizada],B299,tabDados[Valor Unitário],"&gt;="&amp;C299,tabDados[Valor Unitário],"&lt;="&amp;D299),AVERAGE(C299,D299))
)</f>
        <v>---</v>
      </c>
      <c r="F299" s="12" t="str">
        <f t="array" ref="F299">IF(OR(B299="",B299="---"),"---",TRUNC(IFERROR(MODE(IF((tabDados[Descrição Padronizada]=B299)*(tabDados[Vida Útil (meses)]&lt;&gt;""),tabDados[Vida Útil (meses)],"-")),AVERAGEIFS(tabDados[Vida Útil (meses)],tabDados[Descrição Padronizada],B299))+0.5))</f>
        <v>---</v>
      </c>
      <c r="G299" s="13" t="str">
        <f>IF(OR(B299="",B299="---"),"---",TRUNC(IFERROR(AVERAGEIFS(tabDados[Manutenção (%)],tabDados[Descrição Padronizada],B299,tabDados[Manutenção (%)],"&gt;"&amp;0),0)*10000)/10000)</f>
        <v>---</v>
      </c>
      <c r="H299" s="24" t="str">
        <f>IF(OR(B299="---",B299=""),"---",COUNTIF(tabDados[[#All],[Descrição Padronizada]],B299))</f>
        <v>---</v>
      </c>
      <c r="I299" s="24" t="s">
        <v>20</v>
      </c>
    </row>
    <row r="300" spans="1:9" hidden="1" x14ac:dyDescent="0.35">
      <c r="A300" s="15">
        <v>298</v>
      </c>
      <c r="C300" s="16" t="str">
        <f t="array" ref="C300">IF(B300="","---",IFERROR(
   _xlfn.PERCENTILE.INC(
      IF((tabDados[Descrição Padronizada]=B300)*(tabDados[Valor Unitário]&lt;&gt;""),
         tabDados[Valor Unitário],""
      ),
   C$1),
   _xlfn.MINIFS(tabDados[Valor Unitário],tabDados[Descrição Padronizada],B300)
))</f>
        <v>---</v>
      </c>
      <c r="D300" s="16" t="str">
        <f t="array" ref="D300">IF(B300="","---",IFERROR(
   _xlfn.PERCENTILE.INC(
      IF((tabDados[Descrição Padronizada]=B300)*(tabDados[Valor Unitário]&lt;&gt;""),
         tabDados[Valor Unitário],""
      ),
   D$1),
   _xlfn.MAXIFS(tabDados[Valor Unitário],tabDados[Descrição Padronizada],B300)
))</f>
        <v>---</v>
      </c>
      <c r="E300" s="16" t="str">
        <f>IF(OR(B300="",B300="---"),"---",
   IFERROR(AVERAGEIFS(tabDados[Valor Unitário],tabDados[Descrição Padronizada],B300,tabDados[Valor Unitário],"&gt;="&amp;C300,tabDados[Valor Unitário],"&lt;="&amp;D300),AVERAGE(C300,D300))
)</f>
        <v>---</v>
      </c>
      <c r="F300" s="12" t="str">
        <f t="array" ref="F300">IF(OR(B300="",B300="---"),"---",TRUNC(IFERROR(MODE(IF((tabDados[Descrição Padronizada]=B300)*(tabDados[Vida Útil (meses)]&lt;&gt;""),tabDados[Vida Útil (meses)],"-")),AVERAGEIFS(tabDados[Vida Útil (meses)],tabDados[Descrição Padronizada],B300))+0.5))</f>
        <v>---</v>
      </c>
      <c r="G300" s="13" t="str">
        <f>IF(OR(B300="",B300="---"),"---",TRUNC(IFERROR(AVERAGEIFS(tabDados[Manutenção (%)],tabDados[Descrição Padronizada],B300,tabDados[Manutenção (%)],"&gt;"&amp;0),0)*10000)/10000)</f>
        <v>---</v>
      </c>
      <c r="H300" s="24" t="str">
        <f>IF(OR(B300="---",B300=""),"---",COUNTIF(tabDados[[#All],[Descrição Padronizada]],B300))</f>
        <v>---</v>
      </c>
      <c r="I300" s="24" t="s">
        <v>20</v>
      </c>
    </row>
    <row r="301" spans="1:9" hidden="1" x14ac:dyDescent="0.35">
      <c r="A301" s="15">
        <v>299</v>
      </c>
      <c r="C301" s="16" t="str">
        <f t="array" ref="C301">IF(B301="","---",IFERROR(
   _xlfn.PERCENTILE.INC(
      IF((tabDados[Descrição Padronizada]=B301)*(tabDados[Valor Unitário]&lt;&gt;""),
         tabDados[Valor Unitário],""
      ),
   C$1),
   _xlfn.MINIFS(tabDados[Valor Unitário],tabDados[Descrição Padronizada],B301)
))</f>
        <v>---</v>
      </c>
      <c r="D301" s="16" t="str">
        <f t="array" ref="D301">IF(B301="","---",IFERROR(
   _xlfn.PERCENTILE.INC(
      IF((tabDados[Descrição Padronizada]=B301)*(tabDados[Valor Unitário]&lt;&gt;""),
         tabDados[Valor Unitário],""
      ),
   D$1),
   _xlfn.MAXIFS(tabDados[Valor Unitário],tabDados[Descrição Padronizada],B301)
))</f>
        <v>---</v>
      </c>
      <c r="E301" s="16" t="str">
        <f>IF(OR(B301="",B301="---"),"---",
   IFERROR(AVERAGEIFS(tabDados[Valor Unitário],tabDados[Descrição Padronizada],B301,tabDados[Valor Unitário],"&gt;="&amp;C301,tabDados[Valor Unitário],"&lt;="&amp;D301),AVERAGE(C301,D301))
)</f>
        <v>---</v>
      </c>
      <c r="F301" s="12" t="str">
        <f t="array" ref="F301">IF(OR(B301="",B301="---"),"---",TRUNC(IFERROR(MODE(IF((tabDados[Descrição Padronizada]=B301)*(tabDados[Vida Útil (meses)]&lt;&gt;""),tabDados[Vida Útil (meses)],"-")),AVERAGEIFS(tabDados[Vida Útil (meses)],tabDados[Descrição Padronizada],B301))+0.5))</f>
        <v>---</v>
      </c>
      <c r="G301" s="13" t="str">
        <f>IF(OR(B301="",B301="---"),"---",TRUNC(IFERROR(AVERAGEIFS(tabDados[Manutenção (%)],tabDados[Descrição Padronizada],B301,tabDados[Manutenção (%)],"&gt;"&amp;0),0)*10000)/10000)</f>
        <v>---</v>
      </c>
      <c r="H301" s="24" t="str">
        <f>IF(OR(B301="---",B301=""),"---",COUNTIF(tabDados[[#All],[Descrição Padronizada]],B301))</f>
        <v>---</v>
      </c>
      <c r="I301" s="24" t="s">
        <v>20</v>
      </c>
    </row>
    <row r="302" spans="1:9" hidden="1" x14ac:dyDescent="0.35">
      <c r="A302" s="15">
        <v>300</v>
      </c>
      <c r="C302" s="16" t="str">
        <f t="array" ref="C302">IF(B302="","---",IFERROR(
   _xlfn.PERCENTILE.INC(
      IF((tabDados[Descrição Padronizada]=B302)*(tabDados[Valor Unitário]&lt;&gt;""),
         tabDados[Valor Unitário],""
      ),
   C$1),
   _xlfn.MINIFS(tabDados[Valor Unitário],tabDados[Descrição Padronizada],B302)
))</f>
        <v>---</v>
      </c>
      <c r="D302" s="16" t="str">
        <f t="array" ref="D302">IF(B302="","---",IFERROR(
   _xlfn.PERCENTILE.INC(
      IF((tabDados[Descrição Padronizada]=B302)*(tabDados[Valor Unitário]&lt;&gt;""),
         tabDados[Valor Unitário],""
      ),
   D$1),
   _xlfn.MAXIFS(tabDados[Valor Unitário],tabDados[Descrição Padronizada],B302)
))</f>
        <v>---</v>
      </c>
      <c r="E302" s="16" t="str">
        <f>IF(OR(B302="",B302="---"),"---",
   IFERROR(AVERAGEIFS(tabDados[Valor Unitário],tabDados[Descrição Padronizada],B302,tabDados[Valor Unitário],"&gt;="&amp;C302,tabDados[Valor Unitário],"&lt;="&amp;D302),AVERAGE(C302,D302))
)</f>
        <v>---</v>
      </c>
      <c r="F302" s="12" t="str">
        <f t="array" ref="F302">IF(OR(B302="",B302="---"),"---",TRUNC(IFERROR(MODE(IF((tabDados[Descrição Padronizada]=B302)*(tabDados[Vida Útil (meses)]&lt;&gt;""),tabDados[Vida Útil (meses)],"-")),AVERAGEIFS(tabDados[Vida Útil (meses)],tabDados[Descrição Padronizada],B302))+0.5))</f>
        <v>---</v>
      </c>
      <c r="G302" s="13" t="str">
        <f>IF(OR(B302="",B302="---"),"---",TRUNC(IFERROR(AVERAGEIFS(tabDados[Manutenção (%)],tabDados[Descrição Padronizada],B302,tabDados[Manutenção (%)],"&gt;"&amp;0),0)*10000)/10000)</f>
        <v>---</v>
      </c>
      <c r="H302" s="24" t="str">
        <f>IF(OR(B302="---",B302=""),"---",COUNTIF(tabDados[[#All],[Descrição Padronizada]],B302))</f>
        <v>---</v>
      </c>
      <c r="I302" s="24" t="s">
        <v>20</v>
      </c>
    </row>
    <row r="303" spans="1:9" hidden="1" x14ac:dyDescent="0.35">
      <c r="A303" s="15">
        <v>301</v>
      </c>
      <c r="C303" s="16" t="str">
        <f t="array" ref="C303">IF(B303="","---",IFERROR(
   _xlfn.PERCENTILE.INC(
      IF((tabDados[Descrição Padronizada]=B303)*(tabDados[Valor Unitário]&lt;&gt;""),
         tabDados[Valor Unitário],""
      ),
   C$1),
   _xlfn.MINIFS(tabDados[Valor Unitário],tabDados[Descrição Padronizada],B303)
))</f>
        <v>---</v>
      </c>
      <c r="D303" s="16" t="str">
        <f t="array" ref="D303">IF(B303="","---",IFERROR(
   _xlfn.PERCENTILE.INC(
      IF((tabDados[Descrição Padronizada]=B303)*(tabDados[Valor Unitário]&lt;&gt;""),
         tabDados[Valor Unitário],""
      ),
   D$1),
   _xlfn.MAXIFS(tabDados[Valor Unitário],tabDados[Descrição Padronizada],B303)
))</f>
        <v>---</v>
      </c>
      <c r="E303" s="16" t="str">
        <f>IF(OR(B303="",B303="---"),"---",
   IFERROR(AVERAGEIFS(tabDados[Valor Unitário],tabDados[Descrição Padronizada],B303,tabDados[Valor Unitário],"&gt;="&amp;C303,tabDados[Valor Unitário],"&lt;="&amp;D303),AVERAGE(C303,D303))
)</f>
        <v>---</v>
      </c>
      <c r="F303" s="12" t="str">
        <f t="array" ref="F303">IF(OR(B303="",B303="---"),"---",TRUNC(IFERROR(MODE(IF((tabDados[Descrição Padronizada]=B303)*(tabDados[Vida Útil (meses)]&lt;&gt;""),tabDados[Vida Útil (meses)],"-")),AVERAGEIFS(tabDados[Vida Útil (meses)],tabDados[Descrição Padronizada],B303))+0.5))</f>
        <v>---</v>
      </c>
      <c r="G303" s="13" t="str">
        <f>IF(OR(B303="",B303="---"),"---",TRUNC(IFERROR(AVERAGEIFS(tabDados[Manutenção (%)],tabDados[Descrição Padronizada],B303,tabDados[Manutenção (%)],"&gt;"&amp;0),0)*10000)/10000)</f>
        <v>---</v>
      </c>
      <c r="H303" s="24" t="str">
        <f>IF(OR(B303="---",B303=""),"---",COUNTIF(tabDados[[#All],[Descrição Padronizada]],B303))</f>
        <v>---</v>
      </c>
      <c r="I303" s="24" t="s">
        <v>20</v>
      </c>
    </row>
    <row r="304" spans="1:9" hidden="1" x14ac:dyDescent="0.35">
      <c r="A304" s="15">
        <v>302</v>
      </c>
      <c r="C304" s="16" t="str">
        <f t="array" ref="C304">IF(B304="","---",IFERROR(
   _xlfn.PERCENTILE.INC(
      IF((tabDados[Descrição Padronizada]=B304)*(tabDados[Valor Unitário]&lt;&gt;""),
         tabDados[Valor Unitário],""
      ),
   C$1),
   _xlfn.MINIFS(tabDados[Valor Unitário],tabDados[Descrição Padronizada],B304)
))</f>
        <v>---</v>
      </c>
      <c r="D304" s="16" t="str">
        <f t="array" ref="D304">IF(B304="","---",IFERROR(
   _xlfn.PERCENTILE.INC(
      IF((tabDados[Descrição Padronizada]=B304)*(tabDados[Valor Unitário]&lt;&gt;""),
         tabDados[Valor Unitário],""
      ),
   D$1),
   _xlfn.MAXIFS(tabDados[Valor Unitário],tabDados[Descrição Padronizada],B304)
))</f>
        <v>---</v>
      </c>
      <c r="E304" s="16" t="str">
        <f>IF(OR(B304="",B304="---"),"---",
   IFERROR(AVERAGEIFS(tabDados[Valor Unitário],tabDados[Descrição Padronizada],B304,tabDados[Valor Unitário],"&gt;="&amp;C304,tabDados[Valor Unitário],"&lt;="&amp;D304),AVERAGE(C304,D304))
)</f>
        <v>---</v>
      </c>
      <c r="F304" s="12" t="str">
        <f t="array" ref="F304">IF(OR(B304="",B304="---"),"---",TRUNC(IFERROR(MODE(IF((tabDados[Descrição Padronizada]=B304)*(tabDados[Vida Útil (meses)]&lt;&gt;""),tabDados[Vida Útil (meses)],"-")),AVERAGEIFS(tabDados[Vida Útil (meses)],tabDados[Descrição Padronizada],B304))+0.5))</f>
        <v>---</v>
      </c>
      <c r="G304" s="13" t="str">
        <f>IF(OR(B304="",B304="---"),"---",TRUNC(IFERROR(AVERAGEIFS(tabDados[Manutenção (%)],tabDados[Descrição Padronizada],B304,tabDados[Manutenção (%)],"&gt;"&amp;0),0)*10000)/10000)</f>
        <v>---</v>
      </c>
      <c r="H304" s="24" t="str">
        <f>IF(OR(B304="---",B304=""),"---",COUNTIF(tabDados[[#All],[Descrição Padronizada]],B304))</f>
        <v>---</v>
      </c>
      <c r="I304" s="24" t="s">
        <v>20</v>
      </c>
    </row>
    <row r="305" spans="1:9" hidden="1" x14ac:dyDescent="0.35">
      <c r="A305" s="15">
        <v>303</v>
      </c>
      <c r="C305" s="16" t="str">
        <f t="array" ref="C305">IF(B305="","---",IFERROR(
   _xlfn.PERCENTILE.INC(
      IF((tabDados[Descrição Padronizada]=B305)*(tabDados[Valor Unitário]&lt;&gt;""),
         tabDados[Valor Unitário],""
      ),
   C$1),
   _xlfn.MINIFS(tabDados[Valor Unitário],tabDados[Descrição Padronizada],B305)
))</f>
        <v>---</v>
      </c>
      <c r="D305" s="16" t="str">
        <f t="array" ref="D305">IF(B305="","---",IFERROR(
   _xlfn.PERCENTILE.INC(
      IF((tabDados[Descrição Padronizada]=B305)*(tabDados[Valor Unitário]&lt;&gt;""),
         tabDados[Valor Unitário],""
      ),
   D$1),
   _xlfn.MAXIFS(tabDados[Valor Unitário],tabDados[Descrição Padronizada],B305)
))</f>
        <v>---</v>
      </c>
      <c r="E305" s="16" t="str">
        <f>IF(OR(B305="",B305="---"),"---",
   IFERROR(AVERAGEIFS(tabDados[Valor Unitário],tabDados[Descrição Padronizada],B305,tabDados[Valor Unitário],"&gt;="&amp;C305,tabDados[Valor Unitário],"&lt;="&amp;D305),AVERAGE(C305,D305))
)</f>
        <v>---</v>
      </c>
      <c r="F305" s="12" t="str">
        <f t="array" ref="F305">IF(OR(B305="",B305="---"),"---",TRUNC(IFERROR(MODE(IF((tabDados[Descrição Padronizada]=B305)*(tabDados[Vida Útil (meses)]&lt;&gt;""),tabDados[Vida Útil (meses)],"-")),AVERAGEIFS(tabDados[Vida Útil (meses)],tabDados[Descrição Padronizada],B305))+0.5))</f>
        <v>---</v>
      </c>
      <c r="G305" s="13" t="str">
        <f>IF(OR(B305="",B305="---"),"---",TRUNC(IFERROR(AVERAGEIFS(tabDados[Manutenção (%)],tabDados[Descrição Padronizada],B305,tabDados[Manutenção (%)],"&gt;"&amp;0),0)*10000)/10000)</f>
        <v>---</v>
      </c>
      <c r="H305" s="24" t="str">
        <f>IF(OR(B305="---",B305=""),"---",COUNTIF(tabDados[[#All],[Descrição Padronizada]],B305))</f>
        <v>---</v>
      </c>
      <c r="I305" s="24" t="s">
        <v>20</v>
      </c>
    </row>
    <row r="306" spans="1:9" hidden="1" x14ac:dyDescent="0.35">
      <c r="A306" s="15">
        <v>304</v>
      </c>
      <c r="C306" s="16" t="str">
        <f t="array" ref="C306">IF(B306="","---",IFERROR(
   _xlfn.PERCENTILE.INC(
      IF((tabDados[Descrição Padronizada]=B306)*(tabDados[Valor Unitário]&lt;&gt;""),
         tabDados[Valor Unitário],""
      ),
   C$1),
   _xlfn.MINIFS(tabDados[Valor Unitário],tabDados[Descrição Padronizada],B306)
))</f>
        <v>---</v>
      </c>
      <c r="D306" s="16" t="str">
        <f t="array" ref="D306">IF(B306="","---",IFERROR(
   _xlfn.PERCENTILE.INC(
      IF((tabDados[Descrição Padronizada]=B306)*(tabDados[Valor Unitário]&lt;&gt;""),
         tabDados[Valor Unitário],""
      ),
   D$1),
   _xlfn.MAXIFS(tabDados[Valor Unitário],tabDados[Descrição Padronizada],B306)
))</f>
        <v>---</v>
      </c>
      <c r="E306" s="16" t="str">
        <f>IF(OR(B306="",B306="---"),"---",
   IFERROR(AVERAGEIFS(tabDados[Valor Unitário],tabDados[Descrição Padronizada],B306,tabDados[Valor Unitário],"&gt;="&amp;C306,tabDados[Valor Unitário],"&lt;="&amp;D306),AVERAGE(C306,D306))
)</f>
        <v>---</v>
      </c>
      <c r="F306" s="12" t="str">
        <f t="array" ref="F306">IF(OR(B306="",B306="---"),"---",TRUNC(IFERROR(MODE(IF((tabDados[Descrição Padronizada]=B306)*(tabDados[Vida Útil (meses)]&lt;&gt;""),tabDados[Vida Útil (meses)],"-")),AVERAGEIFS(tabDados[Vida Útil (meses)],tabDados[Descrição Padronizada],B306))+0.5))</f>
        <v>---</v>
      </c>
      <c r="G306" s="13" t="str">
        <f>IF(OR(B306="",B306="---"),"---",TRUNC(IFERROR(AVERAGEIFS(tabDados[Manutenção (%)],tabDados[Descrição Padronizada],B306,tabDados[Manutenção (%)],"&gt;"&amp;0),0)*10000)/10000)</f>
        <v>---</v>
      </c>
      <c r="H306" s="24" t="str">
        <f>IF(OR(B306="---",B306=""),"---",COUNTIF(tabDados[[#All],[Descrição Padronizada]],B306))</f>
        <v>---</v>
      </c>
      <c r="I306" s="24" t="s">
        <v>20</v>
      </c>
    </row>
    <row r="307" spans="1:9" hidden="1" x14ac:dyDescent="0.35">
      <c r="A307" s="15">
        <v>305</v>
      </c>
      <c r="C307" s="16" t="str">
        <f t="array" ref="C307">IF(B307="","---",IFERROR(
   _xlfn.PERCENTILE.INC(
      IF((tabDados[Descrição Padronizada]=B307)*(tabDados[Valor Unitário]&lt;&gt;""),
         tabDados[Valor Unitário],""
      ),
   C$1),
   _xlfn.MINIFS(tabDados[Valor Unitário],tabDados[Descrição Padronizada],B307)
))</f>
        <v>---</v>
      </c>
      <c r="D307" s="16" t="str">
        <f t="array" ref="D307">IF(B307="","---",IFERROR(
   _xlfn.PERCENTILE.INC(
      IF((tabDados[Descrição Padronizada]=B307)*(tabDados[Valor Unitário]&lt;&gt;""),
         tabDados[Valor Unitário],""
      ),
   D$1),
   _xlfn.MAXIFS(tabDados[Valor Unitário],tabDados[Descrição Padronizada],B307)
))</f>
        <v>---</v>
      </c>
      <c r="E307" s="16" t="str">
        <f>IF(OR(B307="",B307="---"),"---",
   IFERROR(AVERAGEIFS(tabDados[Valor Unitário],tabDados[Descrição Padronizada],B307,tabDados[Valor Unitário],"&gt;="&amp;C307,tabDados[Valor Unitário],"&lt;="&amp;D307),AVERAGE(C307,D307))
)</f>
        <v>---</v>
      </c>
      <c r="F307" s="12" t="str">
        <f t="array" ref="F307">IF(OR(B307="",B307="---"),"---",TRUNC(IFERROR(MODE(IF((tabDados[Descrição Padronizada]=B307)*(tabDados[Vida Útil (meses)]&lt;&gt;""),tabDados[Vida Útil (meses)],"-")),AVERAGEIFS(tabDados[Vida Útil (meses)],tabDados[Descrição Padronizada],B307))+0.5))</f>
        <v>---</v>
      </c>
      <c r="G307" s="13" t="str">
        <f>IF(OR(B307="",B307="---"),"---",TRUNC(IFERROR(AVERAGEIFS(tabDados[Manutenção (%)],tabDados[Descrição Padronizada],B307,tabDados[Manutenção (%)],"&gt;"&amp;0),0)*10000)/10000)</f>
        <v>---</v>
      </c>
      <c r="H307" s="24" t="str">
        <f>IF(OR(B307="---",B307=""),"---",COUNTIF(tabDados[[#All],[Descrição Padronizada]],B307))</f>
        <v>---</v>
      </c>
      <c r="I307" s="24" t="s">
        <v>20</v>
      </c>
    </row>
    <row r="308" spans="1:9" hidden="1" x14ac:dyDescent="0.35">
      <c r="A308" s="15">
        <v>306</v>
      </c>
      <c r="C308" s="16" t="str">
        <f t="array" ref="C308">IF(B308="","---",IFERROR(
   _xlfn.PERCENTILE.INC(
      IF((tabDados[Descrição Padronizada]=B308)*(tabDados[Valor Unitário]&lt;&gt;""),
         tabDados[Valor Unitário],""
      ),
   C$1),
   _xlfn.MINIFS(tabDados[Valor Unitário],tabDados[Descrição Padronizada],B308)
))</f>
        <v>---</v>
      </c>
      <c r="D308" s="16" t="str">
        <f t="array" ref="D308">IF(B308="","---",IFERROR(
   _xlfn.PERCENTILE.INC(
      IF((tabDados[Descrição Padronizada]=B308)*(tabDados[Valor Unitário]&lt;&gt;""),
         tabDados[Valor Unitário],""
      ),
   D$1),
   _xlfn.MAXIFS(tabDados[Valor Unitário],tabDados[Descrição Padronizada],B308)
))</f>
        <v>---</v>
      </c>
      <c r="E308" s="16" t="str">
        <f>IF(OR(B308="",B308="---"),"---",
   IFERROR(AVERAGEIFS(tabDados[Valor Unitário],tabDados[Descrição Padronizada],B308,tabDados[Valor Unitário],"&gt;="&amp;C308,tabDados[Valor Unitário],"&lt;="&amp;D308),AVERAGE(C308,D308))
)</f>
        <v>---</v>
      </c>
      <c r="F308" s="12" t="str">
        <f t="array" ref="F308">IF(OR(B308="",B308="---"),"---",TRUNC(IFERROR(MODE(IF((tabDados[Descrição Padronizada]=B308)*(tabDados[Vida Útil (meses)]&lt;&gt;""),tabDados[Vida Útil (meses)],"-")),AVERAGEIFS(tabDados[Vida Útil (meses)],tabDados[Descrição Padronizada],B308))+0.5))</f>
        <v>---</v>
      </c>
      <c r="G308" s="13" t="str">
        <f>IF(OR(B308="",B308="---"),"---",TRUNC(IFERROR(AVERAGEIFS(tabDados[Manutenção (%)],tabDados[Descrição Padronizada],B308,tabDados[Manutenção (%)],"&gt;"&amp;0),0)*10000)/10000)</f>
        <v>---</v>
      </c>
      <c r="H308" s="24" t="str">
        <f>IF(OR(B308="---",B308=""),"---",COUNTIF(tabDados[[#All],[Descrição Padronizada]],B308))</f>
        <v>---</v>
      </c>
      <c r="I308" s="24" t="s">
        <v>20</v>
      </c>
    </row>
    <row r="309" spans="1:9" hidden="1" x14ac:dyDescent="0.35">
      <c r="A309" s="15">
        <v>307</v>
      </c>
      <c r="C309" s="16" t="str">
        <f t="array" ref="C309">IF(B309="","---",IFERROR(
   _xlfn.PERCENTILE.INC(
      IF((tabDados[Descrição Padronizada]=B309)*(tabDados[Valor Unitário]&lt;&gt;""),
         tabDados[Valor Unitário],""
      ),
   C$1),
   _xlfn.MINIFS(tabDados[Valor Unitário],tabDados[Descrição Padronizada],B309)
))</f>
        <v>---</v>
      </c>
      <c r="D309" s="16" t="str">
        <f t="array" ref="D309">IF(B309="","---",IFERROR(
   _xlfn.PERCENTILE.INC(
      IF((tabDados[Descrição Padronizada]=B309)*(tabDados[Valor Unitário]&lt;&gt;""),
         tabDados[Valor Unitário],""
      ),
   D$1),
   _xlfn.MAXIFS(tabDados[Valor Unitário],tabDados[Descrição Padronizada],B309)
))</f>
        <v>---</v>
      </c>
      <c r="E309" s="16" t="str">
        <f>IF(OR(B309="",B309="---"),"---",
   IFERROR(AVERAGEIFS(tabDados[Valor Unitário],tabDados[Descrição Padronizada],B309,tabDados[Valor Unitário],"&gt;="&amp;C309,tabDados[Valor Unitário],"&lt;="&amp;D309),AVERAGE(C309,D309))
)</f>
        <v>---</v>
      </c>
      <c r="F309" s="12" t="str">
        <f t="array" ref="F309">IF(OR(B309="",B309="---"),"---",TRUNC(IFERROR(MODE(IF((tabDados[Descrição Padronizada]=B309)*(tabDados[Vida Útil (meses)]&lt;&gt;""),tabDados[Vida Útil (meses)],"-")),AVERAGEIFS(tabDados[Vida Útil (meses)],tabDados[Descrição Padronizada],B309))+0.5))</f>
        <v>---</v>
      </c>
      <c r="G309" s="13" t="str">
        <f>IF(OR(B309="",B309="---"),"---",TRUNC(IFERROR(AVERAGEIFS(tabDados[Manutenção (%)],tabDados[Descrição Padronizada],B309,tabDados[Manutenção (%)],"&gt;"&amp;0),0)*10000)/10000)</f>
        <v>---</v>
      </c>
      <c r="H309" s="24" t="str">
        <f>IF(OR(B309="---",B309=""),"---",COUNTIF(tabDados[[#All],[Descrição Padronizada]],B309))</f>
        <v>---</v>
      </c>
      <c r="I309" s="24" t="s">
        <v>20</v>
      </c>
    </row>
    <row r="310" spans="1:9" hidden="1" x14ac:dyDescent="0.35">
      <c r="A310" s="15">
        <v>308</v>
      </c>
      <c r="C310" s="16" t="str">
        <f t="array" ref="C310">IF(B310="","---",IFERROR(
   _xlfn.PERCENTILE.INC(
      IF((tabDados[Descrição Padronizada]=B310)*(tabDados[Valor Unitário]&lt;&gt;""),
         tabDados[Valor Unitário],""
      ),
   C$1),
   _xlfn.MINIFS(tabDados[Valor Unitário],tabDados[Descrição Padronizada],B310)
))</f>
        <v>---</v>
      </c>
      <c r="D310" s="16" t="str">
        <f t="array" ref="D310">IF(B310="","---",IFERROR(
   _xlfn.PERCENTILE.INC(
      IF((tabDados[Descrição Padronizada]=B310)*(tabDados[Valor Unitário]&lt;&gt;""),
         tabDados[Valor Unitário],""
      ),
   D$1),
   _xlfn.MAXIFS(tabDados[Valor Unitário],tabDados[Descrição Padronizada],B310)
))</f>
        <v>---</v>
      </c>
      <c r="E310" s="16" t="str">
        <f>IF(OR(B310="",B310="---"),"---",
   IFERROR(AVERAGEIFS(tabDados[Valor Unitário],tabDados[Descrição Padronizada],B310,tabDados[Valor Unitário],"&gt;="&amp;C310,tabDados[Valor Unitário],"&lt;="&amp;D310),AVERAGE(C310,D310))
)</f>
        <v>---</v>
      </c>
      <c r="F310" s="12" t="str">
        <f t="array" ref="F310">IF(OR(B310="",B310="---"),"---",TRUNC(IFERROR(MODE(IF((tabDados[Descrição Padronizada]=B310)*(tabDados[Vida Útil (meses)]&lt;&gt;""),tabDados[Vida Útil (meses)],"-")),AVERAGEIFS(tabDados[Vida Útil (meses)],tabDados[Descrição Padronizada],B310))+0.5))</f>
        <v>---</v>
      </c>
      <c r="G310" s="13" t="str">
        <f>IF(OR(B310="",B310="---"),"---",TRUNC(IFERROR(AVERAGEIFS(tabDados[Manutenção (%)],tabDados[Descrição Padronizada],B310,tabDados[Manutenção (%)],"&gt;"&amp;0),0)*10000)/10000)</f>
        <v>---</v>
      </c>
      <c r="H310" s="24" t="str">
        <f>IF(OR(B310="---",B310=""),"---",COUNTIF(tabDados[[#All],[Descrição Padronizada]],B310))</f>
        <v>---</v>
      </c>
      <c r="I310" s="24" t="s">
        <v>20</v>
      </c>
    </row>
    <row r="311" spans="1:9" hidden="1" x14ac:dyDescent="0.35">
      <c r="A311" s="15">
        <v>309</v>
      </c>
      <c r="C311" s="16" t="str">
        <f t="array" ref="C311">IF(B311="","---",IFERROR(
   _xlfn.PERCENTILE.INC(
      IF((tabDados[Descrição Padronizada]=B311)*(tabDados[Valor Unitário]&lt;&gt;""),
         tabDados[Valor Unitário],""
      ),
   C$1),
   _xlfn.MINIFS(tabDados[Valor Unitário],tabDados[Descrição Padronizada],B311)
))</f>
        <v>---</v>
      </c>
      <c r="D311" s="16" t="str">
        <f t="array" ref="D311">IF(B311="","---",IFERROR(
   _xlfn.PERCENTILE.INC(
      IF((tabDados[Descrição Padronizada]=B311)*(tabDados[Valor Unitário]&lt;&gt;""),
         tabDados[Valor Unitário],""
      ),
   D$1),
   _xlfn.MAXIFS(tabDados[Valor Unitário],tabDados[Descrição Padronizada],B311)
))</f>
        <v>---</v>
      </c>
      <c r="E311" s="16" t="str">
        <f>IF(OR(B311="",B311="---"),"---",
   IFERROR(AVERAGEIFS(tabDados[Valor Unitário],tabDados[Descrição Padronizada],B311,tabDados[Valor Unitário],"&gt;="&amp;C311,tabDados[Valor Unitário],"&lt;="&amp;D311),AVERAGE(C311,D311))
)</f>
        <v>---</v>
      </c>
      <c r="F311" s="12" t="str">
        <f t="array" ref="F311">IF(OR(B311="",B311="---"),"---",TRUNC(IFERROR(MODE(IF((tabDados[Descrição Padronizada]=B311)*(tabDados[Vida Útil (meses)]&lt;&gt;""),tabDados[Vida Útil (meses)],"-")),AVERAGEIFS(tabDados[Vida Útil (meses)],tabDados[Descrição Padronizada],B311))+0.5))</f>
        <v>---</v>
      </c>
      <c r="G311" s="13" t="str">
        <f>IF(OR(B311="",B311="---"),"---",TRUNC(IFERROR(AVERAGEIFS(tabDados[Manutenção (%)],tabDados[Descrição Padronizada],B311,tabDados[Manutenção (%)],"&gt;"&amp;0),0)*10000)/10000)</f>
        <v>---</v>
      </c>
      <c r="H311" s="24" t="str">
        <f>IF(OR(B311="---",B311=""),"---",COUNTIF(tabDados[[#All],[Descrição Padronizada]],B311))</f>
        <v>---</v>
      </c>
      <c r="I311" s="24" t="s">
        <v>20</v>
      </c>
    </row>
    <row r="312" spans="1:9" hidden="1" x14ac:dyDescent="0.35">
      <c r="A312" s="15">
        <v>310</v>
      </c>
      <c r="C312" s="16" t="str">
        <f t="array" ref="C312">IF(B312="","---",IFERROR(
   _xlfn.PERCENTILE.INC(
      IF((tabDados[Descrição Padronizada]=B312)*(tabDados[Valor Unitário]&lt;&gt;""),
         tabDados[Valor Unitário],""
      ),
   C$1),
   _xlfn.MINIFS(tabDados[Valor Unitário],tabDados[Descrição Padronizada],B312)
))</f>
        <v>---</v>
      </c>
      <c r="D312" s="16" t="str">
        <f t="array" ref="D312">IF(B312="","---",IFERROR(
   _xlfn.PERCENTILE.INC(
      IF((tabDados[Descrição Padronizada]=B312)*(tabDados[Valor Unitário]&lt;&gt;""),
         tabDados[Valor Unitário],""
      ),
   D$1),
   _xlfn.MAXIFS(tabDados[Valor Unitário],tabDados[Descrição Padronizada],B312)
))</f>
        <v>---</v>
      </c>
      <c r="E312" s="16" t="str">
        <f>IF(OR(B312="",B312="---"),"---",
   IFERROR(AVERAGEIFS(tabDados[Valor Unitário],tabDados[Descrição Padronizada],B312,tabDados[Valor Unitário],"&gt;="&amp;C312,tabDados[Valor Unitário],"&lt;="&amp;D312),AVERAGE(C312,D312))
)</f>
        <v>---</v>
      </c>
      <c r="F312" s="12" t="str">
        <f t="array" ref="F312">IF(OR(B312="",B312="---"),"---",TRUNC(IFERROR(MODE(IF((tabDados[Descrição Padronizada]=B312)*(tabDados[Vida Útil (meses)]&lt;&gt;""),tabDados[Vida Útil (meses)],"-")),AVERAGEIFS(tabDados[Vida Útil (meses)],tabDados[Descrição Padronizada],B312))+0.5))</f>
        <v>---</v>
      </c>
      <c r="G312" s="13" t="str">
        <f>IF(OR(B312="",B312="---"),"---",TRUNC(IFERROR(AVERAGEIFS(tabDados[Manutenção (%)],tabDados[Descrição Padronizada],B312,tabDados[Manutenção (%)],"&gt;"&amp;0),0)*10000)/10000)</f>
        <v>---</v>
      </c>
      <c r="H312" s="24" t="str">
        <f>IF(OR(B312="---",B312=""),"---",COUNTIF(tabDados[[#All],[Descrição Padronizada]],B312))</f>
        <v>---</v>
      </c>
      <c r="I312" s="24" t="s">
        <v>20</v>
      </c>
    </row>
    <row r="313" spans="1:9" hidden="1" x14ac:dyDescent="0.35">
      <c r="A313" s="15">
        <v>311</v>
      </c>
      <c r="C313" s="16" t="str">
        <f t="array" ref="C313">IF(B313="","---",IFERROR(
   _xlfn.PERCENTILE.INC(
      IF((tabDados[Descrição Padronizada]=B313)*(tabDados[Valor Unitário]&lt;&gt;""),
         tabDados[Valor Unitário],""
      ),
   C$1),
   _xlfn.MINIFS(tabDados[Valor Unitário],tabDados[Descrição Padronizada],B313)
))</f>
        <v>---</v>
      </c>
      <c r="D313" s="16" t="str">
        <f t="array" ref="D313">IF(B313="","---",IFERROR(
   _xlfn.PERCENTILE.INC(
      IF((tabDados[Descrição Padronizada]=B313)*(tabDados[Valor Unitário]&lt;&gt;""),
         tabDados[Valor Unitário],""
      ),
   D$1),
   _xlfn.MAXIFS(tabDados[Valor Unitário],tabDados[Descrição Padronizada],B313)
))</f>
        <v>---</v>
      </c>
      <c r="E313" s="16" t="str">
        <f>IF(OR(B313="",B313="---"),"---",
   IFERROR(AVERAGEIFS(tabDados[Valor Unitário],tabDados[Descrição Padronizada],B313,tabDados[Valor Unitário],"&gt;="&amp;C313,tabDados[Valor Unitário],"&lt;="&amp;D313),AVERAGE(C313,D313))
)</f>
        <v>---</v>
      </c>
      <c r="F313" s="12" t="str">
        <f t="array" ref="F313">IF(OR(B313="",B313="---"),"---",TRUNC(IFERROR(MODE(IF((tabDados[Descrição Padronizada]=B313)*(tabDados[Vida Útil (meses)]&lt;&gt;""),tabDados[Vida Útil (meses)],"-")),AVERAGEIFS(tabDados[Vida Útil (meses)],tabDados[Descrição Padronizada],B313))+0.5))</f>
        <v>---</v>
      </c>
      <c r="G313" s="13" t="str">
        <f>IF(OR(B313="",B313="---"),"---",TRUNC(IFERROR(AVERAGEIFS(tabDados[Manutenção (%)],tabDados[Descrição Padronizada],B313,tabDados[Manutenção (%)],"&gt;"&amp;0),0)*10000)/10000)</f>
        <v>---</v>
      </c>
      <c r="H313" s="24" t="str">
        <f>IF(OR(B313="---",B313=""),"---",COUNTIF(tabDados[[#All],[Descrição Padronizada]],B313))</f>
        <v>---</v>
      </c>
      <c r="I313" s="24" t="s">
        <v>20</v>
      </c>
    </row>
    <row r="314" spans="1:9" hidden="1" x14ac:dyDescent="0.35">
      <c r="A314" s="15">
        <v>312</v>
      </c>
      <c r="C314" s="16" t="str">
        <f t="array" ref="C314">IF(B314="","---",IFERROR(
   _xlfn.PERCENTILE.INC(
      IF((tabDados[Descrição Padronizada]=B314)*(tabDados[Valor Unitário]&lt;&gt;""),
         tabDados[Valor Unitário],""
      ),
   C$1),
   _xlfn.MINIFS(tabDados[Valor Unitário],tabDados[Descrição Padronizada],B314)
))</f>
        <v>---</v>
      </c>
      <c r="D314" s="16" t="str">
        <f t="array" ref="D314">IF(B314="","---",IFERROR(
   _xlfn.PERCENTILE.INC(
      IF((tabDados[Descrição Padronizada]=B314)*(tabDados[Valor Unitário]&lt;&gt;""),
         tabDados[Valor Unitário],""
      ),
   D$1),
   _xlfn.MAXIFS(tabDados[Valor Unitário],tabDados[Descrição Padronizada],B314)
))</f>
        <v>---</v>
      </c>
      <c r="E314" s="16" t="str">
        <f>IF(OR(B314="",B314="---"),"---",
   IFERROR(AVERAGEIFS(tabDados[Valor Unitário],tabDados[Descrição Padronizada],B314,tabDados[Valor Unitário],"&gt;="&amp;C314,tabDados[Valor Unitário],"&lt;="&amp;D314),AVERAGE(C314,D314))
)</f>
        <v>---</v>
      </c>
      <c r="F314" s="12" t="str">
        <f t="array" ref="F314">IF(OR(B314="",B314="---"),"---",TRUNC(IFERROR(MODE(IF((tabDados[Descrição Padronizada]=B314)*(tabDados[Vida Útil (meses)]&lt;&gt;""),tabDados[Vida Útil (meses)],"-")),AVERAGEIFS(tabDados[Vida Útil (meses)],tabDados[Descrição Padronizada],B314))+0.5))</f>
        <v>---</v>
      </c>
      <c r="G314" s="13" t="str">
        <f>IF(OR(B314="",B314="---"),"---",TRUNC(IFERROR(AVERAGEIFS(tabDados[Manutenção (%)],tabDados[Descrição Padronizada],B314,tabDados[Manutenção (%)],"&gt;"&amp;0),0)*10000)/10000)</f>
        <v>---</v>
      </c>
      <c r="H314" s="24" t="str">
        <f>IF(OR(B314="---",B314=""),"---",COUNTIF(tabDados[[#All],[Descrição Padronizada]],B314))</f>
        <v>---</v>
      </c>
      <c r="I314" s="24" t="s">
        <v>20</v>
      </c>
    </row>
    <row r="315" spans="1:9" hidden="1" x14ac:dyDescent="0.35">
      <c r="A315" s="15">
        <v>313</v>
      </c>
      <c r="C315" s="16" t="str">
        <f t="array" ref="C315">IF(B315="","---",IFERROR(
   _xlfn.PERCENTILE.INC(
      IF((tabDados[Descrição Padronizada]=B315)*(tabDados[Valor Unitário]&lt;&gt;""),
         tabDados[Valor Unitário],""
      ),
   C$1),
   _xlfn.MINIFS(tabDados[Valor Unitário],tabDados[Descrição Padronizada],B315)
))</f>
        <v>---</v>
      </c>
      <c r="D315" s="16" t="str">
        <f t="array" ref="D315">IF(B315="","---",IFERROR(
   _xlfn.PERCENTILE.INC(
      IF((tabDados[Descrição Padronizada]=B315)*(tabDados[Valor Unitário]&lt;&gt;""),
         tabDados[Valor Unitário],""
      ),
   D$1),
   _xlfn.MAXIFS(tabDados[Valor Unitário],tabDados[Descrição Padronizada],B315)
))</f>
        <v>---</v>
      </c>
      <c r="E315" s="16" t="str">
        <f>IF(OR(B315="",B315="---"),"---",
   IFERROR(AVERAGEIFS(tabDados[Valor Unitário],tabDados[Descrição Padronizada],B315,tabDados[Valor Unitário],"&gt;="&amp;C315,tabDados[Valor Unitário],"&lt;="&amp;D315),AVERAGE(C315,D315))
)</f>
        <v>---</v>
      </c>
      <c r="F315" s="12" t="str">
        <f t="array" ref="F315">IF(OR(B315="",B315="---"),"---",TRUNC(IFERROR(MODE(IF((tabDados[Descrição Padronizada]=B315)*(tabDados[Vida Útil (meses)]&lt;&gt;""),tabDados[Vida Útil (meses)],"-")),AVERAGEIFS(tabDados[Vida Útil (meses)],tabDados[Descrição Padronizada],B315))+0.5))</f>
        <v>---</v>
      </c>
      <c r="G315" s="13" t="str">
        <f>IF(OR(B315="",B315="---"),"---",TRUNC(IFERROR(AVERAGEIFS(tabDados[Manutenção (%)],tabDados[Descrição Padronizada],B315,tabDados[Manutenção (%)],"&gt;"&amp;0),0)*10000)/10000)</f>
        <v>---</v>
      </c>
      <c r="H315" s="24" t="str">
        <f>IF(OR(B315="---",B315=""),"---",COUNTIF(tabDados[[#All],[Descrição Padronizada]],B315))</f>
        <v>---</v>
      </c>
      <c r="I315" s="24" t="s">
        <v>20</v>
      </c>
    </row>
    <row r="316" spans="1:9" hidden="1" x14ac:dyDescent="0.35">
      <c r="A316" s="15">
        <v>314</v>
      </c>
      <c r="C316" s="16" t="str">
        <f t="array" ref="C316">IF(B316="","---",IFERROR(
   _xlfn.PERCENTILE.INC(
      IF((tabDados[Descrição Padronizada]=B316)*(tabDados[Valor Unitário]&lt;&gt;""),
         tabDados[Valor Unitário],""
      ),
   C$1),
   _xlfn.MINIFS(tabDados[Valor Unitário],tabDados[Descrição Padronizada],B316)
))</f>
        <v>---</v>
      </c>
      <c r="D316" s="16" t="str">
        <f t="array" ref="D316">IF(B316="","---",IFERROR(
   _xlfn.PERCENTILE.INC(
      IF((tabDados[Descrição Padronizada]=B316)*(tabDados[Valor Unitário]&lt;&gt;""),
         tabDados[Valor Unitário],""
      ),
   D$1),
   _xlfn.MAXIFS(tabDados[Valor Unitário],tabDados[Descrição Padronizada],B316)
))</f>
        <v>---</v>
      </c>
      <c r="E316" s="16" t="str">
        <f>IF(OR(B316="",B316="---"),"---",
   IFERROR(AVERAGEIFS(tabDados[Valor Unitário],tabDados[Descrição Padronizada],B316,tabDados[Valor Unitário],"&gt;="&amp;C316,tabDados[Valor Unitário],"&lt;="&amp;D316),AVERAGE(C316,D316))
)</f>
        <v>---</v>
      </c>
      <c r="F316" s="12" t="str">
        <f t="array" ref="F316">IF(OR(B316="",B316="---"),"---",TRUNC(IFERROR(MODE(IF((tabDados[Descrição Padronizada]=B316)*(tabDados[Vida Útil (meses)]&lt;&gt;""),tabDados[Vida Útil (meses)],"-")),AVERAGEIFS(tabDados[Vida Útil (meses)],tabDados[Descrição Padronizada],B316))+0.5))</f>
        <v>---</v>
      </c>
      <c r="G316" s="13" t="str">
        <f>IF(OR(B316="",B316="---"),"---",TRUNC(IFERROR(AVERAGEIFS(tabDados[Manutenção (%)],tabDados[Descrição Padronizada],B316,tabDados[Manutenção (%)],"&gt;"&amp;0),0)*10000)/10000)</f>
        <v>---</v>
      </c>
      <c r="H316" s="24" t="str">
        <f>IF(OR(B316="---",B316=""),"---",COUNTIF(tabDados[[#All],[Descrição Padronizada]],B316))</f>
        <v>---</v>
      </c>
      <c r="I316" s="24" t="s">
        <v>20</v>
      </c>
    </row>
    <row r="317" spans="1:9" hidden="1" x14ac:dyDescent="0.35">
      <c r="A317" s="15">
        <v>315</v>
      </c>
      <c r="C317" s="16" t="str">
        <f t="array" ref="C317">IF(B317="","---",IFERROR(
   _xlfn.PERCENTILE.INC(
      IF((tabDados[Descrição Padronizada]=B317)*(tabDados[Valor Unitário]&lt;&gt;""),
         tabDados[Valor Unitário],""
      ),
   C$1),
   _xlfn.MINIFS(tabDados[Valor Unitário],tabDados[Descrição Padronizada],B317)
))</f>
        <v>---</v>
      </c>
      <c r="D317" s="16" t="str">
        <f t="array" ref="D317">IF(B317="","---",IFERROR(
   _xlfn.PERCENTILE.INC(
      IF((tabDados[Descrição Padronizada]=B317)*(tabDados[Valor Unitário]&lt;&gt;""),
         tabDados[Valor Unitário],""
      ),
   D$1),
   _xlfn.MAXIFS(tabDados[Valor Unitário],tabDados[Descrição Padronizada],B317)
))</f>
        <v>---</v>
      </c>
      <c r="E317" s="16" t="str">
        <f>IF(OR(B317="",B317="---"),"---",
   IFERROR(AVERAGEIFS(tabDados[Valor Unitário],tabDados[Descrição Padronizada],B317,tabDados[Valor Unitário],"&gt;="&amp;C317,tabDados[Valor Unitário],"&lt;="&amp;D317),AVERAGE(C317,D317))
)</f>
        <v>---</v>
      </c>
      <c r="F317" s="12" t="str">
        <f t="array" ref="F317">IF(OR(B317="",B317="---"),"---",TRUNC(IFERROR(MODE(IF((tabDados[Descrição Padronizada]=B317)*(tabDados[Vida Útil (meses)]&lt;&gt;""),tabDados[Vida Útil (meses)],"-")),AVERAGEIFS(tabDados[Vida Útil (meses)],tabDados[Descrição Padronizada],B317))+0.5))</f>
        <v>---</v>
      </c>
      <c r="G317" s="13" t="str">
        <f>IF(OR(B317="",B317="---"),"---",TRUNC(IFERROR(AVERAGEIFS(tabDados[Manutenção (%)],tabDados[Descrição Padronizada],B317,tabDados[Manutenção (%)],"&gt;"&amp;0),0)*10000)/10000)</f>
        <v>---</v>
      </c>
      <c r="H317" s="24" t="str">
        <f>IF(OR(B317="---",B317=""),"---",COUNTIF(tabDados[[#All],[Descrição Padronizada]],B317))</f>
        <v>---</v>
      </c>
      <c r="I317" s="24" t="s">
        <v>20</v>
      </c>
    </row>
    <row r="318" spans="1:9" hidden="1" x14ac:dyDescent="0.35">
      <c r="A318" s="15">
        <v>316</v>
      </c>
      <c r="C318" s="16" t="str">
        <f t="array" ref="C318">IF(B318="","---",IFERROR(
   _xlfn.PERCENTILE.INC(
      IF((tabDados[Descrição Padronizada]=B318)*(tabDados[Valor Unitário]&lt;&gt;""),
         tabDados[Valor Unitário],""
      ),
   C$1),
   _xlfn.MINIFS(tabDados[Valor Unitário],tabDados[Descrição Padronizada],B318)
))</f>
        <v>---</v>
      </c>
      <c r="D318" s="16" t="str">
        <f t="array" ref="D318">IF(B318="","---",IFERROR(
   _xlfn.PERCENTILE.INC(
      IF((tabDados[Descrição Padronizada]=B318)*(tabDados[Valor Unitário]&lt;&gt;""),
         tabDados[Valor Unitário],""
      ),
   D$1),
   _xlfn.MAXIFS(tabDados[Valor Unitário],tabDados[Descrição Padronizada],B318)
))</f>
        <v>---</v>
      </c>
      <c r="E318" s="16" t="str">
        <f>IF(OR(B318="",B318="---"),"---",
   IFERROR(AVERAGEIFS(tabDados[Valor Unitário],tabDados[Descrição Padronizada],B318,tabDados[Valor Unitário],"&gt;="&amp;C318,tabDados[Valor Unitário],"&lt;="&amp;D318),AVERAGE(C318,D318))
)</f>
        <v>---</v>
      </c>
      <c r="F318" s="12" t="str">
        <f t="array" ref="F318">IF(OR(B318="",B318="---"),"---",TRUNC(IFERROR(MODE(IF((tabDados[Descrição Padronizada]=B318)*(tabDados[Vida Útil (meses)]&lt;&gt;""),tabDados[Vida Útil (meses)],"-")),AVERAGEIFS(tabDados[Vida Útil (meses)],tabDados[Descrição Padronizada],B318))+0.5))</f>
        <v>---</v>
      </c>
      <c r="G318" s="13" t="str">
        <f>IF(OR(B318="",B318="---"),"---",TRUNC(IFERROR(AVERAGEIFS(tabDados[Manutenção (%)],tabDados[Descrição Padronizada],B318,tabDados[Manutenção (%)],"&gt;"&amp;0),0)*10000)/10000)</f>
        <v>---</v>
      </c>
      <c r="H318" s="24" t="str">
        <f>IF(OR(B318="---",B318=""),"---",COUNTIF(tabDados[[#All],[Descrição Padronizada]],B318))</f>
        <v>---</v>
      </c>
      <c r="I318" s="24" t="s">
        <v>20</v>
      </c>
    </row>
    <row r="319" spans="1:9" hidden="1" x14ac:dyDescent="0.35">
      <c r="A319" s="15">
        <v>317</v>
      </c>
      <c r="C319" s="16" t="str">
        <f t="array" ref="C319">IF(B319="","---",IFERROR(
   _xlfn.PERCENTILE.INC(
      IF((tabDados[Descrição Padronizada]=B319)*(tabDados[Valor Unitário]&lt;&gt;""),
         tabDados[Valor Unitário],""
      ),
   C$1),
   _xlfn.MINIFS(tabDados[Valor Unitário],tabDados[Descrição Padronizada],B319)
))</f>
        <v>---</v>
      </c>
      <c r="D319" s="16" t="str">
        <f t="array" ref="D319">IF(B319="","---",IFERROR(
   _xlfn.PERCENTILE.INC(
      IF((tabDados[Descrição Padronizada]=B319)*(tabDados[Valor Unitário]&lt;&gt;""),
         tabDados[Valor Unitário],""
      ),
   D$1),
   _xlfn.MAXIFS(tabDados[Valor Unitário],tabDados[Descrição Padronizada],B319)
))</f>
        <v>---</v>
      </c>
      <c r="E319" s="16" t="str">
        <f>IF(OR(B319="",B319="---"),"---",
   IFERROR(AVERAGEIFS(tabDados[Valor Unitário],tabDados[Descrição Padronizada],B319,tabDados[Valor Unitário],"&gt;="&amp;C319,tabDados[Valor Unitário],"&lt;="&amp;D319),AVERAGE(C319,D319))
)</f>
        <v>---</v>
      </c>
      <c r="F319" s="12" t="str">
        <f t="array" ref="F319">IF(OR(B319="",B319="---"),"---",TRUNC(IFERROR(MODE(IF((tabDados[Descrição Padronizada]=B319)*(tabDados[Vida Útil (meses)]&lt;&gt;""),tabDados[Vida Útil (meses)],"-")),AVERAGEIFS(tabDados[Vida Útil (meses)],tabDados[Descrição Padronizada],B319))+0.5))</f>
        <v>---</v>
      </c>
      <c r="G319" s="13" t="str">
        <f>IF(OR(B319="",B319="---"),"---",TRUNC(IFERROR(AVERAGEIFS(tabDados[Manutenção (%)],tabDados[Descrição Padronizada],B319,tabDados[Manutenção (%)],"&gt;"&amp;0),0)*10000)/10000)</f>
        <v>---</v>
      </c>
      <c r="H319" s="24" t="str">
        <f>IF(OR(B319="---",B319=""),"---",COUNTIF(tabDados[[#All],[Descrição Padronizada]],B319))</f>
        <v>---</v>
      </c>
      <c r="I319" s="24" t="s">
        <v>20</v>
      </c>
    </row>
    <row r="320" spans="1:9" hidden="1" x14ac:dyDescent="0.35">
      <c r="A320" s="15">
        <v>318</v>
      </c>
      <c r="C320" s="16" t="str">
        <f t="array" ref="C320">IF(B320="","---",IFERROR(
   _xlfn.PERCENTILE.INC(
      IF((tabDados[Descrição Padronizada]=B320)*(tabDados[Valor Unitário]&lt;&gt;""),
         tabDados[Valor Unitário],""
      ),
   C$1),
   _xlfn.MINIFS(tabDados[Valor Unitário],tabDados[Descrição Padronizada],B320)
))</f>
        <v>---</v>
      </c>
      <c r="D320" s="16" t="str">
        <f t="array" ref="D320">IF(B320="","---",IFERROR(
   _xlfn.PERCENTILE.INC(
      IF((tabDados[Descrição Padronizada]=B320)*(tabDados[Valor Unitário]&lt;&gt;""),
         tabDados[Valor Unitário],""
      ),
   D$1),
   _xlfn.MAXIFS(tabDados[Valor Unitário],tabDados[Descrição Padronizada],B320)
))</f>
        <v>---</v>
      </c>
      <c r="E320" s="16" t="str">
        <f>IF(OR(B320="",B320="---"),"---",
   IFERROR(AVERAGEIFS(tabDados[Valor Unitário],tabDados[Descrição Padronizada],B320,tabDados[Valor Unitário],"&gt;="&amp;C320,tabDados[Valor Unitário],"&lt;="&amp;D320),AVERAGE(C320,D320))
)</f>
        <v>---</v>
      </c>
      <c r="F320" s="12" t="str">
        <f t="array" ref="F320">IF(OR(B320="",B320="---"),"---",TRUNC(IFERROR(MODE(IF((tabDados[Descrição Padronizada]=B320)*(tabDados[Vida Útil (meses)]&lt;&gt;""),tabDados[Vida Útil (meses)],"-")),AVERAGEIFS(tabDados[Vida Útil (meses)],tabDados[Descrição Padronizada],B320))+0.5))</f>
        <v>---</v>
      </c>
      <c r="G320" s="13" t="str">
        <f>IF(OR(B320="",B320="---"),"---",TRUNC(IFERROR(AVERAGEIFS(tabDados[Manutenção (%)],tabDados[Descrição Padronizada],B320,tabDados[Manutenção (%)],"&gt;"&amp;0),0)*10000)/10000)</f>
        <v>---</v>
      </c>
      <c r="H320" s="24" t="str">
        <f>IF(OR(B320="---",B320=""),"---",COUNTIF(tabDados[[#All],[Descrição Padronizada]],B320))</f>
        <v>---</v>
      </c>
      <c r="I320" s="24" t="s">
        <v>20</v>
      </c>
    </row>
    <row r="321" spans="1:9" hidden="1" x14ac:dyDescent="0.35">
      <c r="A321" s="15">
        <v>319</v>
      </c>
      <c r="C321" s="16" t="str">
        <f t="array" ref="C321">IF(B321="","---",IFERROR(
   _xlfn.PERCENTILE.INC(
      IF((tabDados[Descrição Padronizada]=B321)*(tabDados[Valor Unitário]&lt;&gt;""),
         tabDados[Valor Unitário],""
      ),
   C$1),
   _xlfn.MINIFS(tabDados[Valor Unitário],tabDados[Descrição Padronizada],B321)
))</f>
        <v>---</v>
      </c>
      <c r="D321" s="16" t="str">
        <f t="array" ref="D321">IF(B321="","---",IFERROR(
   _xlfn.PERCENTILE.INC(
      IF((tabDados[Descrição Padronizada]=B321)*(tabDados[Valor Unitário]&lt;&gt;""),
         tabDados[Valor Unitário],""
      ),
   D$1),
   _xlfn.MAXIFS(tabDados[Valor Unitário],tabDados[Descrição Padronizada],B321)
))</f>
        <v>---</v>
      </c>
      <c r="E321" s="16" t="str">
        <f>IF(OR(B321="",B321="---"),"---",
   IFERROR(AVERAGEIFS(tabDados[Valor Unitário],tabDados[Descrição Padronizada],B321,tabDados[Valor Unitário],"&gt;="&amp;C321,tabDados[Valor Unitário],"&lt;="&amp;D321),AVERAGE(C321,D321))
)</f>
        <v>---</v>
      </c>
      <c r="F321" s="12" t="str">
        <f t="array" ref="F321">IF(OR(B321="",B321="---"),"---",TRUNC(IFERROR(MODE(IF((tabDados[Descrição Padronizada]=B321)*(tabDados[Vida Útil (meses)]&lt;&gt;""),tabDados[Vida Útil (meses)],"-")),AVERAGEIFS(tabDados[Vida Útil (meses)],tabDados[Descrição Padronizada],B321))+0.5))</f>
        <v>---</v>
      </c>
      <c r="G321" s="13" t="str">
        <f>IF(OR(B321="",B321="---"),"---",TRUNC(IFERROR(AVERAGEIFS(tabDados[Manutenção (%)],tabDados[Descrição Padronizada],B321,tabDados[Manutenção (%)],"&gt;"&amp;0),0)*10000)/10000)</f>
        <v>---</v>
      </c>
      <c r="H321" s="24" t="str">
        <f>IF(OR(B321="---",B321=""),"---",COUNTIF(tabDados[[#All],[Descrição Padronizada]],B321))</f>
        <v>---</v>
      </c>
      <c r="I321" s="24" t="s">
        <v>20</v>
      </c>
    </row>
    <row r="322" spans="1:9" hidden="1" x14ac:dyDescent="0.35">
      <c r="A322" s="15">
        <v>320</v>
      </c>
      <c r="C322" s="16" t="str">
        <f t="array" ref="C322">IF(B322="","---",IFERROR(
   _xlfn.PERCENTILE.INC(
      IF((tabDados[Descrição Padronizada]=B322)*(tabDados[Valor Unitário]&lt;&gt;""),
         tabDados[Valor Unitário],""
      ),
   C$1),
   _xlfn.MINIFS(tabDados[Valor Unitário],tabDados[Descrição Padronizada],B322)
))</f>
        <v>---</v>
      </c>
      <c r="D322" s="16" t="str">
        <f t="array" ref="D322">IF(B322="","---",IFERROR(
   _xlfn.PERCENTILE.INC(
      IF((tabDados[Descrição Padronizada]=B322)*(tabDados[Valor Unitário]&lt;&gt;""),
         tabDados[Valor Unitário],""
      ),
   D$1),
   _xlfn.MAXIFS(tabDados[Valor Unitário],tabDados[Descrição Padronizada],B322)
))</f>
        <v>---</v>
      </c>
      <c r="E322" s="16" t="str">
        <f>IF(OR(B322="",B322="---"),"---",
   IFERROR(AVERAGEIFS(tabDados[Valor Unitário],tabDados[Descrição Padronizada],B322,tabDados[Valor Unitário],"&gt;="&amp;C322,tabDados[Valor Unitário],"&lt;="&amp;D322),AVERAGE(C322,D322))
)</f>
        <v>---</v>
      </c>
      <c r="F322" s="12" t="str">
        <f t="array" ref="F322">IF(OR(B322="",B322="---"),"---",TRUNC(IFERROR(MODE(IF((tabDados[Descrição Padronizada]=B322)*(tabDados[Vida Útil (meses)]&lt;&gt;""),tabDados[Vida Útil (meses)],"-")),AVERAGEIFS(tabDados[Vida Útil (meses)],tabDados[Descrição Padronizada],B322))+0.5))</f>
        <v>---</v>
      </c>
      <c r="G322" s="13" t="str">
        <f>IF(OR(B322="",B322="---"),"---",TRUNC(IFERROR(AVERAGEIFS(tabDados[Manutenção (%)],tabDados[Descrição Padronizada],B322,tabDados[Manutenção (%)],"&gt;"&amp;0),0)*10000)/10000)</f>
        <v>---</v>
      </c>
      <c r="H322" s="24" t="str">
        <f>IF(OR(B322="---",B322=""),"---",COUNTIF(tabDados[[#All],[Descrição Padronizada]],B322))</f>
        <v>---</v>
      </c>
      <c r="I322" s="24" t="s">
        <v>20</v>
      </c>
    </row>
    <row r="323" spans="1:9" hidden="1" x14ac:dyDescent="0.35">
      <c r="A323" s="15">
        <v>321</v>
      </c>
      <c r="C323" s="16" t="str">
        <f t="array" ref="C323">IF(B323="","---",IFERROR(
   _xlfn.PERCENTILE.INC(
      IF((tabDados[Descrição Padronizada]=B323)*(tabDados[Valor Unitário]&lt;&gt;""),
         tabDados[Valor Unitário],""
      ),
   C$1),
   _xlfn.MINIFS(tabDados[Valor Unitário],tabDados[Descrição Padronizada],B323)
))</f>
        <v>---</v>
      </c>
      <c r="D323" s="16" t="str">
        <f t="array" ref="D323">IF(B323="","---",IFERROR(
   _xlfn.PERCENTILE.INC(
      IF((tabDados[Descrição Padronizada]=B323)*(tabDados[Valor Unitário]&lt;&gt;""),
         tabDados[Valor Unitário],""
      ),
   D$1),
   _xlfn.MAXIFS(tabDados[Valor Unitário],tabDados[Descrição Padronizada],B323)
))</f>
        <v>---</v>
      </c>
      <c r="E323" s="16" t="str">
        <f>IF(OR(B323="",B323="---"),"---",
   IFERROR(AVERAGEIFS(tabDados[Valor Unitário],tabDados[Descrição Padronizada],B323,tabDados[Valor Unitário],"&gt;="&amp;C323,tabDados[Valor Unitário],"&lt;="&amp;D323),AVERAGE(C323,D323))
)</f>
        <v>---</v>
      </c>
      <c r="F323" s="12" t="str">
        <f t="array" ref="F323">IF(OR(B323="",B323="---"),"---",TRUNC(IFERROR(MODE(IF((tabDados[Descrição Padronizada]=B323)*(tabDados[Vida Útil (meses)]&lt;&gt;""),tabDados[Vida Útil (meses)],"-")),AVERAGEIFS(tabDados[Vida Útil (meses)],tabDados[Descrição Padronizada],B323))+0.5))</f>
        <v>---</v>
      </c>
      <c r="G323" s="13" t="str">
        <f>IF(OR(B323="",B323="---"),"---",TRUNC(IFERROR(AVERAGEIFS(tabDados[Manutenção (%)],tabDados[Descrição Padronizada],B323,tabDados[Manutenção (%)],"&gt;"&amp;0),0)*10000)/10000)</f>
        <v>---</v>
      </c>
      <c r="H323" s="24" t="str">
        <f>IF(OR(B323="---",B323=""),"---",COUNTIF(tabDados[[#All],[Descrição Padronizada]],B323))</f>
        <v>---</v>
      </c>
      <c r="I323" s="24" t="s">
        <v>20</v>
      </c>
    </row>
    <row r="324" spans="1:9" hidden="1" x14ac:dyDescent="0.35">
      <c r="A324" s="15">
        <v>322</v>
      </c>
      <c r="C324" s="16" t="str">
        <f t="array" ref="C324">IF(B324="","---",IFERROR(
   _xlfn.PERCENTILE.INC(
      IF((tabDados[Descrição Padronizada]=B324)*(tabDados[Valor Unitário]&lt;&gt;""),
         tabDados[Valor Unitário],""
      ),
   C$1),
   _xlfn.MINIFS(tabDados[Valor Unitário],tabDados[Descrição Padronizada],B324)
))</f>
        <v>---</v>
      </c>
      <c r="D324" s="16" t="str">
        <f t="array" ref="D324">IF(B324="","---",IFERROR(
   _xlfn.PERCENTILE.INC(
      IF((tabDados[Descrição Padronizada]=B324)*(tabDados[Valor Unitário]&lt;&gt;""),
         tabDados[Valor Unitário],""
      ),
   D$1),
   _xlfn.MAXIFS(tabDados[Valor Unitário],tabDados[Descrição Padronizada],B324)
))</f>
        <v>---</v>
      </c>
      <c r="E324" s="16" t="str">
        <f>IF(OR(B324="",B324="---"),"---",
   IFERROR(AVERAGEIFS(tabDados[Valor Unitário],tabDados[Descrição Padronizada],B324,tabDados[Valor Unitário],"&gt;="&amp;C324,tabDados[Valor Unitário],"&lt;="&amp;D324),AVERAGE(C324,D324))
)</f>
        <v>---</v>
      </c>
      <c r="F324" s="12" t="str">
        <f t="array" ref="F324">IF(OR(B324="",B324="---"),"---",TRUNC(IFERROR(MODE(IF((tabDados[Descrição Padronizada]=B324)*(tabDados[Vida Útil (meses)]&lt;&gt;""),tabDados[Vida Útil (meses)],"-")),AVERAGEIFS(tabDados[Vida Útil (meses)],tabDados[Descrição Padronizada],B324))+0.5))</f>
        <v>---</v>
      </c>
      <c r="G324" s="13" t="str">
        <f>IF(OR(B324="",B324="---"),"---",TRUNC(IFERROR(AVERAGEIFS(tabDados[Manutenção (%)],tabDados[Descrição Padronizada],B324,tabDados[Manutenção (%)],"&gt;"&amp;0),0)*10000)/10000)</f>
        <v>---</v>
      </c>
      <c r="H324" s="24" t="str">
        <f>IF(OR(B324="---",B324=""),"---",COUNTIF(tabDados[[#All],[Descrição Padronizada]],B324))</f>
        <v>---</v>
      </c>
      <c r="I324" s="24" t="s">
        <v>20</v>
      </c>
    </row>
    <row r="325" spans="1:9" hidden="1" x14ac:dyDescent="0.35">
      <c r="A325" s="15">
        <v>323</v>
      </c>
      <c r="C325" s="16" t="str">
        <f t="array" ref="C325">IF(B325="","---",IFERROR(
   _xlfn.PERCENTILE.INC(
      IF((tabDados[Descrição Padronizada]=B325)*(tabDados[Valor Unitário]&lt;&gt;""),
         tabDados[Valor Unitário],""
      ),
   C$1),
   _xlfn.MINIFS(tabDados[Valor Unitário],tabDados[Descrição Padronizada],B325)
))</f>
        <v>---</v>
      </c>
      <c r="D325" s="16" t="str">
        <f t="array" ref="D325">IF(B325="","---",IFERROR(
   _xlfn.PERCENTILE.INC(
      IF((tabDados[Descrição Padronizada]=B325)*(tabDados[Valor Unitário]&lt;&gt;""),
         tabDados[Valor Unitário],""
      ),
   D$1),
   _xlfn.MAXIFS(tabDados[Valor Unitário],tabDados[Descrição Padronizada],B325)
))</f>
        <v>---</v>
      </c>
      <c r="E325" s="16" t="str">
        <f>IF(OR(B325="",B325="---"),"---",
   IFERROR(AVERAGEIFS(tabDados[Valor Unitário],tabDados[Descrição Padronizada],B325,tabDados[Valor Unitário],"&gt;="&amp;C325,tabDados[Valor Unitário],"&lt;="&amp;D325),AVERAGE(C325,D325))
)</f>
        <v>---</v>
      </c>
      <c r="F325" s="12" t="str">
        <f t="array" ref="F325">IF(OR(B325="",B325="---"),"---",TRUNC(IFERROR(MODE(IF((tabDados[Descrição Padronizada]=B325)*(tabDados[Vida Útil (meses)]&lt;&gt;""),tabDados[Vida Útil (meses)],"-")),AVERAGEIFS(tabDados[Vida Útil (meses)],tabDados[Descrição Padronizada],B325))+0.5))</f>
        <v>---</v>
      </c>
      <c r="G325" s="13" t="str">
        <f>IF(OR(B325="",B325="---"),"---",TRUNC(IFERROR(AVERAGEIFS(tabDados[Manutenção (%)],tabDados[Descrição Padronizada],B325,tabDados[Manutenção (%)],"&gt;"&amp;0),0)*10000)/10000)</f>
        <v>---</v>
      </c>
      <c r="H325" s="24" t="str">
        <f>IF(OR(B325="---",B325=""),"---",COUNTIF(tabDados[[#All],[Descrição Padronizada]],B325))</f>
        <v>---</v>
      </c>
      <c r="I325" s="24" t="s">
        <v>20</v>
      </c>
    </row>
    <row r="326" spans="1:9" hidden="1" x14ac:dyDescent="0.35">
      <c r="A326" s="15">
        <v>324</v>
      </c>
      <c r="C326" s="16" t="str">
        <f t="array" ref="C326">IF(B326="","---",IFERROR(
   _xlfn.PERCENTILE.INC(
      IF((tabDados[Descrição Padronizada]=B326)*(tabDados[Valor Unitário]&lt;&gt;""),
         tabDados[Valor Unitário],""
      ),
   C$1),
   _xlfn.MINIFS(tabDados[Valor Unitário],tabDados[Descrição Padronizada],B326)
))</f>
        <v>---</v>
      </c>
      <c r="D326" s="16" t="str">
        <f t="array" ref="D326">IF(B326="","---",IFERROR(
   _xlfn.PERCENTILE.INC(
      IF((tabDados[Descrição Padronizada]=B326)*(tabDados[Valor Unitário]&lt;&gt;""),
         tabDados[Valor Unitário],""
      ),
   D$1),
   _xlfn.MAXIFS(tabDados[Valor Unitário],tabDados[Descrição Padronizada],B326)
))</f>
        <v>---</v>
      </c>
      <c r="E326" s="16" t="str">
        <f>IF(OR(B326="",B326="---"),"---",
   IFERROR(AVERAGEIFS(tabDados[Valor Unitário],tabDados[Descrição Padronizada],B326,tabDados[Valor Unitário],"&gt;="&amp;C326,tabDados[Valor Unitário],"&lt;="&amp;D326),AVERAGE(C326,D326))
)</f>
        <v>---</v>
      </c>
      <c r="F326" s="12" t="str">
        <f t="array" ref="F326">IF(OR(B326="",B326="---"),"---",TRUNC(IFERROR(MODE(IF((tabDados[Descrição Padronizada]=B326)*(tabDados[Vida Útil (meses)]&lt;&gt;""),tabDados[Vida Útil (meses)],"-")),AVERAGEIFS(tabDados[Vida Útil (meses)],tabDados[Descrição Padronizada],B326))+0.5))</f>
        <v>---</v>
      </c>
      <c r="G326" s="13" t="str">
        <f>IF(OR(B326="",B326="---"),"---",TRUNC(IFERROR(AVERAGEIFS(tabDados[Manutenção (%)],tabDados[Descrição Padronizada],B326,tabDados[Manutenção (%)],"&gt;"&amp;0),0)*10000)/10000)</f>
        <v>---</v>
      </c>
      <c r="H326" s="24" t="str">
        <f>IF(OR(B326="---",B326=""),"---",COUNTIF(tabDados[[#All],[Descrição Padronizada]],B326))</f>
        <v>---</v>
      </c>
      <c r="I326" s="24" t="s">
        <v>20</v>
      </c>
    </row>
    <row r="327" spans="1:9" hidden="1" x14ac:dyDescent="0.35">
      <c r="A327" s="15">
        <v>325</v>
      </c>
      <c r="C327" s="16" t="str">
        <f t="array" ref="C327">IF(B327="","---",IFERROR(
   _xlfn.PERCENTILE.INC(
      IF((tabDados[Descrição Padronizada]=B327)*(tabDados[Valor Unitário]&lt;&gt;""),
         tabDados[Valor Unitário],""
      ),
   C$1),
   _xlfn.MINIFS(tabDados[Valor Unitário],tabDados[Descrição Padronizada],B327)
))</f>
        <v>---</v>
      </c>
      <c r="D327" s="16" t="str">
        <f t="array" ref="D327">IF(B327="","---",IFERROR(
   _xlfn.PERCENTILE.INC(
      IF((tabDados[Descrição Padronizada]=B327)*(tabDados[Valor Unitário]&lt;&gt;""),
         tabDados[Valor Unitário],""
      ),
   D$1),
   _xlfn.MAXIFS(tabDados[Valor Unitário],tabDados[Descrição Padronizada],B327)
))</f>
        <v>---</v>
      </c>
      <c r="E327" s="16" t="str">
        <f>IF(OR(B327="",B327="---"),"---",
   IFERROR(AVERAGEIFS(tabDados[Valor Unitário],tabDados[Descrição Padronizada],B327,tabDados[Valor Unitário],"&gt;="&amp;C327,tabDados[Valor Unitário],"&lt;="&amp;D327),AVERAGE(C327,D327))
)</f>
        <v>---</v>
      </c>
      <c r="F327" s="12" t="str">
        <f t="array" ref="F327">IF(OR(B327="",B327="---"),"---",TRUNC(IFERROR(MODE(IF((tabDados[Descrição Padronizada]=B327)*(tabDados[Vida Útil (meses)]&lt;&gt;""),tabDados[Vida Útil (meses)],"-")),AVERAGEIFS(tabDados[Vida Útil (meses)],tabDados[Descrição Padronizada],B327))+0.5))</f>
        <v>---</v>
      </c>
      <c r="G327" s="13" t="str">
        <f>IF(OR(B327="",B327="---"),"---",TRUNC(IFERROR(AVERAGEIFS(tabDados[Manutenção (%)],tabDados[Descrição Padronizada],B327,tabDados[Manutenção (%)],"&gt;"&amp;0),0)*10000)/10000)</f>
        <v>---</v>
      </c>
      <c r="H327" s="24" t="str">
        <f>IF(OR(B327="---",B327=""),"---",COUNTIF(tabDados[[#All],[Descrição Padronizada]],B327))</f>
        <v>---</v>
      </c>
      <c r="I327" s="24" t="s">
        <v>20</v>
      </c>
    </row>
    <row r="328" spans="1:9" hidden="1" x14ac:dyDescent="0.35">
      <c r="A328" s="15">
        <v>326</v>
      </c>
      <c r="C328" s="16" t="str">
        <f t="array" ref="C328">IF(B328="","---",IFERROR(
   _xlfn.PERCENTILE.INC(
      IF((tabDados[Descrição Padronizada]=B328)*(tabDados[Valor Unitário]&lt;&gt;""),
         tabDados[Valor Unitário],""
      ),
   C$1),
   _xlfn.MINIFS(tabDados[Valor Unitário],tabDados[Descrição Padronizada],B328)
))</f>
        <v>---</v>
      </c>
      <c r="D328" s="16" t="str">
        <f t="array" ref="D328">IF(B328="","---",IFERROR(
   _xlfn.PERCENTILE.INC(
      IF((tabDados[Descrição Padronizada]=B328)*(tabDados[Valor Unitário]&lt;&gt;""),
         tabDados[Valor Unitário],""
      ),
   D$1),
   _xlfn.MAXIFS(tabDados[Valor Unitário],tabDados[Descrição Padronizada],B328)
))</f>
        <v>---</v>
      </c>
      <c r="E328" s="16" t="str">
        <f>IF(OR(B328="",B328="---"),"---",
   IFERROR(AVERAGEIFS(tabDados[Valor Unitário],tabDados[Descrição Padronizada],B328,tabDados[Valor Unitário],"&gt;="&amp;C328,tabDados[Valor Unitário],"&lt;="&amp;D328),AVERAGE(C328,D328))
)</f>
        <v>---</v>
      </c>
      <c r="F328" s="12" t="str">
        <f t="array" ref="F328">IF(OR(B328="",B328="---"),"---",TRUNC(IFERROR(MODE(IF((tabDados[Descrição Padronizada]=B328)*(tabDados[Vida Útil (meses)]&lt;&gt;""),tabDados[Vida Útil (meses)],"-")),AVERAGEIFS(tabDados[Vida Útil (meses)],tabDados[Descrição Padronizada],B328))+0.5))</f>
        <v>---</v>
      </c>
      <c r="G328" s="13" t="str">
        <f>IF(OR(B328="",B328="---"),"---",TRUNC(IFERROR(AVERAGEIFS(tabDados[Manutenção (%)],tabDados[Descrição Padronizada],B328,tabDados[Manutenção (%)],"&gt;"&amp;0),0)*10000)/10000)</f>
        <v>---</v>
      </c>
      <c r="H328" s="24" t="str">
        <f>IF(OR(B328="---",B328=""),"---",COUNTIF(tabDados[[#All],[Descrição Padronizada]],B328))</f>
        <v>---</v>
      </c>
      <c r="I328" s="24" t="s">
        <v>20</v>
      </c>
    </row>
    <row r="329" spans="1:9" hidden="1" x14ac:dyDescent="0.35">
      <c r="A329" s="15">
        <v>327</v>
      </c>
      <c r="C329" s="16" t="str">
        <f t="array" ref="C329">IF(B329="","---",IFERROR(
   _xlfn.PERCENTILE.INC(
      IF((tabDados[Descrição Padronizada]=B329)*(tabDados[Valor Unitário]&lt;&gt;""),
         tabDados[Valor Unitário],""
      ),
   C$1),
   _xlfn.MINIFS(tabDados[Valor Unitário],tabDados[Descrição Padronizada],B329)
))</f>
        <v>---</v>
      </c>
      <c r="D329" s="16" t="str">
        <f t="array" ref="D329">IF(B329="","---",IFERROR(
   _xlfn.PERCENTILE.INC(
      IF((tabDados[Descrição Padronizada]=B329)*(tabDados[Valor Unitário]&lt;&gt;""),
         tabDados[Valor Unitário],""
      ),
   D$1),
   _xlfn.MAXIFS(tabDados[Valor Unitário],tabDados[Descrição Padronizada],B329)
))</f>
        <v>---</v>
      </c>
      <c r="E329" s="16" t="str">
        <f>IF(OR(B329="",B329="---"),"---",
   IFERROR(AVERAGEIFS(tabDados[Valor Unitário],tabDados[Descrição Padronizada],B329,tabDados[Valor Unitário],"&gt;="&amp;C329,tabDados[Valor Unitário],"&lt;="&amp;D329),AVERAGE(C329,D329))
)</f>
        <v>---</v>
      </c>
      <c r="F329" s="12" t="str">
        <f t="array" ref="F329">IF(OR(B329="",B329="---"),"---",TRUNC(IFERROR(MODE(IF((tabDados[Descrição Padronizada]=B329)*(tabDados[Vida Útil (meses)]&lt;&gt;""),tabDados[Vida Útil (meses)],"-")),AVERAGEIFS(tabDados[Vida Útil (meses)],tabDados[Descrição Padronizada],B329))+0.5))</f>
        <v>---</v>
      </c>
      <c r="G329" s="13" t="str">
        <f>IF(OR(B329="",B329="---"),"---",TRUNC(IFERROR(AVERAGEIFS(tabDados[Manutenção (%)],tabDados[Descrição Padronizada],B329,tabDados[Manutenção (%)],"&gt;"&amp;0),0)*10000)/10000)</f>
        <v>---</v>
      </c>
      <c r="H329" s="24" t="str">
        <f>IF(OR(B329="---",B329=""),"---",COUNTIF(tabDados[[#All],[Descrição Padronizada]],B329))</f>
        <v>---</v>
      </c>
      <c r="I329" s="24" t="s">
        <v>20</v>
      </c>
    </row>
    <row r="330" spans="1:9" hidden="1" x14ac:dyDescent="0.35">
      <c r="A330" s="15">
        <v>328</v>
      </c>
      <c r="C330" s="16" t="str">
        <f t="array" ref="C330">IF(B330="","---",IFERROR(
   _xlfn.PERCENTILE.INC(
      IF((tabDados[Descrição Padronizada]=B330)*(tabDados[Valor Unitário]&lt;&gt;""),
         tabDados[Valor Unitário],""
      ),
   C$1),
   _xlfn.MINIFS(tabDados[Valor Unitário],tabDados[Descrição Padronizada],B330)
))</f>
        <v>---</v>
      </c>
      <c r="D330" s="16" t="str">
        <f t="array" ref="D330">IF(B330="","---",IFERROR(
   _xlfn.PERCENTILE.INC(
      IF((tabDados[Descrição Padronizada]=B330)*(tabDados[Valor Unitário]&lt;&gt;""),
         tabDados[Valor Unitário],""
      ),
   D$1),
   _xlfn.MAXIFS(tabDados[Valor Unitário],tabDados[Descrição Padronizada],B330)
))</f>
        <v>---</v>
      </c>
      <c r="E330" s="16" t="str">
        <f>IF(OR(B330="",B330="---"),"---",
   IFERROR(AVERAGEIFS(tabDados[Valor Unitário],tabDados[Descrição Padronizada],B330,tabDados[Valor Unitário],"&gt;="&amp;C330,tabDados[Valor Unitário],"&lt;="&amp;D330),AVERAGE(C330,D330))
)</f>
        <v>---</v>
      </c>
      <c r="F330" s="12" t="str">
        <f t="array" ref="F330">IF(OR(B330="",B330="---"),"---",TRUNC(IFERROR(MODE(IF((tabDados[Descrição Padronizada]=B330)*(tabDados[Vida Útil (meses)]&lt;&gt;""),tabDados[Vida Útil (meses)],"-")),AVERAGEIFS(tabDados[Vida Útil (meses)],tabDados[Descrição Padronizada],B330))+0.5))</f>
        <v>---</v>
      </c>
      <c r="G330" s="13" t="str">
        <f>IF(OR(B330="",B330="---"),"---",TRUNC(IFERROR(AVERAGEIFS(tabDados[Manutenção (%)],tabDados[Descrição Padronizada],B330,tabDados[Manutenção (%)],"&gt;"&amp;0),0)*10000)/10000)</f>
        <v>---</v>
      </c>
      <c r="H330" s="24" t="str">
        <f>IF(OR(B330="---",B330=""),"---",COUNTIF(tabDados[[#All],[Descrição Padronizada]],B330))</f>
        <v>---</v>
      </c>
      <c r="I330" s="24" t="s">
        <v>20</v>
      </c>
    </row>
    <row r="331" spans="1:9" hidden="1" x14ac:dyDescent="0.35">
      <c r="A331" s="15">
        <v>329</v>
      </c>
      <c r="C331" s="16" t="str">
        <f t="array" ref="C331">IF(B331="","---",IFERROR(
   _xlfn.PERCENTILE.INC(
      IF((tabDados[Descrição Padronizada]=B331)*(tabDados[Valor Unitário]&lt;&gt;""),
         tabDados[Valor Unitário],""
      ),
   C$1),
   _xlfn.MINIFS(tabDados[Valor Unitário],tabDados[Descrição Padronizada],B331)
))</f>
        <v>---</v>
      </c>
      <c r="D331" s="16" t="str">
        <f t="array" ref="D331">IF(B331="","---",IFERROR(
   _xlfn.PERCENTILE.INC(
      IF((tabDados[Descrição Padronizada]=B331)*(tabDados[Valor Unitário]&lt;&gt;""),
         tabDados[Valor Unitário],""
      ),
   D$1),
   _xlfn.MAXIFS(tabDados[Valor Unitário],tabDados[Descrição Padronizada],B331)
))</f>
        <v>---</v>
      </c>
      <c r="E331" s="16" t="str">
        <f>IF(OR(B331="",B331="---"),"---",
   IFERROR(AVERAGEIFS(tabDados[Valor Unitário],tabDados[Descrição Padronizada],B331,tabDados[Valor Unitário],"&gt;="&amp;C331,tabDados[Valor Unitário],"&lt;="&amp;D331),AVERAGE(C331,D331))
)</f>
        <v>---</v>
      </c>
      <c r="F331" s="12" t="str">
        <f t="array" ref="F331">IF(OR(B331="",B331="---"),"---",TRUNC(IFERROR(MODE(IF((tabDados[Descrição Padronizada]=B331)*(tabDados[Vida Útil (meses)]&lt;&gt;""),tabDados[Vida Útil (meses)],"-")),AVERAGEIFS(tabDados[Vida Útil (meses)],tabDados[Descrição Padronizada],B331))+0.5))</f>
        <v>---</v>
      </c>
      <c r="G331" s="13" t="str">
        <f>IF(OR(B331="",B331="---"),"---",TRUNC(IFERROR(AVERAGEIFS(tabDados[Manutenção (%)],tabDados[Descrição Padronizada],B331,tabDados[Manutenção (%)],"&gt;"&amp;0),0)*10000)/10000)</f>
        <v>---</v>
      </c>
      <c r="H331" s="24" t="str">
        <f>IF(OR(B331="---",B331=""),"---",COUNTIF(tabDados[[#All],[Descrição Padronizada]],B331))</f>
        <v>---</v>
      </c>
      <c r="I331" s="24" t="s">
        <v>20</v>
      </c>
    </row>
    <row r="332" spans="1:9" hidden="1" x14ac:dyDescent="0.35">
      <c r="A332" s="15">
        <v>330</v>
      </c>
      <c r="C332" s="16" t="str">
        <f t="array" ref="C332">IF(B332="","---",IFERROR(
   _xlfn.PERCENTILE.INC(
      IF((tabDados[Descrição Padronizada]=B332)*(tabDados[Valor Unitário]&lt;&gt;""),
         tabDados[Valor Unitário],""
      ),
   C$1),
   _xlfn.MINIFS(tabDados[Valor Unitário],tabDados[Descrição Padronizada],B332)
))</f>
        <v>---</v>
      </c>
      <c r="D332" s="16" t="str">
        <f t="array" ref="D332">IF(B332="","---",IFERROR(
   _xlfn.PERCENTILE.INC(
      IF((tabDados[Descrição Padronizada]=B332)*(tabDados[Valor Unitário]&lt;&gt;""),
         tabDados[Valor Unitário],""
      ),
   D$1),
   _xlfn.MAXIFS(tabDados[Valor Unitário],tabDados[Descrição Padronizada],B332)
))</f>
        <v>---</v>
      </c>
      <c r="E332" s="16" t="str">
        <f>IF(OR(B332="",B332="---"),"---",
   IFERROR(AVERAGEIFS(tabDados[Valor Unitário],tabDados[Descrição Padronizada],B332,tabDados[Valor Unitário],"&gt;="&amp;C332,tabDados[Valor Unitário],"&lt;="&amp;D332),AVERAGE(C332,D332))
)</f>
        <v>---</v>
      </c>
      <c r="F332" s="12" t="str">
        <f t="array" ref="F332">IF(OR(B332="",B332="---"),"---",TRUNC(IFERROR(MODE(IF((tabDados[Descrição Padronizada]=B332)*(tabDados[Vida Útil (meses)]&lt;&gt;""),tabDados[Vida Útil (meses)],"-")),AVERAGEIFS(tabDados[Vida Útil (meses)],tabDados[Descrição Padronizada],B332))+0.5))</f>
        <v>---</v>
      </c>
      <c r="G332" s="13" t="str">
        <f>IF(OR(B332="",B332="---"),"---",TRUNC(IFERROR(AVERAGEIFS(tabDados[Manutenção (%)],tabDados[Descrição Padronizada],B332,tabDados[Manutenção (%)],"&gt;"&amp;0),0)*10000)/10000)</f>
        <v>---</v>
      </c>
      <c r="H332" s="24" t="str">
        <f>IF(OR(B332="---",B332=""),"---",COUNTIF(tabDados[[#All],[Descrição Padronizada]],B332))</f>
        <v>---</v>
      </c>
      <c r="I332" s="24" t="s">
        <v>20</v>
      </c>
    </row>
    <row r="333" spans="1:9" hidden="1" x14ac:dyDescent="0.35">
      <c r="A333" s="15">
        <v>331</v>
      </c>
      <c r="C333" s="16" t="str">
        <f t="array" ref="C333">IF(B333="","---",IFERROR(
   _xlfn.PERCENTILE.INC(
      IF((tabDados[Descrição Padronizada]=B333)*(tabDados[Valor Unitário]&lt;&gt;""),
         tabDados[Valor Unitário],""
      ),
   C$1),
   _xlfn.MINIFS(tabDados[Valor Unitário],tabDados[Descrição Padronizada],B333)
))</f>
        <v>---</v>
      </c>
      <c r="D333" s="16" t="str">
        <f t="array" ref="D333">IF(B333="","---",IFERROR(
   _xlfn.PERCENTILE.INC(
      IF((tabDados[Descrição Padronizada]=B333)*(tabDados[Valor Unitário]&lt;&gt;""),
         tabDados[Valor Unitário],""
      ),
   D$1),
   _xlfn.MAXIFS(tabDados[Valor Unitário],tabDados[Descrição Padronizada],B333)
))</f>
        <v>---</v>
      </c>
      <c r="E333" s="16" t="str">
        <f>IF(OR(B333="",B333="---"),"---",
   IFERROR(AVERAGEIFS(tabDados[Valor Unitário],tabDados[Descrição Padronizada],B333,tabDados[Valor Unitário],"&gt;="&amp;C333,tabDados[Valor Unitário],"&lt;="&amp;D333),AVERAGE(C333,D333))
)</f>
        <v>---</v>
      </c>
      <c r="F333" s="12" t="str">
        <f t="array" ref="F333">IF(OR(B333="",B333="---"),"---",TRUNC(IFERROR(MODE(IF((tabDados[Descrição Padronizada]=B333)*(tabDados[Vida Útil (meses)]&lt;&gt;""),tabDados[Vida Útil (meses)],"-")),AVERAGEIFS(tabDados[Vida Útil (meses)],tabDados[Descrição Padronizada],B333))+0.5))</f>
        <v>---</v>
      </c>
      <c r="G333" s="13" t="str">
        <f>IF(OR(B333="",B333="---"),"---",TRUNC(IFERROR(AVERAGEIFS(tabDados[Manutenção (%)],tabDados[Descrição Padronizada],B333,tabDados[Manutenção (%)],"&gt;"&amp;0),0)*10000)/10000)</f>
        <v>---</v>
      </c>
      <c r="H333" s="24" t="str">
        <f>IF(OR(B333="---",B333=""),"---",COUNTIF(tabDados[[#All],[Descrição Padronizada]],B333))</f>
        <v>---</v>
      </c>
      <c r="I333" s="24" t="s">
        <v>20</v>
      </c>
    </row>
    <row r="334" spans="1:9" hidden="1" x14ac:dyDescent="0.35">
      <c r="A334" s="15">
        <v>332</v>
      </c>
      <c r="C334" s="16" t="str">
        <f t="array" ref="C334">IF(B334="","---",IFERROR(
   _xlfn.PERCENTILE.INC(
      IF((tabDados[Descrição Padronizada]=B334)*(tabDados[Valor Unitário]&lt;&gt;""),
         tabDados[Valor Unitário],""
      ),
   C$1),
   _xlfn.MINIFS(tabDados[Valor Unitário],tabDados[Descrição Padronizada],B334)
))</f>
        <v>---</v>
      </c>
      <c r="D334" s="16" t="str">
        <f t="array" ref="D334">IF(B334="","---",IFERROR(
   _xlfn.PERCENTILE.INC(
      IF((tabDados[Descrição Padronizada]=B334)*(tabDados[Valor Unitário]&lt;&gt;""),
         tabDados[Valor Unitário],""
      ),
   D$1),
   _xlfn.MAXIFS(tabDados[Valor Unitário],tabDados[Descrição Padronizada],B334)
))</f>
        <v>---</v>
      </c>
      <c r="E334" s="16" t="str">
        <f>IF(OR(B334="",B334="---"),"---",
   IFERROR(AVERAGEIFS(tabDados[Valor Unitário],tabDados[Descrição Padronizada],B334,tabDados[Valor Unitário],"&gt;="&amp;C334,tabDados[Valor Unitário],"&lt;="&amp;D334),AVERAGE(C334,D334))
)</f>
        <v>---</v>
      </c>
      <c r="F334" s="12" t="str">
        <f t="array" ref="F334">IF(OR(B334="",B334="---"),"---",TRUNC(IFERROR(MODE(IF((tabDados[Descrição Padronizada]=B334)*(tabDados[Vida Útil (meses)]&lt;&gt;""),tabDados[Vida Útil (meses)],"-")),AVERAGEIFS(tabDados[Vida Útil (meses)],tabDados[Descrição Padronizada],B334))+0.5))</f>
        <v>---</v>
      </c>
      <c r="G334" s="13" t="str">
        <f>IF(OR(B334="",B334="---"),"---",TRUNC(IFERROR(AVERAGEIFS(tabDados[Manutenção (%)],tabDados[Descrição Padronizada],B334,tabDados[Manutenção (%)],"&gt;"&amp;0),0)*10000)/10000)</f>
        <v>---</v>
      </c>
      <c r="H334" s="24" t="str">
        <f>IF(OR(B334="---",B334=""),"---",COUNTIF(tabDados[[#All],[Descrição Padronizada]],B334))</f>
        <v>---</v>
      </c>
      <c r="I334" s="24" t="s">
        <v>20</v>
      </c>
    </row>
    <row r="335" spans="1:9" hidden="1" x14ac:dyDescent="0.35">
      <c r="A335" s="15">
        <v>333</v>
      </c>
      <c r="C335" s="16" t="str">
        <f t="array" ref="C335">IF(B335="","---",IFERROR(
   _xlfn.PERCENTILE.INC(
      IF((tabDados[Descrição Padronizada]=B335)*(tabDados[Valor Unitário]&lt;&gt;""),
         tabDados[Valor Unitário],""
      ),
   C$1),
   _xlfn.MINIFS(tabDados[Valor Unitário],tabDados[Descrição Padronizada],B335)
))</f>
        <v>---</v>
      </c>
      <c r="D335" s="16" t="str">
        <f t="array" ref="D335">IF(B335="","---",IFERROR(
   _xlfn.PERCENTILE.INC(
      IF((tabDados[Descrição Padronizada]=B335)*(tabDados[Valor Unitário]&lt;&gt;""),
         tabDados[Valor Unitário],""
      ),
   D$1),
   _xlfn.MAXIFS(tabDados[Valor Unitário],tabDados[Descrição Padronizada],B335)
))</f>
        <v>---</v>
      </c>
      <c r="E335" s="16" t="str">
        <f>IF(OR(B335="",B335="---"),"---",
   IFERROR(AVERAGEIFS(tabDados[Valor Unitário],tabDados[Descrição Padronizada],B335,tabDados[Valor Unitário],"&gt;="&amp;C335,tabDados[Valor Unitário],"&lt;="&amp;D335),AVERAGE(C335,D335))
)</f>
        <v>---</v>
      </c>
      <c r="F335" s="12" t="str">
        <f t="array" ref="F335">IF(OR(B335="",B335="---"),"---",TRUNC(IFERROR(MODE(IF((tabDados[Descrição Padronizada]=B335)*(tabDados[Vida Útil (meses)]&lt;&gt;""),tabDados[Vida Útil (meses)],"-")),AVERAGEIFS(tabDados[Vida Útil (meses)],tabDados[Descrição Padronizada],B335))+0.5))</f>
        <v>---</v>
      </c>
      <c r="G335" s="13" t="str">
        <f>IF(OR(B335="",B335="---"),"---",TRUNC(IFERROR(AVERAGEIFS(tabDados[Manutenção (%)],tabDados[Descrição Padronizada],B335,tabDados[Manutenção (%)],"&gt;"&amp;0),0)*10000)/10000)</f>
        <v>---</v>
      </c>
      <c r="H335" s="24" t="str">
        <f>IF(OR(B335="---",B335=""),"---",COUNTIF(tabDados[[#All],[Descrição Padronizada]],B335))</f>
        <v>---</v>
      </c>
      <c r="I335" s="24" t="s">
        <v>20</v>
      </c>
    </row>
    <row r="336" spans="1:9" hidden="1" x14ac:dyDescent="0.35">
      <c r="A336" s="15">
        <v>334</v>
      </c>
      <c r="C336" s="16" t="str">
        <f t="array" ref="C336">IF(B336="","---",IFERROR(
   _xlfn.PERCENTILE.INC(
      IF((tabDados[Descrição Padronizada]=B336)*(tabDados[Valor Unitário]&lt;&gt;""),
         tabDados[Valor Unitário],""
      ),
   C$1),
   _xlfn.MINIFS(tabDados[Valor Unitário],tabDados[Descrição Padronizada],B336)
))</f>
        <v>---</v>
      </c>
      <c r="D336" s="16" t="str">
        <f t="array" ref="D336">IF(B336="","---",IFERROR(
   _xlfn.PERCENTILE.INC(
      IF((tabDados[Descrição Padronizada]=B336)*(tabDados[Valor Unitário]&lt;&gt;""),
         tabDados[Valor Unitário],""
      ),
   D$1),
   _xlfn.MAXIFS(tabDados[Valor Unitário],tabDados[Descrição Padronizada],B336)
))</f>
        <v>---</v>
      </c>
      <c r="E336" s="16" t="str">
        <f>IF(OR(B336="",B336="---"),"---",
   IFERROR(AVERAGEIFS(tabDados[Valor Unitário],tabDados[Descrição Padronizada],B336,tabDados[Valor Unitário],"&gt;="&amp;C336,tabDados[Valor Unitário],"&lt;="&amp;D336),AVERAGE(C336,D336))
)</f>
        <v>---</v>
      </c>
      <c r="F336" s="12" t="str">
        <f t="array" ref="F336">IF(OR(B336="",B336="---"),"---",TRUNC(IFERROR(MODE(IF((tabDados[Descrição Padronizada]=B336)*(tabDados[Vida Útil (meses)]&lt;&gt;""),tabDados[Vida Útil (meses)],"-")),AVERAGEIFS(tabDados[Vida Útil (meses)],tabDados[Descrição Padronizada],B336))+0.5))</f>
        <v>---</v>
      </c>
      <c r="G336" s="13" t="str">
        <f>IF(OR(B336="",B336="---"),"---",TRUNC(IFERROR(AVERAGEIFS(tabDados[Manutenção (%)],tabDados[Descrição Padronizada],B336,tabDados[Manutenção (%)],"&gt;"&amp;0),0)*10000)/10000)</f>
        <v>---</v>
      </c>
      <c r="H336" s="24" t="str">
        <f>IF(OR(B336="---",B336=""),"---",COUNTIF(tabDados[[#All],[Descrição Padronizada]],B336))</f>
        <v>---</v>
      </c>
      <c r="I336" s="24" t="s">
        <v>20</v>
      </c>
    </row>
    <row r="337" spans="1:9" hidden="1" x14ac:dyDescent="0.35">
      <c r="A337" s="15">
        <v>335</v>
      </c>
      <c r="C337" s="16" t="str">
        <f t="array" ref="C337">IF(B337="","---",IFERROR(
   _xlfn.PERCENTILE.INC(
      IF((tabDados[Descrição Padronizada]=B337)*(tabDados[Valor Unitário]&lt;&gt;""),
         tabDados[Valor Unitário],""
      ),
   C$1),
   _xlfn.MINIFS(tabDados[Valor Unitário],tabDados[Descrição Padronizada],B337)
))</f>
        <v>---</v>
      </c>
      <c r="D337" s="16" t="str">
        <f t="array" ref="D337">IF(B337="","---",IFERROR(
   _xlfn.PERCENTILE.INC(
      IF((tabDados[Descrição Padronizada]=B337)*(tabDados[Valor Unitário]&lt;&gt;""),
         tabDados[Valor Unitário],""
      ),
   D$1),
   _xlfn.MAXIFS(tabDados[Valor Unitário],tabDados[Descrição Padronizada],B337)
))</f>
        <v>---</v>
      </c>
      <c r="E337" s="16" t="str">
        <f>IF(OR(B337="",B337="---"),"---",
   IFERROR(AVERAGEIFS(tabDados[Valor Unitário],tabDados[Descrição Padronizada],B337,tabDados[Valor Unitário],"&gt;="&amp;C337,tabDados[Valor Unitário],"&lt;="&amp;D337),AVERAGE(C337,D337))
)</f>
        <v>---</v>
      </c>
      <c r="F337" s="12" t="str">
        <f t="array" ref="F337">IF(OR(B337="",B337="---"),"---",TRUNC(IFERROR(MODE(IF((tabDados[Descrição Padronizada]=B337)*(tabDados[Vida Útil (meses)]&lt;&gt;""),tabDados[Vida Útil (meses)],"-")),AVERAGEIFS(tabDados[Vida Útil (meses)],tabDados[Descrição Padronizada],B337))+0.5))</f>
        <v>---</v>
      </c>
      <c r="G337" s="13" t="str">
        <f>IF(OR(B337="",B337="---"),"---",TRUNC(IFERROR(AVERAGEIFS(tabDados[Manutenção (%)],tabDados[Descrição Padronizada],B337,tabDados[Manutenção (%)],"&gt;"&amp;0),0)*10000)/10000)</f>
        <v>---</v>
      </c>
      <c r="H337" s="24" t="str">
        <f>IF(OR(B337="---",B337=""),"---",COUNTIF(tabDados[[#All],[Descrição Padronizada]],B337))</f>
        <v>---</v>
      </c>
      <c r="I337" s="24" t="s">
        <v>20</v>
      </c>
    </row>
    <row r="338" spans="1:9" hidden="1" x14ac:dyDescent="0.35">
      <c r="A338" s="15">
        <v>336</v>
      </c>
      <c r="C338" s="16" t="str">
        <f t="array" ref="C338">IF(B338="","---",IFERROR(
   _xlfn.PERCENTILE.INC(
      IF((tabDados[Descrição Padronizada]=B338)*(tabDados[Valor Unitário]&lt;&gt;""),
         tabDados[Valor Unitário],""
      ),
   C$1),
   _xlfn.MINIFS(tabDados[Valor Unitário],tabDados[Descrição Padronizada],B338)
))</f>
        <v>---</v>
      </c>
      <c r="D338" s="16" t="str">
        <f t="array" ref="D338">IF(B338="","---",IFERROR(
   _xlfn.PERCENTILE.INC(
      IF((tabDados[Descrição Padronizada]=B338)*(tabDados[Valor Unitário]&lt;&gt;""),
         tabDados[Valor Unitário],""
      ),
   D$1),
   _xlfn.MAXIFS(tabDados[Valor Unitário],tabDados[Descrição Padronizada],B338)
))</f>
        <v>---</v>
      </c>
      <c r="E338" s="16" t="str">
        <f>IF(OR(B338="",B338="---"),"---",
   IFERROR(AVERAGEIFS(tabDados[Valor Unitário],tabDados[Descrição Padronizada],B338,tabDados[Valor Unitário],"&gt;="&amp;C338,tabDados[Valor Unitário],"&lt;="&amp;D338),AVERAGE(C338,D338))
)</f>
        <v>---</v>
      </c>
      <c r="F338" s="12" t="str">
        <f t="array" ref="F338">IF(OR(B338="",B338="---"),"---",TRUNC(IFERROR(MODE(IF((tabDados[Descrição Padronizada]=B338)*(tabDados[Vida Útil (meses)]&lt;&gt;""),tabDados[Vida Útil (meses)],"-")),AVERAGEIFS(tabDados[Vida Útil (meses)],tabDados[Descrição Padronizada],B338))+0.5))</f>
        <v>---</v>
      </c>
      <c r="G338" s="13" t="str">
        <f>IF(OR(B338="",B338="---"),"---",TRUNC(IFERROR(AVERAGEIFS(tabDados[Manutenção (%)],tabDados[Descrição Padronizada],B338,tabDados[Manutenção (%)],"&gt;"&amp;0),0)*10000)/10000)</f>
        <v>---</v>
      </c>
      <c r="H338" s="24" t="str">
        <f>IF(OR(B338="---",B338=""),"---",COUNTIF(tabDados[[#All],[Descrição Padronizada]],B338))</f>
        <v>---</v>
      </c>
      <c r="I338" s="24" t="s">
        <v>20</v>
      </c>
    </row>
    <row r="339" spans="1:9" hidden="1" x14ac:dyDescent="0.35">
      <c r="A339" s="15">
        <v>337</v>
      </c>
      <c r="C339" s="16" t="str">
        <f t="array" ref="C339">IF(B339="","---",IFERROR(
   _xlfn.PERCENTILE.INC(
      IF((tabDados[Descrição Padronizada]=B339)*(tabDados[Valor Unitário]&lt;&gt;""),
         tabDados[Valor Unitário],""
      ),
   C$1),
   _xlfn.MINIFS(tabDados[Valor Unitário],tabDados[Descrição Padronizada],B339)
))</f>
        <v>---</v>
      </c>
      <c r="D339" s="16" t="str">
        <f t="array" ref="D339">IF(B339="","---",IFERROR(
   _xlfn.PERCENTILE.INC(
      IF((tabDados[Descrição Padronizada]=B339)*(tabDados[Valor Unitário]&lt;&gt;""),
         tabDados[Valor Unitário],""
      ),
   D$1),
   _xlfn.MAXIFS(tabDados[Valor Unitário],tabDados[Descrição Padronizada],B339)
))</f>
        <v>---</v>
      </c>
      <c r="E339" s="16" t="str">
        <f>IF(OR(B339="",B339="---"),"---",
   IFERROR(AVERAGEIFS(tabDados[Valor Unitário],tabDados[Descrição Padronizada],B339,tabDados[Valor Unitário],"&gt;="&amp;C339,tabDados[Valor Unitário],"&lt;="&amp;D339),AVERAGE(C339,D339))
)</f>
        <v>---</v>
      </c>
      <c r="F339" s="12" t="str">
        <f t="array" ref="F339">IF(OR(B339="",B339="---"),"---",TRUNC(IFERROR(MODE(IF((tabDados[Descrição Padronizada]=B339)*(tabDados[Vida Útil (meses)]&lt;&gt;""),tabDados[Vida Útil (meses)],"-")),AVERAGEIFS(tabDados[Vida Útil (meses)],tabDados[Descrição Padronizada],B339))+0.5))</f>
        <v>---</v>
      </c>
      <c r="G339" s="13" t="str">
        <f>IF(OR(B339="",B339="---"),"---",TRUNC(IFERROR(AVERAGEIFS(tabDados[Manutenção (%)],tabDados[Descrição Padronizada],B339,tabDados[Manutenção (%)],"&gt;"&amp;0),0)*10000)/10000)</f>
        <v>---</v>
      </c>
      <c r="H339" s="24" t="str">
        <f>IF(OR(B339="---",B339=""),"---",COUNTIF(tabDados[[#All],[Descrição Padronizada]],B339))</f>
        <v>---</v>
      </c>
      <c r="I339" s="24" t="s">
        <v>20</v>
      </c>
    </row>
    <row r="340" spans="1:9" hidden="1" x14ac:dyDescent="0.35">
      <c r="A340" s="15">
        <v>338</v>
      </c>
      <c r="C340" s="16" t="str">
        <f t="array" ref="C340">IF(B340="","---",IFERROR(
   _xlfn.PERCENTILE.INC(
      IF((tabDados[Descrição Padronizada]=B340)*(tabDados[Valor Unitário]&lt;&gt;""),
         tabDados[Valor Unitário],""
      ),
   C$1),
   _xlfn.MINIFS(tabDados[Valor Unitário],tabDados[Descrição Padronizada],B340)
))</f>
        <v>---</v>
      </c>
      <c r="D340" s="16" t="str">
        <f t="array" ref="D340">IF(B340="","---",IFERROR(
   _xlfn.PERCENTILE.INC(
      IF((tabDados[Descrição Padronizada]=B340)*(tabDados[Valor Unitário]&lt;&gt;""),
         tabDados[Valor Unitário],""
      ),
   D$1),
   _xlfn.MAXIFS(tabDados[Valor Unitário],tabDados[Descrição Padronizada],B340)
))</f>
        <v>---</v>
      </c>
      <c r="E340" s="16" t="str">
        <f>IF(OR(B340="",B340="---"),"---",
   IFERROR(AVERAGEIFS(tabDados[Valor Unitário],tabDados[Descrição Padronizada],B340,tabDados[Valor Unitário],"&gt;="&amp;C340,tabDados[Valor Unitário],"&lt;="&amp;D340),AVERAGE(C340,D340))
)</f>
        <v>---</v>
      </c>
      <c r="F340" s="12" t="str">
        <f t="array" ref="F340">IF(OR(B340="",B340="---"),"---",TRUNC(IFERROR(MODE(IF((tabDados[Descrição Padronizada]=B340)*(tabDados[Vida Útil (meses)]&lt;&gt;""),tabDados[Vida Útil (meses)],"-")),AVERAGEIFS(tabDados[Vida Útil (meses)],tabDados[Descrição Padronizada],B340))+0.5))</f>
        <v>---</v>
      </c>
      <c r="G340" s="13" t="str">
        <f>IF(OR(B340="",B340="---"),"---",TRUNC(IFERROR(AVERAGEIFS(tabDados[Manutenção (%)],tabDados[Descrição Padronizada],B340,tabDados[Manutenção (%)],"&gt;"&amp;0),0)*10000)/10000)</f>
        <v>---</v>
      </c>
      <c r="H340" s="24" t="str">
        <f>IF(OR(B340="---",B340=""),"---",COUNTIF(tabDados[[#All],[Descrição Padronizada]],B340))</f>
        <v>---</v>
      </c>
      <c r="I340" s="24" t="s">
        <v>20</v>
      </c>
    </row>
    <row r="341" spans="1:9" hidden="1" x14ac:dyDescent="0.35">
      <c r="A341" s="15">
        <v>339</v>
      </c>
      <c r="C341" s="16" t="str">
        <f t="array" ref="C341">IF(B341="","---",IFERROR(
   _xlfn.PERCENTILE.INC(
      IF((tabDados[Descrição Padronizada]=B341)*(tabDados[Valor Unitário]&lt;&gt;""),
         tabDados[Valor Unitário],""
      ),
   C$1),
   _xlfn.MINIFS(tabDados[Valor Unitário],tabDados[Descrição Padronizada],B341)
))</f>
        <v>---</v>
      </c>
      <c r="D341" s="16" t="str">
        <f t="array" ref="D341">IF(B341="","---",IFERROR(
   _xlfn.PERCENTILE.INC(
      IF((tabDados[Descrição Padronizada]=B341)*(tabDados[Valor Unitário]&lt;&gt;""),
         tabDados[Valor Unitário],""
      ),
   D$1),
   _xlfn.MAXIFS(tabDados[Valor Unitário],tabDados[Descrição Padronizada],B341)
))</f>
        <v>---</v>
      </c>
      <c r="E341" s="16" t="str">
        <f>IF(OR(B341="",B341="---"),"---",
   IFERROR(AVERAGEIFS(tabDados[Valor Unitário],tabDados[Descrição Padronizada],B341,tabDados[Valor Unitário],"&gt;="&amp;C341,tabDados[Valor Unitário],"&lt;="&amp;D341),AVERAGE(C341,D341))
)</f>
        <v>---</v>
      </c>
      <c r="F341" s="12" t="str">
        <f t="array" ref="F341">IF(OR(B341="",B341="---"),"---",TRUNC(IFERROR(MODE(IF((tabDados[Descrição Padronizada]=B341)*(tabDados[Vida Útil (meses)]&lt;&gt;""),tabDados[Vida Útil (meses)],"-")),AVERAGEIFS(tabDados[Vida Útil (meses)],tabDados[Descrição Padronizada],B341))+0.5))</f>
        <v>---</v>
      </c>
      <c r="G341" s="13" t="str">
        <f>IF(OR(B341="",B341="---"),"---",TRUNC(IFERROR(AVERAGEIFS(tabDados[Manutenção (%)],tabDados[Descrição Padronizada],B341,tabDados[Manutenção (%)],"&gt;"&amp;0),0)*10000)/10000)</f>
        <v>---</v>
      </c>
      <c r="H341" s="24" t="str">
        <f>IF(OR(B341="---",B341=""),"---",COUNTIF(tabDados[[#All],[Descrição Padronizada]],B341))</f>
        <v>---</v>
      </c>
      <c r="I341" s="24" t="s">
        <v>20</v>
      </c>
    </row>
    <row r="342" spans="1:9" hidden="1" x14ac:dyDescent="0.35">
      <c r="A342" s="15">
        <v>340</v>
      </c>
      <c r="C342" s="16" t="str">
        <f t="array" ref="C342">IF(B342="","---",IFERROR(
   _xlfn.PERCENTILE.INC(
      IF((tabDados[Descrição Padronizada]=B342)*(tabDados[Valor Unitário]&lt;&gt;""),
         tabDados[Valor Unitário],""
      ),
   C$1),
   _xlfn.MINIFS(tabDados[Valor Unitário],tabDados[Descrição Padronizada],B342)
))</f>
        <v>---</v>
      </c>
      <c r="D342" s="16" t="str">
        <f t="array" ref="D342">IF(B342="","---",IFERROR(
   _xlfn.PERCENTILE.INC(
      IF((tabDados[Descrição Padronizada]=B342)*(tabDados[Valor Unitário]&lt;&gt;""),
         tabDados[Valor Unitário],""
      ),
   D$1),
   _xlfn.MAXIFS(tabDados[Valor Unitário],tabDados[Descrição Padronizada],B342)
))</f>
        <v>---</v>
      </c>
      <c r="E342" s="16" t="str">
        <f>IF(OR(B342="",B342="---"),"---",
   IFERROR(AVERAGEIFS(tabDados[Valor Unitário],tabDados[Descrição Padronizada],B342,tabDados[Valor Unitário],"&gt;="&amp;C342,tabDados[Valor Unitário],"&lt;="&amp;D342),AVERAGE(C342,D342))
)</f>
        <v>---</v>
      </c>
      <c r="F342" s="12" t="str">
        <f t="array" ref="F342">IF(OR(B342="",B342="---"),"---",TRUNC(IFERROR(MODE(IF((tabDados[Descrição Padronizada]=B342)*(tabDados[Vida Útil (meses)]&lt;&gt;""),tabDados[Vida Útil (meses)],"-")),AVERAGEIFS(tabDados[Vida Útil (meses)],tabDados[Descrição Padronizada],B342))+0.5))</f>
        <v>---</v>
      </c>
      <c r="G342" s="13" t="str">
        <f>IF(OR(B342="",B342="---"),"---",TRUNC(IFERROR(AVERAGEIFS(tabDados[Manutenção (%)],tabDados[Descrição Padronizada],B342,tabDados[Manutenção (%)],"&gt;"&amp;0),0)*10000)/10000)</f>
        <v>---</v>
      </c>
      <c r="H342" s="24" t="str">
        <f>IF(OR(B342="---",B342=""),"---",COUNTIF(tabDados[[#All],[Descrição Padronizada]],B342))</f>
        <v>---</v>
      </c>
      <c r="I342" s="24" t="s">
        <v>20</v>
      </c>
    </row>
    <row r="343" spans="1:9" hidden="1" x14ac:dyDescent="0.35">
      <c r="A343" s="15">
        <v>341</v>
      </c>
      <c r="C343" s="16" t="str">
        <f t="array" ref="C343">IF(B343="","---",IFERROR(
   _xlfn.PERCENTILE.INC(
      IF((tabDados[Descrição Padronizada]=B343)*(tabDados[Valor Unitário]&lt;&gt;""),
         tabDados[Valor Unitário],""
      ),
   C$1),
   _xlfn.MINIFS(tabDados[Valor Unitário],tabDados[Descrição Padronizada],B343)
))</f>
        <v>---</v>
      </c>
      <c r="D343" s="16" t="str">
        <f t="array" ref="D343">IF(B343="","---",IFERROR(
   _xlfn.PERCENTILE.INC(
      IF((tabDados[Descrição Padronizada]=B343)*(tabDados[Valor Unitário]&lt;&gt;""),
         tabDados[Valor Unitário],""
      ),
   D$1),
   _xlfn.MAXIFS(tabDados[Valor Unitário],tabDados[Descrição Padronizada],B343)
))</f>
        <v>---</v>
      </c>
      <c r="E343" s="16" t="str">
        <f>IF(OR(B343="",B343="---"),"---",
   IFERROR(AVERAGEIFS(tabDados[Valor Unitário],tabDados[Descrição Padronizada],B343,tabDados[Valor Unitário],"&gt;="&amp;C343,tabDados[Valor Unitário],"&lt;="&amp;D343),AVERAGE(C343,D343))
)</f>
        <v>---</v>
      </c>
      <c r="F343" s="12" t="str">
        <f t="array" ref="F343">IF(OR(B343="",B343="---"),"---",TRUNC(IFERROR(MODE(IF((tabDados[Descrição Padronizada]=B343)*(tabDados[Vida Útil (meses)]&lt;&gt;""),tabDados[Vida Útil (meses)],"-")),AVERAGEIFS(tabDados[Vida Útil (meses)],tabDados[Descrição Padronizada],B343))+0.5))</f>
        <v>---</v>
      </c>
      <c r="G343" s="13" t="str">
        <f>IF(OR(B343="",B343="---"),"---",TRUNC(IFERROR(AVERAGEIFS(tabDados[Manutenção (%)],tabDados[Descrição Padronizada],B343,tabDados[Manutenção (%)],"&gt;"&amp;0),0)*10000)/10000)</f>
        <v>---</v>
      </c>
      <c r="H343" s="24" t="str">
        <f>IF(OR(B343="---",B343=""),"---",COUNTIF(tabDados[[#All],[Descrição Padronizada]],B343))</f>
        <v>---</v>
      </c>
      <c r="I343" s="24" t="s">
        <v>20</v>
      </c>
    </row>
    <row r="344" spans="1:9" hidden="1" x14ac:dyDescent="0.35">
      <c r="A344" s="15">
        <v>342</v>
      </c>
      <c r="C344" s="16" t="str">
        <f t="array" ref="C344">IF(B344="","---",IFERROR(
   _xlfn.PERCENTILE.INC(
      IF((tabDados[Descrição Padronizada]=B344)*(tabDados[Valor Unitário]&lt;&gt;""),
         tabDados[Valor Unitário],""
      ),
   C$1),
   _xlfn.MINIFS(tabDados[Valor Unitário],tabDados[Descrição Padronizada],B344)
))</f>
        <v>---</v>
      </c>
      <c r="D344" s="16" t="str">
        <f t="array" ref="D344">IF(B344="","---",IFERROR(
   _xlfn.PERCENTILE.INC(
      IF((tabDados[Descrição Padronizada]=B344)*(tabDados[Valor Unitário]&lt;&gt;""),
         tabDados[Valor Unitário],""
      ),
   D$1),
   _xlfn.MAXIFS(tabDados[Valor Unitário],tabDados[Descrição Padronizada],B344)
))</f>
        <v>---</v>
      </c>
      <c r="E344" s="16" t="str">
        <f>IF(OR(B344="",B344="---"),"---",
   IFERROR(AVERAGEIFS(tabDados[Valor Unitário],tabDados[Descrição Padronizada],B344,tabDados[Valor Unitário],"&gt;="&amp;C344,tabDados[Valor Unitário],"&lt;="&amp;D344),AVERAGE(C344,D344))
)</f>
        <v>---</v>
      </c>
      <c r="F344" s="12" t="str">
        <f t="array" ref="F344">IF(OR(B344="",B344="---"),"---",TRUNC(IFERROR(MODE(IF((tabDados[Descrição Padronizada]=B344)*(tabDados[Vida Útil (meses)]&lt;&gt;""),tabDados[Vida Útil (meses)],"-")),AVERAGEIFS(tabDados[Vida Útil (meses)],tabDados[Descrição Padronizada],B344))+0.5))</f>
        <v>---</v>
      </c>
      <c r="G344" s="13" t="str">
        <f>IF(OR(B344="",B344="---"),"---",TRUNC(IFERROR(AVERAGEIFS(tabDados[Manutenção (%)],tabDados[Descrição Padronizada],B344,tabDados[Manutenção (%)],"&gt;"&amp;0),0)*10000)/10000)</f>
        <v>---</v>
      </c>
      <c r="H344" s="24" t="str">
        <f>IF(OR(B344="---",B344=""),"---",COUNTIF(tabDados[[#All],[Descrição Padronizada]],B344))</f>
        <v>---</v>
      </c>
      <c r="I344" s="24" t="s">
        <v>20</v>
      </c>
    </row>
    <row r="345" spans="1:9" hidden="1" x14ac:dyDescent="0.35">
      <c r="A345" s="15">
        <v>343</v>
      </c>
      <c r="C345" s="16" t="str">
        <f t="array" ref="C345">IF(B345="","---",IFERROR(
   _xlfn.PERCENTILE.INC(
      IF((tabDados[Descrição Padronizada]=B345)*(tabDados[Valor Unitário]&lt;&gt;""),
         tabDados[Valor Unitário],""
      ),
   C$1),
   _xlfn.MINIFS(tabDados[Valor Unitário],tabDados[Descrição Padronizada],B345)
))</f>
        <v>---</v>
      </c>
      <c r="D345" s="16" t="str">
        <f t="array" ref="D345">IF(B345="","---",IFERROR(
   _xlfn.PERCENTILE.INC(
      IF((tabDados[Descrição Padronizada]=B345)*(tabDados[Valor Unitário]&lt;&gt;""),
         tabDados[Valor Unitário],""
      ),
   D$1),
   _xlfn.MAXIFS(tabDados[Valor Unitário],tabDados[Descrição Padronizada],B345)
))</f>
        <v>---</v>
      </c>
      <c r="E345" s="16" t="str">
        <f>IF(OR(B345="",B345="---"),"---",
   IFERROR(AVERAGEIFS(tabDados[Valor Unitário],tabDados[Descrição Padronizada],B345,tabDados[Valor Unitário],"&gt;="&amp;C345,tabDados[Valor Unitário],"&lt;="&amp;D345),AVERAGE(C345,D345))
)</f>
        <v>---</v>
      </c>
      <c r="F345" s="12" t="str">
        <f t="array" ref="F345">IF(OR(B345="",B345="---"),"---",TRUNC(IFERROR(MODE(IF((tabDados[Descrição Padronizada]=B345)*(tabDados[Vida Útil (meses)]&lt;&gt;""),tabDados[Vida Útil (meses)],"-")),AVERAGEIFS(tabDados[Vida Útil (meses)],tabDados[Descrição Padronizada],B345))+0.5))</f>
        <v>---</v>
      </c>
      <c r="G345" s="13" t="str">
        <f>IF(OR(B345="",B345="---"),"---",TRUNC(IFERROR(AVERAGEIFS(tabDados[Manutenção (%)],tabDados[Descrição Padronizada],B345,tabDados[Manutenção (%)],"&gt;"&amp;0),0)*10000)/10000)</f>
        <v>---</v>
      </c>
      <c r="H345" s="24" t="str">
        <f>IF(OR(B345="---",B345=""),"---",COUNTIF(tabDados[[#All],[Descrição Padronizada]],B345))</f>
        <v>---</v>
      </c>
      <c r="I345" s="24" t="s">
        <v>20</v>
      </c>
    </row>
    <row r="346" spans="1:9" hidden="1" x14ac:dyDescent="0.35">
      <c r="A346" s="15">
        <v>344</v>
      </c>
      <c r="C346" s="16" t="str">
        <f t="array" ref="C346">IF(B346="","---",IFERROR(
   _xlfn.PERCENTILE.INC(
      IF((tabDados[Descrição Padronizada]=B346)*(tabDados[Valor Unitário]&lt;&gt;""),
         tabDados[Valor Unitário],""
      ),
   C$1),
   _xlfn.MINIFS(tabDados[Valor Unitário],tabDados[Descrição Padronizada],B346)
))</f>
        <v>---</v>
      </c>
      <c r="D346" s="16" t="str">
        <f t="array" ref="D346">IF(B346="","---",IFERROR(
   _xlfn.PERCENTILE.INC(
      IF((tabDados[Descrição Padronizada]=B346)*(tabDados[Valor Unitário]&lt;&gt;""),
         tabDados[Valor Unitário],""
      ),
   D$1),
   _xlfn.MAXIFS(tabDados[Valor Unitário],tabDados[Descrição Padronizada],B346)
))</f>
        <v>---</v>
      </c>
      <c r="E346" s="16" t="str">
        <f>IF(OR(B346="",B346="---"),"---",
   IFERROR(AVERAGEIFS(tabDados[Valor Unitário],tabDados[Descrição Padronizada],B346,tabDados[Valor Unitário],"&gt;="&amp;C346,tabDados[Valor Unitário],"&lt;="&amp;D346),AVERAGE(C346,D346))
)</f>
        <v>---</v>
      </c>
      <c r="F346" s="12" t="str">
        <f t="array" ref="F346">IF(OR(B346="",B346="---"),"---",TRUNC(IFERROR(MODE(IF((tabDados[Descrição Padronizada]=B346)*(tabDados[Vida Útil (meses)]&lt;&gt;""),tabDados[Vida Útil (meses)],"-")),AVERAGEIFS(tabDados[Vida Útil (meses)],tabDados[Descrição Padronizada],B346))+0.5))</f>
        <v>---</v>
      </c>
      <c r="G346" s="13" t="str">
        <f>IF(OR(B346="",B346="---"),"---",TRUNC(IFERROR(AVERAGEIFS(tabDados[Manutenção (%)],tabDados[Descrição Padronizada],B346,tabDados[Manutenção (%)],"&gt;"&amp;0),0)*10000)/10000)</f>
        <v>---</v>
      </c>
      <c r="H346" s="24" t="str">
        <f>IF(OR(B346="---",B346=""),"---",COUNTIF(tabDados[[#All],[Descrição Padronizada]],B346))</f>
        <v>---</v>
      </c>
      <c r="I346" s="24" t="s">
        <v>20</v>
      </c>
    </row>
    <row r="347" spans="1:9" hidden="1" x14ac:dyDescent="0.35">
      <c r="A347" s="15">
        <v>345</v>
      </c>
      <c r="C347" s="16" t="str">
        <f t="array" ref="C347">IF(B347="","---",IFERROR(
   _xlfn.PERCENTILE.INC(
      IF((tabDados[Descrição Padronizada]=B347)*(tabDados[Valor Unitário]&lt;&gt;""),
         tabDados[Valor Unitário],""
      ),
   C$1),
   _xlfn.MINIFS(tabDados[Valor Unitário],tabDados[Descrição Padronizada],B347)
))</f>
        <v>---</v>
      </c>
      <c r="D347" s="16" t="str">
        <f t="array" ref="D347">IF(B347="","---",IFERROR(
   _xlfn.PERCENTILE.INC(
      IF((tabDados[Descrição Padronizada]=B347)*(tabDados[Valor Unitário]&lt;&gt;""),
         tabDados[Valor Unitário],""
      ),
   D$1),
   _xlfn.MAXIFS(tabDados[Valor Unitário],tabDados[Descrição Padronizada],B347)
))</f>
        <v>---</v>
      </c>
      <c r="E347" s="16" t="str">
        <f>IF(OR(B347="",B347="---"),"---",
   IFERROR(AVERAGEIFS(tabDados[Valor Unitário],tabDados[Descrição Padronizada],B347,tabDados[Valor Unitário],"&gt;="&amp;C347,tabDados[Valor Unitário],"&lt;="&amp;D347),AVERAGE(C347,D347))
)</f>
        <v>---</v>
      </c>
      <c r="F347" s="12" t="str">
        <f t="array" ref="F347">IF(OR(B347="",B347="---"),"---",TRUNC(IFERROR(MODE(IF((tabDados[Descrição Padronizada]=B347)*(tabDados[Vida Útil (meses)]&lt;&gt;""),tabDados[Vida Útil (meses)],"-")),AVERAGEIFS(tabDados[Vida Útil (meses)],tabDados[Descrição Padronizada],B347))+0.5))</f>
        <v>---</v>
      </c>
      <c r="G347" s="13" t="str">
        <f>IF(OR(B347="",B347="---"),"---",TRUNC(IFERROR(AVERAGEIFS(tabDados[Manutenção (%)],tabDados[Descrição Padronizada],B347,tabDados[Manutenção (%)],"&gt;"&amp;0),0)*10000)/10000)</f>
        <v>---</v>
      </c>
      <c r="H347" s="24" t="str">
        <f>IF(OR(B347="---",B347=""),"---",COUNTIF(tabDados[[#All],[Descrição Padronizada]],B347))</f>
        <v>---</v>
      </c>
      <c r="I347" s="24" t="s">
        <v>20</v>
      </c>
    </row>
    <row r="348" spans="1:9" hidden="1" x14ac:dyDescent="0.35">
      <c r="A348" s="15">
        <v>346</v>
      </c>
      <c r="C348" s="16" t="str">
        <f t="array" ref="C348">IF(B348="","---",IFERROR(
   _xlfn.PERCENTILE.INC(
      IF((tabDados[Descrição Padronizada]=B348)*(tabDados[Valor Unitário]&lt;&gt;""),
         tabDados[Valor Unitário],""
      ),
   C$1),
   _xlfn.MINIFS(tabDados[Valor Unitário],tabDados[Descrição Padronizada],B348)
))</f>
        <v>---</v>
      </c>
      <c r="D348" s="16" t="str">
        <f t="array" ref="D348">IF(B348="","---",IFERROR(
   _xlfn.PERCENTILE.INC(
      IF((tabDados[Descrição Padronizada]=B348)*(tabDados[Valor Unitário]&lt;&gt;""),
         tabDados[Valor Unitário],""
      ),
   D$1),
   _xlfn.MAXIFS(tabDados[Valor Unitário],tabDados[Descrição Padronizada],B348)
))</f>
        <v>---</v>
      </c>
      <c r="E348" s="16" t="str">
        <f>IF(OR(B348="",B348="---"),"---",
   IFERROR(AVERAGEIFS(tabDados[Valor Unitário],tabDados[Descrição Padronizada],B348,tabDados[Valor Unitário],"&gt;="&amp;C348,tabDados[Valor Unitário],"&lt;="&amp;D348),AVERAGE(C348,D348))
)</f>
        <v>---</v>
      </c>
      <c r="F348" s="12" t="str">
        <f t="array" ref="F348">IF(OR(B348="",B348="---"),"---",TRUNC(IFERROR(MODE(IF((tabDados[Descrição Padronizada]=B348)*(tabDados[Vida Útil (meses)]&lt;&gt;""),tabDados[Vida Útil (meses)],"-")),AVERAGEIFS(tabDados[Vida Útil (meses)],tabDados[Descrição Padronizada],B348))+0.5))</f>
        <v>---</v>
      </c>
      <c r="G348" s="13" t="str">
        <f>IF(OR(B348="",B348="---"),"---",TRUNC(IFERROR(AVERAGEIFS(tabDados[Manutenção (%)],tabDados[Descrição Padronizada],B348,tabDados[Manutenção (%)],"&gt;"&amp;0),0)*10000)/10000)</f>
        <v>---</v>
      </c>
      <c r="H348" s="24" t="str">
        <f>IF(OR(B348="---",B348=""),"---",COUNTIF(tabDados[[#All],[Descrição Padronizada]],B348))</f>
        <v>---</v>
      </c>
      <c r="I348" s="24" t="s">
        <v>20</v>
      </c>
    </row>
    <row r="349" spans="1:9" hidden="1" x14ac:dyDescent="0.35">
      <c r="A349" s="15">
        <v>347</v>
      </c>
      <c r="C349" s="16" t="str">
        <f t="array" ref="C349">IF(B349="","---",IFERROR(
   _xlfn.PERCENTILE.INC(
      IF((tabDados[Descrição Padronizada]=B349)*(tabDados[Valor Unitário]&lt;&gt;""),
         tabDados[Valor Unitário],""
      ),
   C$1),
   _xlfn.MINIFS(tabDados[Valor Unitário],tabDados[Descrição Padronizada],B349)
))</f>
        <v>---</v>
      </c>
      <c r="D349" s="16" t="str">
        <f t="array" ref="D349">IF(B349="","---",IFERROR(
   _xlfn.PERCENTILE.INC(
      IF((tabDados[Descrição Padronizada]=B349)*(tabDados[Valor Unitário]&lt;&gt;""),
         tabDados[Valor Unitário],""
      ),
   D$1),
   _xlfn.MAXIFS(tabDados[Valor Unitário],tabDados[Descrição Padronizada],B349)
))</f>
        <v>---</v>
      </c>
      <c r="E349" s="16" t="str">
        <f>IF(OR(B349="",B349="---"),"---",
   IFERROR(AVERAGEIFS(tabDados[Valor Unitário],tabDados[Descrição Padronizada],B349,tabDados[Valor Unitário],"&gt;="&amp;C349,tabDados[Valor Unitário],"&lt;="&amp;D349),AVERAGE(C349,D349))
)</f>
        <v>---</v>
      </c>
      <c r="F349" s="12" t="str">
        <f t="array" ref="F349">IF(OR(B349="",B349="---"),"---",TRUNC(IFERROR(MODE(IF((tabDados[Descrição Padronizada]=B349)*(tabDados[Vida Útil (meses)]&lt;&gt;""),tabDados[Vida Útil (meses)],"-")),AVERAGEIFS(tabDados[Vida Útil (meses)],tabDados[Descrição Padronizada],B349))+0.5))</f>
        <v>---</v>
      </c>
      <c r="G349" s="13" t="str">
        <f>IF(OR(B349="",B349="---"),"---",TRUNC(IFERROR(AVERAGEIFS(tabDados[Manutenção (%)],tabDados[Descrição Padronizada],B349,tabDados[Manutenção (%)],"&gt;"&amp;0),0)*10000)/10000)</f>
        <v>---</v>
      </c>
      <c r="H349" s="24" t="str">
        <f>IF(OR(B349="---",B349=""),"---",COUNTIF(tabDados[[#All],[Descrição Padronizada]],B349))</f>
        <v>---</v>
      </c>
      <c r="I349" s="24" t="s">
        <v>20</v>
      </c>
    </row>
    <row r="350" spans="1:9" hidden="1" x14ac:dyDescent="0.35">
      <c r="A350" s="15">
        <v>348</v>
      </c>
      <c r="C350" s="16" t="str">
        <f t="array" ref="C350">IF(B350="","---",IFERROR(
   _xlfn.PERCENTILE.INC(
      IF((tabDados[Descrição Padronizada]=B350)*(tabDados[Valor Unitário]&lt;&gt;""),
         tabDados[Valor Unitário],""
      ),
   C$1),
   _xlfn.MINIFS(tabDados[Valor Unitário],tabDados[Descrição Padronizada],B350)
))</f>
        <v>---</v>
      </c>
      <c r="D350" s="16" t="str">
        <f t="array" ref="D350">IF(B350="","---",IFERROR(
   _xlfn.PERCENTILE.INC(
      IF((tabDados[Descrição Padronizada]=B350)*(tabDados[Valor Unitário]&lt;&gt;""),
         tabDados[Valor Unitário],""
      ),
   D$1),
   _xlfn.MAXIFS(tabDados[Valor Unitário],tabDados[Descrição Padronizada],B350)
))</f>
        <v>---</v>
      </c>
      <c r="E350" s="16" t="str">
        <f>IF(OR(B350="",B350="---"),"---",
   IFERROR(AVERAGEIFS(tabDados[Valor Unitário],tabDados[Descrição Padronizada],B350,tabDados[Valor Unitário],"&gt;="&amp;C350,tabDados[Valor Unitário],"&lt;="&amp;D350),AVERAGE(C350,D350))
)</f>
        <v>---</v>
      </c>
      <c r="F350" s="12" t="str">
        <f t="array" ref="F350">IF(OR(B350="",B350="---"),"---",TRUNC(IFERROR(MODE(IF((tabDados[Descrição Padronizada]=B350)*(tabDados[Vida Útil (meses)]&lt;&gt;""),tabDados[Vida Útil (meses)],"-")),AVERAGEIFS(tabDados[Vida Útil (meses)],tabDados[Descrição Padronizada],B350))+0.5))</f>
        <v>---</v>
      </c>
      <c r="G350" s="13" t="str">
        <f>IF(OR(B350="",B350="---"),"---",TRUNC(IFERROR(AVERAGEIFS(tabDados[Manutenção (%)],tabDados[Descrição Padronizada],B350,tabDados[Manutenção (%)],"&gt;"&amp;0),0)*10000)/10000)</f>
        <v>---</v>
      </c>
      <c r="H350" s="24" t="str">
        <f>IF(OR(B350="---",B350=""),"---",COUNTIF(tabDados[[#All],[Descrição Padronizada]],B350))</f>
        <v>---</v>
      </c>
      <c r="I350" s="24" t="s">
        <v>20</v>
      </c>
    </row>
    <row r="351" spans="1:9" hidden="1" x14ac:dyDescent="0.35">
      <c r="A351" s="15">
        <v>349</v>
      </c>
      <c r="C351" s="16" t="str">
        <f t="array" ref="C351">IF(B351="","---",IFERROR(
   _xlfn.PERCENTILE.INC(
      IF((tabDados[Descrição Padronizada]=B351)*(tabDados[Valor Unitário]&lt;&gt;""),
         tabDados[Valor Unitário],""
      ),
   C$1),
   _xlfn.MINIFS(tabDados[Valor Unitário],tabDados[Descrição Padronizada],B351)
))</f>
        <v>---</v>
      </c>
      <c r="D351" s="16" t="str">
        <f t="array" ref="D351">IF(B351="","---",IFERROR(
   _xlfn.PERCENTILE.INC(
      IF((tabDados[Descrição Padronizada]=B351)*(tabDados[Valor Unitário]&lt;&gt;""),
         tabDados[Valor Unitário],""
      ),
   D$1),
   _xlfn.MAXIFS(tabDados[Valor Unitário],tabDados[Descrição Padronizada],B351)
))</f>
        <v>---</v>
      </c>
      <c r="E351" s="16" t="str">
        <f>IF(OR(B351="",B351="---"),"---",
   IFERROR(AVERAGEIFS(tabDados[Valor Unitário],tabDados[Descrição Padronizada],B351,tabDados[Valor Unitário],"&gt;="&amp;C351,tabDados[Valor Unitário],"&lt;="&amp;D351),AVERAGE(C351,D351))
)</f>
        <v>---</v>
      </c>
      <c r="F351" s="12" t="str">
        <f t="array" ref="F351">IF(OR(B351="",B351="---"),"---",TRUNC(IFERROR(MODE(IF((tabDados[Descrição Padronizada]=B351)*(tabDados[Vida Útil (meses)]&lt;&gt;""),tabDados[Vida Útil (meses)],"-")),AVERAGEIFS(tabDados[Vida Útil (meses)],tabDados[Descrição Padronizada],B351))+0.5))</f>
        <v>---</v>
      </c>
      <c r="G351" s="13" t="str">
        <f>IF(OR(B351="",B351="---"),"---",TRUNC(IFERROR(AVERAGEIFS(tabDados[Manutenção (%)],tabDados[Descrição Padronizada],B351,tabDados[Manutenção (%)],"&gt;"&amp;0),0)*10000)/10000)</f>
        <v>---</v>
      </c>
      <c r="H351" s="24" t="str">
        <f>IF(OR(B351="---",B351=""),"---",COUNTIF(tabDados[[#All],[Descrição Padronizada]],B351))</f>
        <v>---</v>
      </c>
      <c r="I351" s="24" t="s">
        <v>20</v>
      </c>
    </row>
    <row r="352" spans="1:9" hidden="1" x14ac:dyDescent="0.35">
      <c r="A352" s="15">
        <v>350</v>
      </c>
      <c r="C352" s="16" t="str">
        <f t="array" ref="C352">IF(B352="","---",IFERROR(
   _xlfn.PERCENTILE.INC(
      IF((tabDados[Descrição Padronizada]=B352)*(tabDados[Valor Unitário]&lt;&gt;""),
         tabDados[Valor Unitário],""
      ),
   C$1),
   _xlfn.MINIFS(tabDados[Valor Unitário],tabDados[Descrição Padronizada],B352)
))</f>
        <v>---</v>
      </c>
      <c r="D352" s="16" t="str">
        <f t="array" ref="D352">IF(B352="","---",IFERROR(
   _xlfn.PERCENTILE.INC(
      IF((tabDados[Descrição Padronizada]=B352)*(tabDados[Valor Unitário]&lt;&gt;""),
         tabDados[Valor Unitário],""
      ),
   D$1),
   _xlfn.MAXIFS(tabDados[Valor Unitário],tabDados[Descrição Padronizada],B352)
))</f>
        <v>---</v>
      </c>
      <c r="E352" s="16" t="str">
        <f>IF(OR(B352="",B352="---"),"---",
   IFERROR(AVERAGEIFS(tabDados[Valor Unitário],tabDados[Descrição Padronizada],B352,tabDados[Valor Unitário],"&gt;="&amp;C352,tabDados[Valor Unitário],"&lt;="&amp;D352),AVERAGE(C352,D352))
)</f>
        <v>---</v>
      </c>
      <c r="F352" s="12" t="str">
        <f t="array" ref="F352">IF(OR(B352="",B352="---"),"---",TRUNC(IFERROR(MODE(IF((tabDados[Descrição Padronizada]=B352)*(tabDados[Vida Útil (meses)]&lt;&gt;""),tabDados[Vida Útil (meses)],"-")),AVERAGEIFS(tabDados[Vida Útil (meses)],tabDados[Descrição Padronizada],B352))+0.5))</f>
        <v>---</v>
      </c>
      <c r="G352" s="13" t="str">
        <f>IF(OR(B352="",B352="---"),"---",TRUNC(IFERROR(AVERAGEIFS(tabDados[Manutenção (%)],tabDados[Descrição Padronizada],B352,tabDados[Manutenção (%)],"&gt;"&amp;0),0)*10000)/10000)</f>
        <v>---</v>
      </c>
      <c r="H352" s="24" t="str">
        <f>IF(OR(B352="---",B352=""),"---",COUNTIF(tabDados[[#All],[Descrição Padronizada]],B352))</f>
        <v>---</v>
      </c>
      <c r="I352" s="24" t="s">
        <v>20</v>
      </c>
    </row>
    <row r="353" spans="1:9" hidden="1" x14ac:dyDescent="0.35">
      <c r="A353" s="15">
        <v>351</v>
      </c>
      <c r="C353" s="16" t="str">
        <f t="array" ref="C353">IF(B353="","---",IFERROR(
   _xlfn.PERCENTILE.INC(
      IF((tabDados[Descrição Padronizada]=B353)*(tabDados[Valor Unitário]&lt;&gt;""),
         tabDados[Valor Unitário],""
      ),
   C$1),
   _xlfn.MINIFS(tabDados[Valor Unitário],tabDados[Descrição Padronizada],B353)
))</f>
        <v>---</v>
      </c>
      <c r="D353" s="16" t="str">
        <f t="array" ref="D353">IF(B353="","---",IFERROR(
   _xlfn.PERCENTILE.INC(
      IF((tabDados[Descrição Padronizada]=B353)*(tabDados[Valor Unitário]&lt;&gt;""),
         tabDados[Valor Unitário],""
      ),
   D$1),
   _xlfn.MAXIFS(tabDados[Valor Unitário],tabDados[Descrição Padronizada],B353)
))</f>
        <v>---</v>
      </c>
      <c r="E353" s="16" t="str">
        <f>IF(OR(B353="",B353="---"),"---",
   IFERROR(AVERAGEIFS(tabDados[Valor Unitário],tabDados[Descrição Padronizada],B353,tabDados[Valor Unitário],"&gt;="&amp;C353,tabDados[Valor Unitário],"&lt;="&amp;D353),AVERAGE(C353,D353))
)</f>
        <v>---</v>
      </c>
      <c r="F353" s="12" t="str">
        <f t="array" ref="F353">IF(OR(B353="",B353="---"),"---",TRUNC(IFERROR(MODE(IF((tabDados[Descrição Padronizada]=B353)*(tabDados[Vida Útil (meses)]&lt;&gt;""),tabDados[Vida Útil (meses)],"-")),AVERAGEIFS(tabDados[Vida Útil (meses)],tabDados[Descrição Padronizada],B353))+0.5))</f>
        <v>---</v>
      </c>
      <c r="G353" s="13" t="str">
        <f>IF(OR(B353="",B353="---"),"---",TRUNC(IFERROR(AVERAGEIFS(tabDados[Manutenção (%)],tabDados[Descrição Padronizada],B353,tabDados[Manutenção (%)],"&gt;"&amp;0),0)*10000)/10000)</f>
        <v>---</v>
      </c>
      <c r="H353" s="24" t="str">
        <f>IF(OR(B353="---",B353=""),"---",COUNTIF(tabDados[[#All],[Descrição Padronizada]],B353))</f>
        <v>---</v>
      </c>
      <c r="I353" s="24" t="s">
        <v>20</v>
      </c>
    </row>
    <row r="354" spans="1:9" hidden="1" x14ac:dyDescent="0.35">
      <c r="A354" s="15">
        <v>352</v>
      </c>
      <c r="C354" s="16" t="str">
        <f t="array" ref="C354">IF(B354="","---",IFERROR(
   _xlfn.PERCENTILE.INC(
      IF((tabDados[Descrição Padronizada]=B354)*(tabDados[Valor Unitário]&lt;&gt;""),
         tabDados[Valor Unitário],""
      ),
   C$1),
   _xlfn.MINIFS(tabDados[Valor Unitário],tabDados[Descrição Padronizada],B354)
))</f>
        <v>---</v>
      </c>
      <c r="D354" s="16" t="str">
        <f t="array" ref="D354">IF(B354="","---",IFERROR(
   _xlfn.PERCENTILE.INC(
      IF((tabDados[Descrição Padronizada]=B354)*(tabDados[Valor Unitário]&lt;&gt;""),
         tabDados[Valor Unitário],""
      ),
   D$1),
   _xlfn.MAXIFS(tabDados[Valor Unitário],tabDados[Descrição Padronizada],B354)
))</f>
        <v>---</v>
      </c>
      <c r="E354" s="16" t="str">
        <f>IF(OR(B354="",B354="---"),"---",
   IFERROR(AVERAGEIFS(tabDados[Valor Unitário],tabDados[Descrição Padronizada],B354,tabDados[Valor Unitário],"&gt;="&amp;C354,tabDados[Valor Unitário],"&lt;="&amp;D354),AVERAGE(C354,D354))
)</f>
        <v>---</v>
      </c>
      <c r="F354" s="12" t="str">
        <f t="array" ref="F354">IF(OR(B354="",B354="---"),"---",TRUNC(IFERROR(MODE(IF((tabDados[Descrição Padronizada]=B354)*(tabDados[Vida Útil (meses)]&lt;&gt;""),tabDados[Vida Útil (meses)],"-")),AVERAGEIFS(tabDados[Vida Útil (meses)],tabDados[Descrição Padronizada],B354))+0.5))</f>
        <v>---</v>
      </c>
      <c r="G354" s="13" t="str">
        <f>IF(OR(B354="",B354="---"),"---",TRUNC(IFERROR(AVERAGEIFS(tabDados[Manutenção (%)],tabDados[Descrição Padronizada],B354,tabDados[Manutenção (%)],"&gt;"&amp;0),0)*10000)/10000)</f>
        <v>---</v>
      </c>
      <c r="H354" s="24" t="str">
        <f>IF(OR(B354="---",B354=""),"---",COUNTIF(tabDados[[#All],[Descrição Padronizada]],B354))</f>
        <v>---</v>
      </c>
      <c r="I354" s="24" t="s">
        <v>20</v>
      </c>
    </row>
    <row r="355" spans="1:9" hidden="1" x14ac:dyDescent="0.35">
      <c r="A355" s="15">
        <v>353</v>
      </c>
      <c r="C355" s="16" t="str">
        <f t="array" ref="C355">IF(B355="","---",IFERROR(
   _xlfn.PERCENTILE.INC(
      IF((tabDados[Descrição Padronizada]=B355)*(tabDados[Valor Unitário]&lt;&gt;""),
         tabDados[Valor Unitário],""
      ),
   C$1),
   _xlfn.MINIFS(tabDados[Valor Unitário],tabDados[Descrição Padronizada],B355)
))</f>
        <v>---</v>
      </c>
      <c r="D355" s="16" t="str">
        <f t="array" ref="D355">IF(B355="","---",IFERROR(
   _xlfn.PERCENTILE.INC(
      IF((tabDados[Descrição Padronizada]=B355)*(tabDados[Valor Unitário]&lt;&gt;""),
         tabDados[Valor Unitário],""
      ),
   D$1),
   _xlfn.MAXIFS(tabDados[Valor Unitário],tabDados[Descrição Padronizada],B355)
))</f>
        <v>---</v>
      </c>
      <c r="E355" s="16" t="str">
        <f>IF(OR(B355="",B355="---"),"---",
   IFERROR(AVERAGEIFS(tabDados[Valor Unitário],tabDados[Descrição Padronizada],B355,tabDados[Valor Unitário],"&gt;="&amp;C355,tabDados[Valor Unitário],"&lt;="&amp;D355),AVERAGE(C355,D355))
)</f>
        <v>---</v>
      </c>
      <c r="F355" s="12" t="str">
        <f t="array" ref="F355">IF(OR(B355="",B355="---"),"---",TRUNC(IFERROR(MODE(IF((tabDados[Descrição Padronizada]=B355)*(tabDados[Vida Útil (meses)]&lt;&gt;""),tabDados[Vida Útil (meses)],"-")),AVERAGEIFS(tabDados[Vida Útil (meses)],tabDados[Descrição Padronizada],B355))+0.5))</f>
        <v>---</v>
      </c>
      <c r="G355" s="13" t="str">
        <f>IF(OR(B355="",B355="---"),"---",TRUNC(IFERROR(AVERAGEIFS(tabDados[Manutenção (%)],tabDados[Descrição Padronizada],B355,tabDados[Manutenção (%)],"&gt;"&amp;0),0)*10000)/10000)</f>
        <v>---</v>
      </c>
      <c r="H355" s="24" t="str">
        <f>IF(OR(B355="---",B355=""),"---",COUNTIF(tabDados[[#All],[Descrição Padronizada]],B355))</f>
        <v>---</v>
      </c>
      <c r="I355" s="24" t="s">
        <v>20</v>
      </c>
    </row>
    <row r="356" spans="1:9" hidden="1" x14ac:dyDescent="0.35">
      <c r="A356" s="15">
        <v>354</v>
      </c>
      <c r="C356" s="16" t="str">
        <f t="array" ref="C356">IF(B356="","---",IFERROR(
   _xlfn.PERCENTILE.INC(
      IF((tabDados[Descrição Padronizada]=B356)*(tabDados[Valor Unitário]&lt;&gt;""),
         tabDados[Valor Unitário],""
      ),
   C$1),
   _xlfn.MINIFS(tabDados[Valor Unitário],tabDados[Descrição Padronizada],B356)
))</f>
        <v>---</v>
      </c>
      <c r="D356" s="16" t="str">
        <f t="array" ref="D356">IF(B356="","---",IFERROR(
   _xlfn.PERCENTILE.INC(
      IF((tabDados[Descrição Padronizada]=B356)*(tabDados[Valor Unitário]&lt;&gt;""),
         tabDados[Valor Unitário],""
      ),
   D$1),
   _xlfn.MAXIFS(tabDados[Valor Unitário],tabDados[Descrição Padronizada],B356)
))</f>
        <v>---</v>
      </c>
      <c r="E356" s="16" t="str">
        <f>IF(OR(B356="",B356="---"),"---",
   IFERROR(AVERAGEIFS(tabDados[Valor Unitário],tabDados[Descrição Padronizada],B356,tabDados[Valor Unitário],"&gt;="&amp;C356,tabDados[Valor Unitário],"&lt;="&amp;D356),AVERAGE(C356,D356))
)</f>
        <v>---</v>
      </c>
      <c r="F356" s="12" t="str">
        <f t="array" ref="F356">IF(OR(B356="",B356="---"),"---",TRUNC(IFERROR(MODE(IF((tabDados[Descrição Padronizada]=B356)*(tabDados[Vida Útil (meses)]&lt;&gt;""),tabDados[Vida Útil (meses)],"-")),AVERAGEIFS(tabDados[Vida Útil (meses)],tabDados[Descrição Padronizada],B356))+0.5))</f>
        <v>---</v>
      </c>
      <c r="G356" s="13" t="str">
        <f>IF(OR(B356="",B356="---"),"---",TRUNC(IFERROR(AVERAGEIFS(tabDados[Manutenção (%)],tabDados[Descrição Padronizada],B356,tabDados[Manutenção (%)],"&gt;"&amp;0),0)*10000)/10000)</f>
        <v>---</v>
      </c>
      <c r="H356" s="24" t="str">
        <f>IF(OR(B356="---",B356=""),"---",COUNTIF(tabDados[[#All],[Descrição Padronizada]],B356))</f>
        <v>---</v>
      </c>
      <c r="I356" s="24" t="s">
        <v>20</v>
      </c>
    </row>
    <row r="357" spans="1:9" hidden="1" x14ac:dyDescent="0.35">
      <c r="A357" s="15">
        <v>355</v>
      </c>
      <c r="C357" s="16" t="str">
        <f t="array" ref="C357">IF(B357="","---",IFERROR(
   _xlfn.PERCENTILE.INC(
      IF((tabDados[Descrição Padronizada]=B357)*(tabDados[Valor Unitário]&lt;&gt;""),
         tabDados[Valor Unitário],""
      ),
   C$1),
   _xlfn.MINIFS(tabDados[Valor Unitário],tabDados[Descrição Padronizada],B357)
))</f>
        <v>---</v>
      </c>
      <c r="D357" s="16" t="str">
        <f t="array" ref="D357">IF(B357="","---",IFERROR(
   _xlfn.PERCENTILE.INC(
      IF((tabDados[Descrição Padronizada]=B357)*(tabDados[Valor Unitário]&lt;&gt;""),
         tabDados[Valor Unitário],""
      ),
   D$1),
   _xlfn.MAXIFS(tabDados[Valor Unitário],tabDados[Descrição Padronizada],B357)
))</f>
        <v>---</v>
      </c>
      <c r="E357" s="16" t="str">
        <f>IF(OR(B357="",B357="---"),"---",
   IFERROR(AVERAGEIFS(tabDados[Valor Unitário],tabDados[Descrição Padronizada],B357,tabDados[Valor Unitário],"&gt;="&amp;C357,tabDados[Valor Unitário],"&lt;="&amp;D357),AVERAGE(C357,D357))
)</f>
        <v>---</v>
      </c>
      <c r="F357" s="12" t="str">
        <f t="array" ref="F357">IF(OR(B357="",B357="---"),"---",TRUNC(IFERROR(MODE(IF((tabDados[Descrição Padronizada]=B357)*(tabDados[Vida Útil (meses)]&lt;&gt;""),tabDados[Vida Útil (meses)],"-")),AVERAGEIFS(tabDados[Vida Útil (meses)],tabDados[Descrição Padronizada],B357))+0.5))</f>
        <v>---</v>
      </c>
      <c r="G357" s="13" t="str">
        <f>IF(OR(B357="",B357="---"),"---",TRUNC(IFERROR(AVERAGEIFS(tabDados[Manutenção (%)],tabDados[Descrição Padronizada],B357,tabDados[Manutenção (%)],"&gt;"&amp;0),0)*10000)/10000)</f>
        <v>---</v>
      </c>
      <c r="H357" s="24" t="str">
        <f>IF(OR(B357="---",B357=""),"---",COUNTIF(tabDados[[#All],[Descrição Padronizada]],B357))</f>
        <v>---</v>
      </c>
      <c r="I357" s="24" t="s">
        <v>20</v>
      </c>
    </row>
    <row r="358" spans="1:9" hidden="1" x14ac:dyDescent="0.35">
      <c r="A358" s="15">
        <v>356</v>
      </c>
      <c r="C358" s="16" t="str">
        <f t="array" ref="C358">IF(B358="","---",IFERROR(
   _xlfn.PERCENTILE.INC(
      IF((tabDados[Descrição Padronizada]=B358)*(tabDados[Valor Unitário]&lt;&gt;""),
         tabDados[Valor Unitário],""
      ),
   C$1),
   _xlfn.MINIFS(tabDados[Valor Unitário],tabDados[Descrição Padronizada],B358)
))</f>
        <v>---</v>
      </c>
      <c r="D358" s="16" t="str">
        <f t="array" ref="D358">IF(B358="","---",IFERROR(
   _xlfn.PERCENTILE.INC(
      IF((tabDados[Descrição Padronizada]=B358)*(tabDados[Valor Unitário]&lt;&gt;""),
         tabDados[Valor Unitário],""
      ),
   D$1),
   _xlfn.MAXIFS(tabDados[Valor Unitário],tabDados[Descrição Padronizada],B358)
))</f>
        <v>---</v>
      </c>
      <c r="E358" s="16" t="str">
        <f>IF(OR(B358="",B358="---"),"---",
   IFERROR(AVERAGEIFS(tabDados[Valor Unitário],tabDados[Descrição Padronizada],B358,tabDados[Valor Unitário],"&gt;="&amp;C358,tabDados[Valor Unitário],"&lt;="&amp;D358),AVERAGE(C358,D358))
)</f>
        <v>---</v>
      </c>
      <c r="F358" s="12" t="str">
        <f t="array" ref="F358">IF(OR(B358="",B358="---"),"---",TRUNC(IFERROR(MODE(IF((tabDados[Descrição Padronizada]=B358)*(tabDados[Vida Útil (meses)]&lt;&gt;""),tabDados[Vida Útil (meses)],"-")),AVERAGEIFS(tabDados[Vida Útil (meses)],tabDados[Descrição Padronizada],B358))+0.5))</f>
        <v>---</v>
      </c>
      <c r="G358" s="13" t="str">
        <f>IF(OR(B358="",B358="---"),"---",TRUNC(IFERROR(AVERAGEIFS(tabDados[Manutenção (%)],tabDados[Descrição Padronizada],B358,tabDados[Manutenção (%)],"&gt;"&amp;0),0)*10000)/10000)</f>
        <v>---</v>
      </c>
      <c r="H358" s="24" t="str">
        <f>IF(OR(B358="---",B358=""),"---",COUNTIF(tabDados[[#All],[Descrição Padronizada]],B358))</f>
        <v>---</v>
      </c>
      <c r="I358" s="24" t="s">
        <v>20</v>
      </c>
    </row>
    <row r="359" spans="1:9" hidden="1" x14ac:dyDescent="0.35">
      <c r="A359" s="15">
        <v>357</v>
      </c>
      <c r="C359" s="16" t="str">
        <f t="array" ref="C359">IF(B359="","---",IFERROR(
   _xlfn.PERCENTILE.INC(
      IF((tabDados[Descrição Padronizada]=B359)*(tabDados[Valor Unitário]&lt;&gt;""),
         tabDados[Valor Unitário],""
      ),
   C$1),
   _xlfn.MINIFS(tabDados[Valor Unitário],tabDados[Descrição Padronizada],B359)
))</f>
        <v>---</v>
      </c>
      <c r="D359" s="16" t="str">
        <f t="array" ref="D359">IF(B359="","---",IFERROR(
   _xlfn.PERCENTILE.INC(
      IF((tabDados[Descrição Padronizada]=B359)*(tabDados[Valor Unitário]&lt;&gt;""),
         tabDados[Valor Unitário],""
      ),
   D$1),
   _xlfn.MAXIFS(tabDados[Valor Unitário],tabDados[Descrição Padronizada],B359)
))</f>
        <v>---</v>
      </c>
      <c r="E359" s="16" t="str">
        <f>IF(OR(B359="",B359="---"),"---",
   IFERROR(AVERAGEIFS(tabDados[Valor Unitário],tabDados[Descrição Padronizada],B359,tabDados[Valor Unitário],"&gt;="&amp;C359,tabDados[Valor Unitário],"&lt;="&amp;D359),AVERAGE(C359,D359))
)</f>
        <v>---</v>
      </c>
      <c r="F359" s="12" t="str">
        <f t="array" ref="F359">IF(OR(B359="",B359="---"),"---",TRUNC(IFERROR(MODE(IF((tabDados[Descrição Padronizada]=B359)*(tabDados[Vida Útil (meses)]&lt;&gt;""),tabDados[Vida Útil (meses)],"-")),AVERAGEIFS(tabDados[Vida Útil (meses)],tabDados[Descrição Padronizada],B359))+0.5))</f>
        <v>---</v>
      </c>
      <c r="G359" s="13" t="str">
        <f>IF(OR(B359="",B359="---"),"---",TRUNC(IFERROR(AVERAGEIFS(tabDados[Manutenção (%)],tabDados[Descrição Padronizada],B359,tabDados[Manutenção (%)],"&gt;"&amp;0),0)*10000)/10000)</f>
        <v>---</v>
      </c>
      <c r="H359" s="24" t="str">
        <f>IF(OR(B359="---",B359=""),"---",COUNTIF(tabDados[[#All],[Descrição Padronizada]],B359))</f>
        <v>---</v>
      </c>
      <c r="I359" s="24" t="s">
        <v>20</v>
      </c>
    </row>
    <row r="360" spans="1:9" hidden="1" x14ac:dyDescent="0.35">
      <c r="A360" s="15">
        <v>358</v>
      </c>
      <c r="C360" s="16" t="str">
        <f t="array" ref="C360">IF(B360="","---",IFERROR(
   _xlfn.PERCENTILE.INC(
      IF((tabDados[Descrição Padronizada]=B360)*(tabDados[Valor Unitário]&lt;&gt;""),
         tabDados[Valor Unitário],""
      ),
   C$1),
   _xlfn.MINIFS(tabDados[Valor Unitário],tabDados[Descrição Padronizada],B360)
))</f>
        <v>---</v>
      </c>
      <c r="D360" s="16" t="str">
        <f t="array" ref="D360">IF(B360="","---",IFERROR(
   _xlfn.PERCENTILE.INC(
      IF((tabDados[Descrição Padronizada]=B360)*(tabDados[Valor Unitário]&lt;&gt;""),
         tabDados[Valor Unitário],""
      ),
   D$1),
   _xlfn.MAXIFS(tabDados[Valor Unitário],tabDados[Descrição Padronizada],B360)
))</f>
        <v>---</v>
      </c>
      <c r="E360" s="16" t="str">
        <f>IF(OR(B360="",B360="---"),"---",
   IFERROR(AVERAGEIFS(tabDados[Valor Unitário],tabDados[Descrição Padronizada],B360,tabDados[Valor Unitário],"&gt;="&amp;C360,tabDados[Valor Unitário],"&lt;="&amp;D360),AVERAGE(C360,D360))
)</f>
        <v>---</v>
      </c>
      <c r="F360" s="12" t="str">
        <f t="array" ref="F360">IF(OR(B360="",B360="---"),"---",TRUNC(IFERROR(MODE(IF((tabDados[Descrição Padronizada]=B360)*(tabDados[Vida Útil (meses)]&lt;&gt;""),tabDados[Vida Útil (meses)],"-")),AVERAGEIFS(tabDados[Vida Útil (meses)],tabDados[Descrição Padronizada],B360))+0.5))</f>
        <v>---</v>
      </c>
      <c r="G360" s="13" t="str">
        <f>IF(OR(B360="",B360="---"),"---",TRUNC(IFERROR(AVERAGEIFS(tabDados[Manutenção (%)],tabDados[Descrição Padronizada],B360,tabDados[Manutenção (%)],"&gt;"&amp;0),0)*10000)/10000)</f>
        <v>---</v>
      </c>
      <c r="H360" s="24" t="str">
        <f>IF(OR(B360="---",B360=""),"---",COUNTIF(tabDados[[#All],[Descrição Padronizada]],B360))</f>
        <v>---</v>
      </c>
      <c r="I360" s="24" t="s">
        <v>20</v>
      </c>
    </row>
    <row r="361" spans="1:9" hidden="1" x14ac:dyDescent="0.35">
      <c r="A361" s="15">
        <v>359</v>
      </c>
      <c r="C361" s="16" t="str">
        <f t="array" ref="C361">IF(B361="","---",IFERROR(
   _xlfn.PERCENTILE.INC(
      IF((tabDados[Descrição Padronizada]=B361)*(tabDados[Valor Unitário]&lt;&gt;""),
         tabDados[Valor Unitário],""
      ),
   C$1),
   _xlfn.MINIFS(tabDados[Valor Unitário],tabDados[Descrição Padronizada],B361)
))</f>
        <v>---</v>
      </c>
      <c r="D361" s="16" t="str">
        <f t="array" ref="D361">IF(B361="","---",IFERROR(
   _xlfn.PERCENTILE.INC(
      IF((tabDados[Descrição Padronizada]=B361)*(tabDados[Valor Unitário]&lt;&gt;""),
         tabDados[Valor Unitário],""
      ),
   D$1),
   _xlfn.MAXIFS(tabDados[Valor Unitário],tabDados[Descrição Padronizada],B361)
))</f>
        <v>---</v>
      </c>
      <c r="E361" s="16" t="str">
        <f>IF(OR(B361="",B361="---"),"---",
   IFERROR(AVERAGEIFS(tabDados[Valor Unitário],tabDados[Descrição Padronizada],B361,tabDados[Valor Unitário],"&gt;="&amp;C361,tabDados[Valor Unitário],"&lt;="&amp;D361),AVERAGE(C361,D361))
)</f>
        <v>---</v>
      </c>
      <c r="F361" s="12" t="str">
        <f t="array" ref="F361">IF(OR(B361="",B361="---"),"---",TRUNC(IFERROR(MODE(IF((tabDados[Descrição Padronizada]=B361)*(tabDados[Vida Útil (meses)]&lt;&gt;""),tabDados[Vida Útil (meses)],"-")),AVERAGEIFS(tabDados[Vida Útil (meses)],tabDados[Descrição Padronizada],B361))+0.5))</f>
        <v>---</v>
      </c>
      <c r="G361" s="13" t="str">
        <f>IF(OR(B361="",B361="---"),"---",TRUNC(IFERROR(AVERAGEIFS(tabDados[Manutenção (%)],tabDados[Descrição Padronizada],B361,tabDados[Manutenção (%)],"&gt;"&amp;0),0)*10000)/10000)</f>
        <v>---</v>
      </c>
      <c r="H361" s="24" t="str">
        <f>IF(OR(B361="---",B361=""),"---",COUNTIF(tabDados[[#All],[Descrição Padronizada]],B361))</f>
        <v>---</v>
      </c>
      <c r="I361" s="24" t="s">
        <v>20</v>
      </c>
    </row>
    <row r="362" spans="1:9" hidden="1" x14ac:dyDescent="0.35">
      <c r="A362" s="15">
        <v>360</v>
      </c>
      <c r="C362" s="16" t="str">
        <f t="array" ref="C362">IF(B362="","---",IFERROR(
   _xlfn.PERCENTILE.INC(
      IF((tabDados[Descrição Padronizada]=B362)*(tabDados[Valor Unitário]&lt;&gt;""),
         tabDados[Valor Unitário],""
      ),
   C$1),
   _xlfn.MINIFS(tabDados[Valor Unitário],tabDados[Descrição Padronizada],B362)
))</f>
        <v>---</v>
      </c>
      <c r="D362" s="16" t="str">
        <f t="array" ref="D362">IF(B362="","---",IFERROR(
   _xlfn.PERCENTILE.INC(
      IF((tabDados[Descrição Padronizada]=B362)*(tabDados[Valor Unitário]&lt;&gt;""),
         tabDados[Valor Unitário],""
      ),
   D$1),
   _xlfn.MAXIFS(tabDados[Valor Unitário],tabDados[Descrição Padronizada],B362)
))</f>
        <v>---</v>
      </c>
      <c r="E362" s="16" t="str">
        <f>IF(OR(B362="",B362="---"),"---",
   IFERROR(AVERAGEIFS(tabDados[Valor Unitário],tabDados[Descrição Padronizada],B362,tabDados[Valor Unitário],"&gt;="&amp;C362,tabDados[Valor Unitário],"&lt;="&amp;D362),AVERAGE(C362,D362))
)</f>
        <v>---</v>
      </c>
      <c r="F362" s="12" t="str">
        <f t="array" ref="F362">IF(OR(B362="",B362="---"),"---",TRUNC(IFERROR(MODE(IF((tabDados[Descrição Padronizada]=B362)*(tabDados[Vida Útil (meses)]&lt;&gt;""),tabDados[Vida Útil (meses)],"-")),AVERAGEIFS(tabDados[Vida Útil (meses)],tabDados[Descrição Padronizada],B362))+0.5))</f>
        <v>---</v>
      </c>
      <c r="G362" s="13" t="str">
        <f>IF(OR(B362="",B362="---"),"---",TRUNC(IFERROR(AVERAGEIFS(tabDados[Manutenção (%)],tabDados[Descrição Padronizada],B362,tabDados[Manutenção (%)],"&gt;"&amp;0),0)*10000)/10000)</f>
        <v>---</v>
      </c>
      <c r="H362" s="24" t="str">
        <f>IF(OR(B362="---",B362=""),"---",COUNTIF(tabDados[[#All],[Descrição Padronizada]],B362))</f>
        <v>---</v>
      </c>
      <c r="I362" s="24" t="s">
        <v>20</v>
      </c>
    </row>
    <row r="363" spans="1:9" hidden="1" x14ac:dyDescent="0.35">
      <c r="A363" s="15">
        <v>361</v>
      </c>
      <c r="C363" s="16" t="str">
        <f t="array" ref="C363">IF(B363="","---",IFERROR(
   _xlfn.PERCENTILE.INC(
      IF((tabDados[Descrição Padronizada]=B363)*(tabDados[Valor Unitário]&lt;&gt;""),
         tabDados[Valor Unitário],""
      ),
   C$1),
   _xlfn.MINIFS(tabDados[Valor Unitário],tabDados[Descrição Padronizada],B363)
))</f>
        <v>---</v>
      </c>
      <c r="D363" s="16" t="str">
        <f t="array" ref="D363">IF(B363="","---",IFERROR(
   _xlfn.PERCENTILE.INC(
      IF((tabDados[Descrição Padronizada]=B363)*(tabDados[Valor Unitário]&lt;&gt;""),
         tabDados[Valor Unitário],""
      ),
   D$1),
   _xlfn.MAXIFS(tabDados[Valor Unitário],tabDados[Descrição Padronizada],B363)
))</f>
        <v>---</v>
      </c>
      <c r="E363" s="16" t="str">
        <f>IF(OR(B363="",B363="---"),"---",
   IFERROR(AVERAGEIFS(tabDados[Valor Unitário],tabDados[Descrição Padronizada],B363,tabDados[Valor Unitário],"&gt;="&amp;C363,tabDados[Valor Unitário],"&lt;="&amp;D363),AVERAGE(C363,D363))
)</f>
        <v>---</v>
      </c>
      <c r="F363" s="12" t="str">
        <f t="array" ref="F363">IF(OR(B363="",B363="---"),"---",TRUNC(IFERROR(MODE(IF((tabDados[Descrição Padronizada]=B363)*(tabDados[Vida Útil (meses)]&lt;&gt;""),tabDados[Vida Útil (meses)],"-")),AVERAGEIFS(tabDados[Vida Útil (meses)],tabDados[Descrição Padronizada],B363))+0.5))</f>
        <v>---</v>
      </c>
      <c r="G363" s="13" t="str">
        <f>IF(OR(B363="",B363="---"),"---",TRUNC(IFERROR(AVERAGEIFS(tabDados[Manutenção (%)],tabDados[Descrição Padronizada],B363,tabDados[Manutenção (%)],"&gt;"&amp;0),0)*10000)/10000)</f>
        <v>---</v>
      </c>
      <c r="H363" s="24" t="str">
        <f>IF(OR(B363="---",B363=""),"---",COUNTIF(tabDados[[#All],[Descrição Padronizada]],B363))</f>
        <v>---</v>
      </c>
      <c r="I363" s="24" t="s">
        <v>20</v>
      </c>
    </row>
    <row r="364" spans="1:9" hidden="1" x14ac:dyDescent="0.35">
      <c r="A364" s="15">
        <v>362</v>
      </c>
      <c r="C364" s="16" t="str">
        <f t="array" ref="C364">IF(B364="","---",IFERROR(
   _xlfn.PERCENTILE.INC(
      IF((tabDados[Descrição Padronizada]=B364)*(tabDados[Valor Unitário]&lt;&gt;""),
         tabDados[Valor Unitário],""
      ),
   C$1),
   _xlfn.MINIFS(tabDados[Valor Unitário],tabDados[Descrição Padronizada],B364)
))</f>
        <v>---</v>
      </c>
      <c r="D364" s="16" t="str">
        <f t="array" ref="D364">IF(B364="","---",IFERROR(
   _xlfn.PERCENTILE.INC(
      IF((tabDados[Descrição Padronizada]=B364)*(tabDados[Valor Unitário]&lt;&gt;""),
         tabDados[Valor Unitário],""
      ),
   D$1),
   _xlfn.MAXIFS(tabDados[Valor Unitário],tabDados[Descrição Padronizada],B364)
))</f>
        <v>---</v>
      </c>
      <c r="E364" s="16" t="str">
        <f>IF(OR(B364="",B364="---"),"---",
   IFERROR(AVERAGEIFS(tabDados[Valor Unitário],tabDados[Descrição Padronizada],B364,tabDados[Valor Unitário],"&gt;="&amp;C364,tabDados[Valor Unitário],"&lt;="&amp;D364),AVERAGE(C364,D364))
)</f>
        <v>---</v>
      </c>
      <c r="F364" s="12" t="str">
        <f t="array" ref="F364">IF(OR(B364="",B364="---"),"---",TRUNC(IFERROR(MODE(IF((tabDados[Descrição Padronizada]=B364)*(tabDados[Vida Útil (meses)]&lt;&gt;""),tabDados[Vida Útil (meses)],"-")),AVERAGEIFS(tabDados[Vida Útil (meses)],tabDados[Descrição Padronizada],B364))+0.5))</f>
        <v>---</v>
      </c>
      <c r="G364" s="13" t="str">
        <f>IF(OR(B364="",B364="---"),"---",TRUNC(IFERROR(AVERAGEIFS(tabDados[Manutenção (%)],tabDados[Descrição Padronizada],B364,tabDados[Manutenção (%)],"&gt;"&amp;0),0)*10000)/10000)</f>
        <v>---</v>
      </c>
      <c r="H364" s="24" t="str">
        <f>IF(OR(B364="---",B364=""),"---",COUNTIF(tabDados[[#All],[Descrição Padronizada]],B364))</f>
        <v>---</v>
      </c>
      <c r="I364" s="24" t="s">
        <v>20</v>
      </c>
    </row>
    <row r="365" spans="1:9" hidden="1" x14ac:dyDescent="0.35">
      <c r="A365" s="15">
        <v>363</v>
      </c>
      <c r="C365" s="16" t="str">
        <f t="array" ref="C365">IF(B365="","---",IFERROR(
   _xlfn.PERCENTILE.INC(
      IF((tabDados[Descrição Padronizada]=B365)*(tabDados[Valor Unitário]&lt;&gt;""),
         tabDados[Valor Unitário],""
      ),
   C$1),
   _xlfn.MINIFS(tabDados[Valor Unitário],tabDados[Descrição Padronizada],B365)
))</f>
        <v>---</v>
      </c>
      <c r="D365" s="16" t="str">
        <f t="array" ref="D365">IF(B365="","---",IFERROR(
   _xlfn.PERCENTILE.INC(
      IF((tabDados[Descrição Padronizada]=B365)*(tabDados[Valor Unitário]&lt;&gt;""),
         tabDados[Valor Unitário],""
      ),
   D$1),
   _xlfn.MAXIFS(tabDados[Valor Unitário],tabDados[Descrição Padronizada],B365)
))</f>
        <v>---</v>
      </c>
      <c r="E365" s="16" t="str">
        <f>IF(OR(B365="",B365="---"),"---",
   IFERROR(AVERAGEIFS(tabDados[Valor Unitário],tabDados[Descrição Padronizada],B365,tabDados[Valor Unitário],"&gt;="&amp;C365,tabDados[Valor Unitário],"&lt;="&amp;D365),AVERAGE(C365,D365))
)</f>
        <v>---</v>
      </c>
      <c r="F365" s="12" t="str">
        <f t="array" ref="F365">IF(OR(B365="",B365="---"),"---",TRUNC(IFERROR(MODE(IF((tabDados[Descrição Padronizada]=B365)*(tabDados[Vida Útil (meses)]&lt;&gt;""),tabDados[Vida Útil (meses)],"-")),AVERAGEIFS(tabDados[Vida Útil (meses)],tabDados[Descrição Padronizada],B365))+0.5))</f>
        <v>---</v>
      </c>
      <c r="G365" s="13" t="str">
        <f>IF(OR(B365="",B365="---"),"---",TRUNC(IFERROR(AVERAGEIFS(tabDados[Manutenção (%)],tabDados[Descrição Padronizada],B365,tabDados[Manutenção (%)],"&gt;"&amp;0),0)*10000)/10000)</f>
        <v>---</v>
      </c>
      <c r="H365" s="24" t="str">
        <f>IF(OR(B365="---",B365=""),"---",COUNTIF(tabDados[[#All],[Descrição Padronizada]],B365))</f>
        <v>---</v>
      </c>
      <c r="I365" s="24" t="s">
        <v>20</v>
      </c>
    </row>
    <row r="366" spans="1:9" hidden="1" x14ac:dyDescent="0.35">
      <c r="A366" s="15">
        <v>364</v>
      </c>
      <c r="C366" s="16" t="str">
        <f t="array" ref="C366">IF(B366="","---",IFERROR(
   _xlfn.PERCENTILE.INC(
      IF((tabDados[Descrição Padronizada]=B366)*(tabDados[Valor Unitário]&lt;&gt;""),
         tabDados[Valor Unitário],""
      ),
   C$1),
   _xlfn.MINIFS(tabDados[Valor Unitário],tabDados[Descrição Padronizada],B366)
))</f>
        <v>---</v>
      </c>
      <c r="D366" s="16" t="str">
        <f t="array" ref="D366">IF(B366="","---",IFERROR(
   _xlfn.PERCENTILE.INC(
      IF((tabDados[Descrição Padronizada]=B366)*(tabDados[Valor Unitário]&lt;&gt;""),
         tabDados[Valor Unitário],""
      ),
   D$1),
   _xlfn.MAXIFS(tabDados[Valor Unitário],tabDados[Descrição Padronizada],B366)
))</f>
        <v>---</v>
      </c>
      <c r="E366" s="16" t="str">
        <f>IF(OR(B366="",B366="---"),"---",
   IFERROR(AVERAGEIFS(tabDados[Valor Unitário],tabDados[Descrição Padronizada],B366,tabDados[Valor Unitário],"&gt;="&amp;C366,tabDados[Valor Unitário],"&lt;="&amp;D366),AVERAGE(C366,D366))
)</f>
        <v>---</v>
      </c>
      <c r="F366" s="12" t="str">
        <f t="array" ref="F366">IF(OR(B366="",B366="---"),"---",TRUNC(IFERROR(MODE(IF((tabDados[Descrição Padronizada]=B366)*(tabDados[Vida Útil (meses)]&lt;&gt;""),tabDados[Vida Útil (meses)],"-")),AVERAGEIFS(tabDados[Vida Útil (meses)],tabDados[Descrição Padronizada],B366))+0.5))</f>
        <v>---</v>
      </c>
      <c r="G366" s="13" t="str">
        <f>IF(OR(B366="",B366="---"),"---",TRUNC(IFERROR(AVERAGEIFS(tabDados[Manutenção (%)],tabDados[Descrição Padronizada],B366,tabDados[Manutenção (%)],"&gt;"&amp;0),0)*10000)/10000)</f>
        <v>---</v>
      </c>
      <c r="H366" s="24" t="str">
        <f>IF(OR(B366="---",B366=""),"---",COUNTIF(tabDados[[#All],[Descrição Padronizada]],B366))</f>
        <v>---</v>
      </c>
      <c r="I366" s="24" t="s">
        <v>20</v>
      </c>
    </row>
    <row r="367" spans="1:9" hidden="1" x14ac:dyDescent="0.35">
      <c r="A367" s="15">
        <v>365</v>
      </c>
      <c r="C367" s="16" t="str">
        <f t="array" ref="C367">IF(B367="","---",IFERROR(
   _xlfn.PERCENTILE.INC(
      IF((tabDados[Descrição Padronizada]=B367)*(tabDados[Valor Unitário]&lt;&gt;""),
         tabDados[Valor Unitário],""
      ),
   C$1),
   _xlfn.MINIFS(tabDados[Valor Unitário],tabDados[Descrição Padronizada],B367)
))</f>
        <v>---</v>
      </c>
      <c r="D367" s="16" t="str">
        <f t="array" ref="D367">IF(B367="","---",IFERROR(
   _xlfn.PERCENTILE.INC(
      IF((tabDados[Descrição Padronizada]=B367)*(tabDados[Valor Unitário]&lt;&gt;""),
         tabDados[Valor Unitário],""
      ),
   D$1),
   _xlfn.MAXIFS(tabDados[Valor Unitário],tabDados[Descrição Padronizada],B367)
))</f>
        <v>---</v>
      </c>
      <c r="E367" s="16" t="str">
        <f>IF(OR(B367="",B367="---"),"---",
   IFERROR(AVERAGEIFS(tabDados[Valor Unitário],tabDados[Descrição Padronizada],B367,tabDados[Valor Unitário],"&gt;="&amp;C367,tabDados[Valor Unitário],"&lt;="&amp;D367),AVERAGE(C367,D367))
)</f>
        <v>---</v>
      </c>
      <c r="F367" s="12" t="str">
        <f t="array" ref="F367">IF(OR(B367="",B367="---"),"---",TRUNC(IFERROR(MODE(IF((tabDados[Descrição Padronizada]=B367)*(tabDados[Vida Útil (meses)]&lt;&gt;""),tabDados[Vida Útil (meses)],"-")),AVERAGEIFS(tabDados[Vida Útil (meses)],tabDados[Descrição Padronizada],B367))+0.5))</f>
        <v>---</v>
      </c>
      <c r="G367" s="13" t="str">
        <f>IF(OR(B367="",B367="---"),"---",TRUNC(IFERROR(AVERAGEIFS(tabDados[Manutenção (%)],tabDados[Descrição Padronizada],B367,tabDados[Manutenção (%)],"&gt;"&amp;0),0)*10000)/10000)</f>
        <v>---</v>
      </c>
      <c r="H367" s="24" t="str">
        <f>IF(OR(B367="---",B367=""),"---",COUNTIF(tabDados[[#All],[Descrição Padronizada]],B367))</f>
        <v>---</v>
      </c>
      <c r="I367" s="24" t="s">
        <v>20</v>
      </c>
    </row>
    <row r="368" spans="1:9" hidden="1" x14ac:dyDescent="0.35">
      <c r="A368" s="15">
        <v>366</v>
      </c>
      <c r="C368" s="16" t="str">
        <f t="array" ref="C368">IF(B368="","---",IFERROR(
   _xlfn.PERCENTILE.INC(
      IF((tabDados[Descrição Padronizada]=B368)*(tabDados[Valor Unitário]&lt;&gt;""),
         tabDados[Valor Unitário],""
      ),
   C$1),
   _xlfn.MINIFS(tabDados[Valor Unitário],tabDados[Descrição Padronizada],B368)
))</f>
        <v>---</v>
      </c>
      <c r="D368" s="16" t="str">
        <f t="array" ref="D368">IF(B368="","---",IFERROR(
   _xlfn.PERCENTILE.INC(
      IF((tabDados[Descrição Padronizada]=B368)*(tabDados[Valor Unitário]&lt;&gt;""),
         tabDados[Valor Unitário],""
      ),
   D$1),
   _xlfn.MAXIFS(tabDados[Valor Unitário],tabDados[Descrição Padronizada],B368)
))</f>
        <v>---</v>
      </c>
      <c r="E368" s="16" t="str">
        <f>IF(OR(B368="",B368="---"),"---",
   IFERROR(AVERAGEIFS(tabDados[Valor Unitário],tabDados[Descrição Padronizada],B368,tabDados[Valor Unitário],"&gt;="&amp;C368,tabDados[Valor Unitário],"&lt;="&amp;D368),AVERAGE(C368,D368))
)</f>
        <v>---</v>
      </c>
      <c r="F368" s="12" t="str">
        <f t="array" ref="F368">IF(OR(B368="",B368="---"),"---",TRUNC(IFERROR(MODE(IF((tabDados[Descrição Padronizada]=B368)*(tabDados[Vida Útil (meses)]&lt;&gt;""),tabDados[Vida Útil (meses)],"-")),AVERAGEIFS(tabDados[Vida Útil (meses)],tabDados[Descrição Padronizada],B368))+0.5))</f>
        <v>---</v>
      </c>
      <c r="G368" s="13" t="str">
        <f>IF(OR(B368="",B368="---"),"---",TRUNC(IFERROR(AVERAGEIFS(tabDados[Manutenção (%)],tabDados[Descrição Padronizada],B368,tabDados[Manutenção (%)],"&gt;"&amp;0),0)*10000)/10000)</f>
        <v>---</v>
      </c>
      <c r="H368" s="24" t="str">
        <f>IF(OR(B368="---",B368=""),"---",COUNTIF(tabDados[[#All],[Descrição Padronizada]],B368))</f>
        <v>---</v>
      </c>
      <c r="I368" s="24" t="s">
        <v>20</v>
      </c>
    </row>
    <row r="369" spans="1:9" hidden="1" x14ac:dyDescent="0.35">
      <c r="A369" s="15">
        <v>367</v>
      </c>
      <c r="C369" s="16" t="str">
        <f t="array" ref="C369">IF(B369="","---",IFERROR(
   _xlfn.PERCENTILE.INC(
      IF((tabDados[Descrição Padronizada]=B369)*(tabDados[Valor Unitário]&lt;&gt;""),
         tabDados[Valor Unitário],""
      ),
   C$1),
   _xlfn.MINIFS(tabDados[Valor Unitário],tabDados[Descrição Padronizada],B369)
))</f>
        <v>---</v>
      </c>
      <c r="D369" s="16" t="str">
        <f t="array" ref="D369">IF(B369="","---",IFERROR(
   _xlfn.PERCENTILE.INC(
      IF((tabDados[Descrição Padronizada]=B369)*(tabDados[Valor Unitário]&lt;&gt;""),
         tabDados[Valor Unitário],""
      ),
   D$1),
   _xlfn.MAXIFS(tabDados[Valor Unitário],tabDados[Descrição Padronizada],B369)
))</f>
        <v>---</v>
      </c>
      <c r="E369" s="16" t="str">
        <f>IF(OR(B369="",B369="---"),"---",
   IFERROR(AVERAGEIFS(tabDados[Valor Unitário],tabDados[Descrição Padronizada],B369,tabDados[Valor Unitário],"&gt;="&amp;C369,tabDados[Valor Unitário],"&lt;="&amp;D369),AVERAGE(C369,D369))
)</f>
        <v>---</v>
      </c>
      <c r="F369" s="12" t="str">
        <f t="array" ref="F369">IF(OR(B369="",B369="---"),"---",TRUNC(IFERROR(MODE(IF((tabDados[Descrição Padronizada]=B369)*(tabDados[Vida Útil (meses)]&lt;&gt;""),tabDados[Vida Útil (meses)],"-")),AVERAGEIFS(tabDados[Vida Útil (meses)],tabDados[Descrição Padronizada],B369))+0.5))</f>
        <v>---</v>
      </c>
      <c r="G369" s="13" t="str">
        <f>IF(OR(B369="",B369="---"),"---",TRUNC(IFERROR(AVERAGEIFS(tabDados[Manutenção (%)],tabDados[Descrição Padronizada],B369,tabDados[Manutenção (%)],"&gt;"&amp;0),0)*10000)/10000)</f>
        <v>---</v>
      </c>
      <c r="H369" s="24" t="str">
        <f>IF(OR(B369="---",B369=""),"---",COUNTIF(tabDados[[#All],[Descrição Padronizada]],B369))</f>
        <v>---</v>
      </c>
      <c r="I369" s="24" t="s">
        <v>20</v>
      </c>
    </row>
    <row r="370" spans="1:9" hidden="1" x14ac:dyDescent="0.35">
      <c r="A370" s="15">
        <v>368</v>
      </c>
      <c r="C370" s="16" t="str">
        <f t="array" ref="C370">IF(B370="","---",IFERROR(
   _xlfn.PERCENTILE.INC(
      IF((tabDados[Descrição Padronizada]=B370)*(tabDados[Valor Unitário]&lt;&gt;""),
         tabDados[Valor Unitário],""
      ),
   C$1),
   _xlfn.MINIFS(tabDados[Valor Unitário],tabDados[Descrição Padronizada],B370)
))</f>
        <v>---</v>
      </c>
      <c r="D370" s="16" t="str">
        <f t="array" ref="D370">IF(B370="","---",IFERROR(
   _xlfn.PERCENTILE.INC(
      IF((tabDados[Descrição Padronizada]=B370)*(tabDados[Valor Unitário]&lt;&gt;""),
         tabDados[Valor Unitário],""
      ),
   D$1),
   _xlfn.MAXIFS(tabDados[Valor Unitário],tabDados[Descrição Padronizada],B370)
))</f>
        <v>---</v>
      </c>
      <c r="E370" s="16" t="str">
        <f>IF(OR(B370="",B370="---"),"---",
   IFERROR(AVERAGEIFS(tabDados[Valor Unitário],tabDados[Descrição Padronizada],B370,tabDados[Valor Unitário],"&gt;="&amp;C370,tabDados[Valor Unitário],"&lt;="&amp;D370),AVERAGE(C370,D370))
)</f>
        <v>---</v>
      </c>
      <c r="F370" s="12" t="str">
        <f t="array" ref="F370">IF(OR(B370="",B370="---"),"---",TRUNC(IFERROR(MODE(IF((tabDados[Descrição Padronizada]=B370)*(tabDados[Vida Útil (meses)]&lt;&gt;""),tabDados[Vida Útil (meses)],"-")),AVERAGEIFS(tabDados[Vida Útil (meses)],tabDados[Descrição Padronizada],B370))+0.5))</f>
        <v>---</v>
      </c>
      <c r="G370" s="13" t="str">
        <f>IF(OR(B370="",B370="---"),"---",TRUNC(IFERROR(AVERAGEIFS(tabDados[Manutenção (%)],tabDados[Descrição Padronizada],B370,tabDados[Manutenção (%)],"&gt;"&amp;0),0)*10000)/10000)</f>
        <v>---</v>
      </c>
      <c r="H370" s="24" t="str">
        <f>IF(OR(B370="---",B370=""),"---",COUNTIF(tabDados[[#All],[Descrição Padronizada]],B370))</f>
        <v>---</v>
      </c>
      <c r="I370" s="24" t="s">
        <v>20</v>
      </c>
    </row>
    <row r="371" spans="1:9" hidden="1" x14ac:dyDescent="0.35">
      <c r="A371" s="15">
        <v>369</v>
      </c>
      <c r="C371" s="16" t="str">
        <f t="array" ref="C371">IF(B371="","---",IFERROR(
   _xlfn.PERCENTILE.INC(
      IF((tabDados[Descrição Padronizada]=B371)*(tabDados[Valor Unitário]&lt;&gt;""),
         tabDados[Valor Unitário],""
      ),
   C$1),
   _xlfn.MINIFS(tabDados[Valor Unitário],tabDados[Descrição Padronizada],B371)
))</f>
        <v>---</v>
      </c>
      <c r="D371" s="16" t="str">
        <f t="array" ref="D371">IF(B371="","---",IFERROR(
   _xlfn.PERCENTILE.INC(
      IF((tabDados[Descrição Padronizada]=B371)*(tabDados[Valor Unitário]&lt;&gt;""),
         tabDados[Valor Unitário],""
      ),
   D$1),
   _xlfn.MAXIFS(tabDados[Valor Unitário],tabDados[Descrição Padronizada],B371)
))</f>
        <v>---</v>
      </c>
      <c r="E371" s="16" t="str">
        <f>IF(OR(B371="",B371="---"),"---",
   IFERROR(AVERAGEIFS(tabDados[Valor Unitário],tabDados[Descrição Padronizada],B371,tabDados[Valor Unitário],"&gt;="&amp;C371,tabDados[Valor Unitário],"&lt;="&amp;D371),AVERAGE(C371,D371))
)</f>
        <v>---</v>
      </c>
      <c r="F371" s="12" t="str">
        <f t="array" ref="F371">IF(OR(B371="",B371="---"),"---",TRUNC(IFERROR(MODE(IF((tabDados[Descrição Padronizada]=B371)*(tabDados[Vida Útil (meses)]&lt;&gt;""),tabDados[Vida Útil (meses)],"-")),AVERAGEIFS(tabDados[Vida Útil (meses)],tabDados[Descrição Padronizada],B371))+0.5))</f>
        <v>---</v>
      </c>
      <c r="G371" s="13" t="str">
        <f>IF(OR(B371="",B371="---"),"---",TRUNC(IFERROR(AVERAGEIFS(tabDados[Manutenção (%)],tabDados[Descrição Padronizada],B371,tabDados[Manutenção (%)],"&gt;"&amp;0),0)*10000)/10000)</f>
        <v>---</v>
      </c>
      <c r="H371" s="24" t="str">
        <f>IF(OR(B371="---",B371=""),"---",COUNTIF(tabDados[[#All],[Descrição Padronizada]],B371))</f>
        <v>---</v>
      </c>
      <c r="I371" s="24" t="s">
        <v>20</v>
      </c>
    </row>
    <row r="372" spans="1:9" hidden="1" x14ac:dyDescent="0.35">
      <c r="A372" s="15">
        <v>370</v>
      </c>
      <c r="C372" s="16" t="str">
        <f t="array" ref="C372">IF(B372="","---",IFERROR(
   _xlfn.PERCENTILE.INC(
      IF((tabDados[Descrição Padronizada]=B372)*(tabDados[Valor Unitário]&lt;&gt;""),
         tabDados[Valor Unitário],""
      ),
   C$1),
   _xlfn.MINIFS(tabDados[Valor Unitário],tabDados[Descrição Padronizada],B372)
))</f>
        <v>---</v>
      </c>
      <c r="D372" s="16" t="str">
        <f t="array" ref="D372">IF(B372="","---",IFERROR(
   _xlfn.PERCENTILE.INC(
      IF((tabDados[Descrição Padronizada]=B372)*(tabDados[Valor Unitário]&lt;&gt;""),
         tabDados[Valor Unitário],""
      ),
   D$1),
   _xlfn.MAXIFS(tabDados[Valor Unitário],tabDados[Descrição Padronizada],B372)
))</f>
        <v>---</v>
      </c>
      <c r="E372" s="16" t="str">
        <f>IF(OR(B372="",B372="---"),"---",
   IFERROR(AVERAGEIFS(tabDados[Valor Unitário],tabDados[Descrição Padronizada],B372,tabDados[Valor Unitário],"&gt;="&amp;C372,tabDados[Valor Unitário],"&lt;="&amp;D372),AVERAGE(C372,D372))
)</f>
        <v>---</v>
      </c>
      <c r="F372" s="12" t="str">
        <f t="array" ref="F372">IF(OR(B372="",B372="---"),"---",TRUNC(IFERROR(MODE(IF((tabDados[Descrição Padronizada]=B372)*(tabDados[Vida Útil (meses)]&lt;&gt;""),tabDados[Vida Útil (meses)],"-")),AVERAGEIFS(tabDados[Vida Útil (meses)],tabDados[Descrição Padronizada],B372))+0.5))</f>
        <v>---</v>
      </c>
      <c r="G372" s="13" t="str">
        <f>IF(OR(B372="",B372="---"),"---",TRUNC(IFERROR(AVERAGEIFS(tabDados[Manutenção (%)],tabDados[Descrição Padronizada],B372,tabDados[Manutenção (%)],"&gt;"&amp;0),0)*10000)/10000)</f>
        <v>---</v>
      </c>
      <c r="H372" s="24" t="str">
        <f>IF(OR(B372="---",B372=""),"---",COUNTIF(tabDados[[#All],[Descrição Padronizada]],B372))</f>
        <v>---</v>
      </c>
      <c r="I372" s="24" t="s">
        <v>20</v>
      </c>
    </row>
    <row r="373" spans="1:9" hidden="1" x14ac:dyDescent="0.35">
      <c r="A373" s="15">
        <v>371</v>
      </c>
      <c r="C373" s="16" t="str">
        <f t="array" ref="C373">IF(B373="","---",IFERROR(
   _xlfn.PERCENTILE.INC(
      IF((tabDados[Descrição Padronizada]=B373)*(tabDados[Valor Unitário]&lt;&gt;""),
         tabDados[Valor Unitário],""
      ),
   C$1),
   _xlfn.MINIFS(tabDados[Valor Unitário],tabDados[Descrição Padronizada],B373)
))</f>
        <v>---</v>
      </c>
      <c r="D373" s="16" t="str">
        <f t="array" ref="D373">IF(B373="","---",IFERROR(
   _xlfn.PERCENTILE.INC(
      IF((tabDados[Descrição Padronizada]=B373)*(tabDados[Valor Unitário]&lt;&gt;""),
         tabDados[Valor Unitário],""
      ),
   D$1),
   _xlfn.MAXIFS(tabDados[Valor Unitário],tabDados[Descrição Padronizada],B373)
))</f>
        <v>---</v>
      </c>
      <c r="E373" s="16" t="str">
        <f>IF(OR(B373="",B373="---"),"---",
   IFERROR(AVERAGEIFS(tabDados[Valor Unitário],tabDados[Descrição Padronizada],B373,tabDados[Valor Unitário],"&gt;="&amp;C373,tabDados[Valor Unitário],"&lt;="&amp;D373),AVERAGE(C373,D373))
)</f>
        <v>---</v>
      </c>
      <c r="F373" s="12" t="str">
        <f t="array" ref="F373">IF(OR(B373="",B373="---"),"---",TRUNC(IFERROR(MODE(IF((tabDados[Descrição Padronizada]=B373)*(tabDados[Vida Útil (meses)]&lt;&gt;""),tabDados[Vida Útil (meses)],"-")),AVERAGEIFS(tabDados[Vida Útil (meses)],tabDados[Descrição Padronizada],B373))+0.5))</f>
        <v>---</v>
      </c>
      <c r="G373" s="13" t="str">
        <f>IF(OR(B373="",B373="---"),"---",TRUNC(IFERROR(AVERAGEIFS(tabDados[Manutenção (%)],tabDados[Descrição Padronizada],B373,tabDados[Manutenção (%)],"&gt;"&amp;0),0)*10000)/10000)</f>
        <v>---</v>
      </c>
      <c r="H373" s="24" t="str">
        <f>IF(OR(B373="---",B373=""),"---",COUNTIF(tabDados[[#All],[Descrição Padronizada]],B373))</f>
        <v>---</v>
      </c>
      <c r="I373" s="24" t="s">
        <v>20</v>
      </c>
    </row>
    <row r="374" spans="1:9" hidden="1" x14ac:dyDescent="0.35">
      <c r="A374" s="15">
        <v>372</v>
      </c>
      <c r="C374" s="16" t="str">
        <f t="array" ref="C374">IF(B374="","---",IFERROR(
   _xlfn.PERCENTILE.INC(
      IF((tabDados[Descrição Padronizada]=B374)*(tabDados[Valor Unitário]&lt;&gt;""),
         tabDados[Valor Unitário],""
      ),
   C$1),
   _xlfn.MINIFS(tabDados[Valor Unitário],tabDados[Descrição Padronizada],B374)
))</f>
        <v>---</v>
      </c>
      <c r="D374" s="16" t="str">
        <f t="array" ref="D374">IF(B374="","---",IFERROR(
   _xlfn.PERCENTILE.INC(
      IF((tabDados[Descrição Padronizada]=B374)*(tabDados[Valor Unitário]&lt;&gt;""),
         tabDados[Valor Unitário],""
      ),
   D$1),
   _xlfn.MAXIFS(tabDados[Valor Unitário],tabDados[Descrição Padronizada],B374)
))</f>
        <v>---</v>
      </c>
      <c r="E374" s="16" t="str">
        <f>IF(OR(B374="",B374="---"),"---",
   IFERROR(AVERAGEIFS(tabDados[Valor Unitário],tabDados[Descrição Padronizada],B374,tabDados[Valor Unitário],"&gt;="&amp;C374,tabDados[Valor Unitário],"&lt;="&amp;D374),AVERAGE(C374,D374))
)</f>
        <v>---</v>
      </c>
      <c r="F374" s="12" t="str">
        <f t="array" ref="F374">IF(OR(B374="",B374="---"),"---",TRUNC(IFERROR(MODE(IF((tabDados[Descrição Padronizada]=B374)*(tabDados[Vida Útil (meses)]&lt;&gt;""),tabDados[Vida Útil (meses)],"-")),AVERAGEIFS(tabDados[Vida Útil (meses)],tabDados[Descrição Padronizada],B374))+0.5))</f>
        <v>---</v>
      </c>
      <c r="G374" s="13" t="str">
        <f>IF(OR(B374="",B374="---"),"---",TRUNC(IFERROR(AVERAGEIFS(tabDados[Manutenção (%)],tabDados[Descrição Padronizada],B374,tabDados[Manutenção (%)],"&gt;"&amp;0),0)*10000)/10000)</f>
        <v>---</v>
      </c>
      <c r="H374" s="24" t="str">
        <f>IF(OR(B374="---",B374=""),"---",COUNTIF(tabDados[[#All],[Descrição Padronizada]],B374))</f>
        <v>---</v>
      </c>
      <c r="I374" s="24" t="s">
        <v>20</v>
      </c>
    </row>
    <row r="375" spans="1:9" hidden="1" x14ac:dyDescent="0.35">
      <c r="A375" s="15">
        <v>373</v>
      </c>
      <c r="C375" s="16" t="str">
        <f t="array" ref="C375">IF(B375="","---",IFERROR(
   _xlfn.PERCENTILE.INC(
      IF((tabDados[Descrição Padronizada]=B375)*(tabDados[Valor Unitário]&lt;&gt;""),
         tabDados[Valor Unitário],""
      ),
   C$1),
   _xlfn.MINIFS(tabDados[Valor Unitário],tabDados[Descrição Padronizada],B375)
))</f>
        <v>---</v>
      </c>
      <c r="D375" s="16" t="str">
        <f t="array" ref="D375">IF(B375="","---",IFERROR(
   _xlfn.PERCENTILE.INC(
      IF((tabDados[Descrição Padronizada]=B375)*(tabDados[Valor Unitário]&lt;&gt;""),
         tabDados[Valor Unitário],""
      ),
   D$1),
   _xlfn.MAXIFS(tabDados[Valor Unitário],tabDados[Descrição Padronizada],B375)
))</f>
        <v>---</v>
      </c>
      <c r="E375" s="16" t="str">
        <f>IF(OR(B375="",B375="---"),"---",
   IFERROR(AVERAGEIFS(tabDados[Valor Unitário],tabDados[Descrição Padronizada],B375,tabDados[Valor Unitário],"&gt;="&amp;C375,tabDados[Valor Unitário],"&lt;="&amp;D375),AVERAGE(C375,D375))
)</f>
        <v>---</v>
      </c>
      <c r="F375" s="12" t="str">
        <f t="array" ref="F375">IF(OR(B375="",B375="---"),"---",TRUNC(IFERROR(MODE(IF((tabDados[Descrição Padronizada]=B375)*(tabDados[Vida Útil (meses)]&lt;&gt;""),tabDados[Vida Útil (meses)],"-")),AVERAGEIFS(tabDados[Vida Útil (meses)],tabDados[Descrição Padronizada],B375))+0.5))</f>
        <v>---</v>
      </c>
      <c r="G375" s="13" t="str">
        <f>IF(OR(B375="",B375="---"),"---",TRUNC(IFERROR(AVERAGEIFS(tabDados[Manutenção (%)],tabDados[Descrição Padronizada],B375,tabDados[Manutenção (%)],"&gt;"&amp;0),0)*10000)/10000)</f>
        <v>---</v>
      </c>
      <c r="H375" s="24" t="str">
        <f>IF(OR(B375="---",B375=""),"---",COUNTIF(tabDados[[#All],[Descrição Padronizada]],B375))</f>
        <v>---</v>
      </c>
      <c r="I375" s="24" t="s">
        <v>20</v>
      </c>
    </row>
    <row r="376" spans="1:9" hidden="1" x14ac:dyDescent="0.35">
      <c r="A376" s="15">
        <v>374</v>
      </c>
      <c r="C376" s="16" t="str">
        <f t="array" ref="C376">IF(B376="","---",IFERROR(
   _xlfn.PERCENTILE.INC(
      IF((tabDados[Descrição Padronizada]=B376)*(tabDados[Valor Unitário]&lt;&gt;""),
         tabDados[Valor Unitário],""
      ),
   C$1),
   _xlfn.MINIFS(tabDados[Valor Unitário],tabDados[Descrição Padronizada],B376)
))</f>
        <v>---</v>
      </c>
      <c r="D376" s="16" t="str">
        <f t="array" ref="D376">IF(B376="","---",IFERROR(
   _xlfn.PERCENTILE.INC(
      IF((tabDados[Descrição Padronizada]=B376)*(tabDados[Valor Unitário]&lt;&gt;""),
         tabDados[Valor Unitário],""
      ),
   D$1),
   _xlfn.MAXIFS(tabDados[Valor Unitário],tabDados[Descrição Padronizada],B376)
))</f>
        <v>---</v>
      </c>
      <c r="E376" s="16" t="str">
        <f>IF(OR(B376="",B376="---"),"---",
   IFERROR(AVERAGEIFS(tabDados[Valor Unitário],tabDados[Descrição Padronizada],B376,tabDados[Valor Unitário],"&gt;="&amp;C376,tabDados[Valor Unitário],"&lt;="&amp;D376),AVERAGE(C376,D376))
)</f>
        <v>---</v>
      </c>
      <c r="F376" s="12" t="str">
        <f t="array" ref="F376">IF(OR(B376="",B376="---"),"---",TRUNC(IFERROR(MODE(IF((tabDados[Descrição Padronizada]=B376)*(tabDados[Vida Útil (meses)]&lt;&gt;""),tabDados[Vida Útil (meses)],"-")),AVERAGEIFS(tabDados[Vida Útil (meses)],tabDados[Descrição Padronizada],B376))+0.5))</f>
        <v>---</v>
      </c>
      <c r="G376" s="13" t="str">
        <f>IF(OR(B376="",B376="---"),"---",TRUNC(IFERROR(AVERAGEIFS(tabDados[Manutenção (%)],tabDados[Descrição Padronizada],B376,tabDados[Manutenção (%)],"&gt;"&amp;0),0)*10000)/10000)</f>
        <v>---</v>
      </c>
      <c r="H376" s="24" t="str">
        <f>IF(OR(B376="---",B376=""),"---",COUNTIF(tabDados[[#All],[Descrição Padronizada]],B376))</f>
        <v>---</v>
      </c>
      <c r="I376" s="24" t="s">
        <v>20</v>
      </c>
    </row>
    <row r="377" spans="1:9" hidden="1" x14ac:dyDescent="0.35">
      <c r="A377" s="15">
        <v>375</v>
      </c>
      <c r="C377" s="16" t="str">
        <f t="array" ref="C377">IF(B377="","---",IFERROR(
   _xlfn.PERCENTILE.INC(
      IF((tabDados[Descrição Padronizada]=B377)*(tabDados[Valor Unitário]&lt;&gt;""),
         tabDados[Valor Unitário],""
      ),
   C$1),
   _xlfn.MINIFS(tabDados[Valor Unitário],tabDados[Descrição Padronizada],B377)
))</f>
        <v>---</v>
      </c>
      <c r="D377" s="16" t="str">
        <f t="array" ref="D377">IF(B377="","---",IFERROR(
   _xlfn.PERCENTILE.INC(
      IF((tabDados[Descrição Padronizada]=B377)*(tabDados[Valor Unitário]&lt;&gt;""),
         tabDados[Valor Unitário],""
      ),
   D$1),
   _xlfn.MAXIFS(tabDados[Valor Unitário],tabDados[Descrição Padronizada],B377)
))</f>
        <v>---</v>
      </c>
      <c r="E377" s="16" t="str">
        <f>IF(OR(B377="",B377="---"),"---",
   IFERROR(AVERAGEIFS(tabDados[Valor Unitário],tabDados[Descrição Padronizada],B377,tabDados[Valor Unitário],"&gt;="&amp;C377,tabDados[Valor Unitário],"&lt;="&amp;D377),AVERAGE(C377,D377))
)</f>
        <v>---</v>
      </c>
      <c r="F377" s="12" t="str">
        <f t="array" ref="F377">IF(OR(B377="",B377="---"),"---",TRUNC(IFERROR(MODE(IF((tabDados[Descrição Padronizada]=B377)*(tabDados[Vida Útil (meses)]&lt;&gt;""),tabDados[Vida Útil (meses)],"-")),AVERAGEIFS(tabDados[Vida Útil (meses)],tabDados[Descrição Padronizada],B377))+0.5))</f>
        <v>---</v>
      </c>
      <c r="G377" s="13" t="str">
        <f>IF(OR(B377="",B377="---"),"---",TRUNC(IFERROR(AVERAGEIFS(tabDados[Manutenção (%)],tabDados[Descrição Padronizada],B377,tabDados[Manutenção (%)],"&gt;"&amp;0),0)*10000)/10000)</f>
        <v>---</v>
      </c>
      <c r="H377" s="24" t="str">
        <f>IF(OR(B377="---",B377=""),"---",COUNTIF(tabDados[[#All],[Descrição Padronizada]],B377))</f>
        <v>---</v>
      </c>
      <c r="I377" s="24" t="s">
        <v>20</v>
      </c>
    </row>
    <row r="378" spans="1:9" hidden="1" x14ac:dyDescent="0.35">
      <c r="A378" s="15">
        <v>376</v>
      </c>
      <c r="C378" s="16" t="str">
        <f t="array" ref="C378">IF(B378="","---",IFERROR(
   _xlfn.PERCENTILE.INC(
      IF((tabDados[Descrição Padronizada]=B378)*(tabDados[Valor Unitário]&lt;&gt;""),
         tabDados[Valor Unitário],""
      ),
   C$1),
   _xlfn.MINIFS(tabDados[Valor Unitário],tabDados[Descrição Padronizada],B378)
))</f>
        <v>---</v>
      </c>
      <c r="D378" s="16" t="str">
        <f t="array" ref="D378">IF(B378="","---",IFERROR(
   _xlfn.PERCENTILE.INC(
      IF((tabDados[Descrição Padronizada]=B378)*(tabDados[Valor Unitário]&lt;&gt;""),
         tabDados[Valor Unitário],""
      ),
   D$1),
   _xlfn.MAXIFS(tabDados[Valor Unitário],tabDados[Descrição Padronizada],B378)
))</f>
        <v>---</v>
      </c>
      <c r="E378" s="16" t="str">
        <f>IF(OR(B378="",B378="---"),"---",
   IFERROR(AVERAGEIFS(tabDados[Valor Unitário],tabDados[Descrição Padronizada],B378,tabDados[Valor Unitário],"&gt;="&amp;C378,tabDados[Valor Unitário],"&lt;="&amp;D378),AVERAGE(C378,D378))
)</f>
        <v>---</v>
      </c>
      <c r="F378" s="12" t="str">
        <f t="array" ref="F378">IF(OR(B378="",B378="---"),"---",TRUNC(IFERROR(MODE(IF((tabDados[Descrição Padronizada]=B378)*(tabDados[Vida Útil (meses)]&lt;&gt;""),tabDados[Vida Útil (meses)],"-")),AVERAGEIFS(tabDados[Vida Útil (meses)],tabDados[Descrição Padronizada],B378))+0.5))</f>
        <v>---</v>
      </c>
      <c r="G378" s="13" t="str">
        <f>IF(OR(B378="",B378="---"),"---",TRUNC(IFERROR(AVERAGEIFS(tabDados[Manutenção (%)],tabDados[Descrição Padronizada],B378,tabDados[Manutenção (%)],"&gt;"&amp;0),0)*10000)/10000)</f>
        <v>---</v>
      </c>
      <c r="H378" s="24" t="str">
        <f>IF(OR(B378="---",B378=""),"---",COUNTIF(tabDados[[#All],[Descrição Padronizada]],B378))</f>
        <v>---</v>
      </c>
      <c r="I378" s="24" t="s">
        <v>20</v>
      </c>
    </row>
    <row r="379" spans="1:9" hidden="1" x14ac:dyDescent="0.35">
      <c r="A379" s="15">
        <v>377</v>
      </c>
      <c r="C379" s="16" t="str">
        <f t="array" ref="C379">IF(B379="","---",IFERROR(
   _xlfn.PERCENTILE.INC(
      IF((tabDados[Descrição Padronizada]=B379)*(tabDados[Valor Unitário]&lt;&gt;""),
         tabDados[Valor Unitário],""
      ),
   C$1),
   _xlfn.MINIFS(tabDados[Valor Unitário],tabDados[Descrição Padronizada],B379)
))</f>
        <v>---</v>
      </c>
      <c r="D379" s="16" t="str">
        <f t="array" ref="D379">IF(B379="","---",IFERROR(
   _xlfn.PERCENTILE.INC(
      IF((tabDados[Descrição Padronizada]=B379)*(tabDados[Valor Unitário]&lt;&gt;""),
         tabDados[Valor Unitário],""
      ),
   D$1),
   _xlfn.MAXIFS(tabDados[Valor Unitário],tabDados[Descrição Padronizada],B379)
))</f>
        <v>---</v>
      </c>
      <c r="E379" s="16" t="str">
        <f>IF(OR(B379="",B379="---"),"---",
   IFERROR(AVERAGEIFS(tabDados[Valor Unitário],tabDados[Descrição Padronizada],B379,tabDados[Valor Unitário],"&gt;="&amp;C379,tabDados[Valor Unitário],"&lt;="&amp;D379),AVERAGE(C379,D379))
)</f>
        <v>---</v>
      </c>
      <c r="F379" s="12" t="str">
        <f t="array" ref="F379">IF(OR(B379="",B379="---"),"---",TRUNC(IFERROR(MODE(IF((tabDados[Descrição Padronizada]=B379)*(tabDados[Vida Útil (meses)]&lt;&gt;""),tabDados[Vida Útil (meses)],"-")),AVERAGEIFS(tabDados[Vida Útil (meses)],tabDados[Descrição Padronizada],B379))+0.5))</f>
        <v>---</v>
      </c>
      <c r="G379" s="13" t="str">
        <f>IF(OR(B379="",B379="---"),"---",TRUNC(IFERROR(AVERAGEIFS(tabDados[Manutenção (%)],tabDados[Descrição Padronizada],B379,tabDados[Manutenção (%)],"&gt;"&amp;0),0)*10000)/10000)</f>
        <v>---</v>
      </c>
      <c r="H379" s="24" t="str">
        <f>IF(OR(B379="---",B379=""),"---",COUNTIF(tabDados[[#All],[Descrição Padronizada]],B379))</f>
        <v>---</v>
      </c>
      <c r="I379" s="24" t="s">
        <v>20</v>
      </c>
    </row>
    <row r="380" spans="1:9" hidden="1" x14ac:dyDescent="0.35">
      <c r="A380" s="15">
        <v>378</v>
      </c>
      <c r="C380" s="16" t="str">
        <f t="array" ref="C380">IF(B380="","---",IFERROR(
   _xlfn.PERCENTILE.INC(
      IF((tabDados[Descrição Padronizada]=B380)*(tabDados[Valor Unitário]&lt;&gt;""),
         tabDados[Valor Unitário],""
      ),
   C$1),
   _xlfn.MINIFS(tabDados[Valor Unitário],tabDados[Descrição Padronizada],B380)
))</f>
        <v>---</v>
      </c>
      <c r="D380" s="16" t="str">
        <f t="array" ref="D380">IF(B380="","---",IFERROR(
   _xlfn.PERCENTILE.INC(
      IF((tabDados[Descrição Padronizada]=B380)*(tabDados[Valor Unitário]&lt;&gt;""),
         tabDados[Valor Unitário],""
      ),
   D$1),
   _xlfn.MAXIFS(tabDados[Valor Unitário],tabDados[Descrição Padronizada],B380)
))</f>
        <v>---</v>
      </c>
      <c r="E380" s="16" t="str">
        <f>IF(OR(B380="",B380="---"),"---",
   IFERROR(AVERAGEIFS(tabDados[Valor Unitário],tabDados[Descrição Padronizada],B380,tabDados[Valor Unitário],"&gt;="&amp;C380,tabDados[Valor Unitário],"&lt;="&amp;D380),AVERAGE(C380,D380))
)</f>
        <v>---</v>
      </c>
      <c r="F380" s="12" t="str">
        <f t="array" ref="F380">IF(OR(B380="",B380="---"),"---",TRUNC(IFERROR(MODE(IF((tabDados[Descrição Padronizada]=B380)*(tabDados[Vida Útil (meses)]&lt;&gt;""),tabDados[Vida Útil (meses)],"-")),AVERAGEIFS(tabDados[Vida Útil (meses)],tabDados[Descrição Padronizada],B380))+0.5))</f>
        <v>---</v>
      </c>
      <c r="G380" s="13" t="str">
        <f>IF(OR(B380="",B380="---"),"---",TRUNC(IFERROR(AVERAGEIFS(tabDados[Manutenção (%)],tabDados[Descrição Padronizada],B380,tabDados[Manutenção (%)],"&gt;"&amp;0),0)*10000)/10000)</f>
        <v>---</v>
      </c>
      <c r="H380" s="24" t="str">
        <f>IF(OR(B380="---",B380=""),"---",COUNTIF(tabDados[[#All],[Descrição Padronizada]],B380))</f>
        <v>---</v>
      </c>
      <c r="I380" s="24" t="s">
        <v>20</v>
      </c>
    </row>
    <row r="381" spans="1:9" hidden="1" x14ac:dyDescent="0.35">
      <c r="A381" s="15">
        <v>379</v>
      </c>
      <c r="C381" s="16" t="str">
        <f t="array" ref="C381">IF(B381="","---",IFERROR(
   _xlfn.PERCENTILE.INC(
      IF((tabDados[Descrição Padronizada]=B381)*(tabDados[Valor Unitário]&lt;&gt;""),
         tabDados[Valor Unitário],""
      ),
   C$1),
   _xlfn.MINIFS(tabDados[Valor Unitário],tabDados[Descrição Padronizada],B381)
))</f>
        <v>---</v>
      </c>
      <c r="D381" s="16" t="str">
        <f t="array" ref="D381">IF(B381="","---",IFERROR(
   _xlfn.PERCENTILE.INC(
      IF((tabDados[Descrição Padronizada]=B381)*(tabDados[Valor Unitário]&lt;&gt;""),
         tabDados[Valor Unitário],""
      ),
   D$1),
   _xlfn.MAXIFS(tabDados[Valor Unitário],tabDados[Descrição Padronizada],B381)
))</f>
        <v>---</v>
      </c>
      <c r="E381" s="16" t="str">
        <f>IF(OR(B381="",B381="---"),"---",
   IFERROR(AVERAGEIFS(tabDados[Valor Unitário],tabDados[Descrição Padronizada],B381,tabDados[Valor Unitário],"&gt;="&amp;C381,tabDados[Valor Unitário],"&lt;="&amp;D381),AVERAGE(C381,D381))
)</f>
        <v>---</v>
      </c>
      <c r="F381" s="12" t="str">
        <f t="array" ref="F381">IF(OR(B381="",B381="---"),"---",TRUNC(IFERROR(MODE(IF((tabDados[Descrição Padronizada]=B381)*(tabDados[Vida Útil (meses)]&lt;&gt;""),tabDados[Vida Útil (meses)],"-")),AVERAGEIFS(tabDados[Vida Útil (meses)],tabDados[Descrição Padronizada],B381))+0.5))</f>
        <v>---</v>
      </c>
      <c r="G381" s="13" t="str">
        <f>IF(OR(B381="",B381="---"),"---",TRUNC(IFERROR(AVERAGEIFS(tabDados[Manutenção (%)],tabDados[Descrição Padronizada],B381,tabDados[Manutenção (%)],"&gt;"&amp;0),0)*10000)/10000)</f>
        <v>---</v>
      </c>
      <c r="H381" s="24" t="str">
        <f>IF(OR(B381="---",B381=""),"---",COUNTIF(tabDados[[#All],[Descrição Padronizada]],B381))</f>
        <v>---</v>
      </c>
      <c r="I381" s="24" t="s">
        <v>20</v>
      </c>
    </row>
    <row r="382" spans="1:9" hidden="1" x14ac:dyDescent="0.35">
      <c r="A382" s="15">
        <v>380</v>
      </c>
      <c r="C382" s="16" t="str">
        <f t="array" ref="C382">IF(B382="","---",IFERROR(
   _xlfn.PERCENTILE.INC(
      IF((tabDados[Descrição Padronizada]=B382)*(tabDados[Valor Unitário]&lt;&gt;""),
         tabDados[Valor Unitário],""
      ),
   C$1),
   _xlfn.MINIFS(tabDados[Valor Unitário],tabDados[Descrição Padronizada],B382)
))</f>
        <v>---</v>
      </c>
      <c r="D382" s="16" t="str">
        <f t="array" ref="D382">IF(B382="","---",IFERROR(
   _xlfn.PERCENTILE.INC(
      IF((tabDados[Descrição Padronizada]=B382)*(tabDados[Valor Unitário]&lt;&gt;""),
         tabDados[Valor Unitário],""
      ),
   D$1),
   _xlfn.MAXIFS(tabDados[Valor Unitário],tabDados[Descrição Padronizada],B382)
))</f>
        <v>---</v>
      </c>
      <c r="E382" s="16" t="str">
        <f>IF(OR(B382="",B382="---"),"---",
   IFERROR(AVERAGEIFS(tabDados[Valor Unitário],tabDados[Descrição Padronizada],B382,tabDados[Valor Unitário],"&gt;="&amp;C382,tabDados[Valor Unitário],"&lt;="&amp;D382),AVERAGE(C382,D382))
)</f>
        <v>---</v>
      </c>
      <c r="F382" s="12" t="str">
        <f t="array" ref="F382">IF(OR(B382="",B382="---"),"---",TRUNC(IFERROR(MODE(IF((tabDados[Descrição Padronizada]=B382)*(tabDados[Vida Útil (meses)]&lt;&gt;""),tabDados[Vida Útil (meses)],"-")),AVERAGEIFS(tabDados[Vida Útil (meses)],tabDados[Descrição Padronizada],B382))+0.5))</f>
        <v>---</v>
      </c>
      <c r="G382" s="13" t="str">
        <f>IF(OR(B382="",B382="---"),"---",TRUNC(IFERROR(AVERAGEIFS(tabDados[Manutenção (%)],tabDados[Descrição Padronizada],B382,tabDados[Manutenção (%)],"&gt;"&amp;0),0)*10000)/10000)</f>
        <v>---</v>
      </c>
      <c r="H382" s="24" t="str">
        <f>IF(OR(B382="---",B382=""),"---",COUNTIF(tabDados[[#All],[Descrição Padronizada]],B382))</f>
        <v>---</v>
      </c>
      <c r="I382" s="24" t="s">
        <v>20</v>
      </c>
    </row>
    <row r="383" spans="1:9" hidden="1" x14ac:dyDescent="0.35">
      <c r="A383" s="15">
        <v>381</v>
      </c>
      <c r="C383" s="16" t="str">
        <f t="array" ref="C383">IF(B383="","---",IFERROR(
   _xlfn.PERCENTILE.INC(
      IF((tabDados[Descrição Padronizada]=B383)*(tabDados[Valor Unitário]&lt;&gt;""),
         tabDados[Valor Unitário],""
      ),
   C$1),
   _xlfn.MINIFS(tabDados[Valor Unitário],tabDados[Descrição Padronizada],B383)
))</f>
        <v>---</v>
      </c>
      <c r="D383" s="16" t="str">
        <f t="array" ref="D383">IF(B383="","---",IFERROR(
   _xlfn.PERCENTILE.INC(
      IF((tabDados[Descrição Padronizada]=B383)*(tabDados[Valor Unitário]&lt;&gt;""),
         tabDados[Valor Unitário],""
      ),
   D$1),
   _xlfn.MAXIFS(tabDados[Valor Unitário],tabDados[Descrição Padronizada],B383)
))</f>
        <v>---</v>
      </c>
      <c r="E383" s="16" t="str">
        <f>IF(OR(B383="",B383="---"),"---",
   IFERROR(AVERAGEIFS(tabDados[Valor Unitário],tabDados[Descrição Padronizada],B383,tabDados[Valor Unitário],"&gt;="&amp;C383,tabDados[Valor Unitário],"&lt;="&amp;D383),AVERAGE(C383,D383))
)</f>
        <v>---</v>
      </c>
      <c r="F383" s="12" t="str">
        <f t="array" ref="F383">IF(OR(B383="",B383="---"),"---",TRUNC(IFERROR(MODE(IF((tabDados[Descrição Padronizada]=B383)*(tabDados[Vida Útil (meses)]&lt;&gt;""),tabDados[Vida Útil (meses)],"-")),AVERAGEIFS(tabDados[Vida Útil (meses)],tabDados[Descrição Padronizada],B383))+0.5))</f>
        <v>---</v>
      </c>
      <c r="G383" s="13" t="str">
        <f>IF(OR(B383="",B383="---"),"---",TRUNC(IFERROR(AVERAGEIFS(tabDados[Manutenção (%)],tabDados[Descrição Padronizada],B383,tabDados[Manutenção (%)],"&gt;"&amp;0),0)*10000)/10000)</f>
        <v>---</v>
      </c>
      <c r="H383" s="24" t="str">
        <f>IF(OR(B383="---",B383=""),"---",COUNTIF(tabDados[[#All],[Descrição Padronizada]],B383))</f>
        <v>---</v>
      </c>
      <c r="I383" s="24" t="s">
        <v>20</v>
      </c>
    </row>
    <row r="384" spans="1:9" hidden="1" x14ac:dyDescent="0.35">
      <c r="A384" s="15">
        <v>382</v>
      </c>
      <c r="C384" s="16" t="str">
        <f t="array" ref="C384">IF(B384="","---",IFERROR(
   _xlfn.PERCENTILE.INC(
      IF((tabDados[Descrição Padronizada]=B384)*(tabDados[Valor Unitário]&lt;&gt;""),
         tabDados[Valor Unitário],""
      ),
   C$1),
   _xlfn.MINIFS(tabDados[Valor Unitário],tabDados[Descrição Padronizada],B384)
))</f>
        <v>---</v>
      </c>
      <c r="D384" s="16" t="str">
        <f t="array" ref="D384">IF(B384="","---",IFERROR(
   _xlfn.PERCENTILE.INC(
      IF((tabDados[Descrição Padronizada]=B384)*(tabDados[Valor Unitário]&lt;&gt;""),
         tabDados[Valor Unitário],""
      ),
   D$1),
   _xlfn.MAXIFS(tabDados[Valor Unitário],tabDados[Descrição Padronizada],B384)
))</f>
        <v>---</v>
      </c>
      <c r="E384" s="16" t="str">
        <f>IF(OR(B384="",B384="---"),"---",
   IFERROR(AVERAGEIFS(tabDados[Valor Unitário],tabDados[Descrição Padronizada],B384,tabDados[Valor Unitário],"&gt;="&amp;C384,tabDados[Valor Unitário],"&lt;="&amp;D384),AVERAGE(C384,D384))
)</f>
        <v>---</v>
      </c>
      <c r="F384" s="12" t="str">
        <f t="array" ref="F384">IF(OR(B384="",B384="---"),"---",TRUNC(IFERROR(MODE(IF((tabDados[Descrição Padronizada]=B384)*(tabDados[Vida Útil (meses)]&lt;&gt;""),tabDados[Vida Útil (meses)],"-")),AVERAGEIFS(tabDados[Vida Útil (meses)],tabDados[Descrição Padronizada],B384))+0.5))</f>
        <v>---</v>
      </c>
      <c r="G384" s="13" t="str">
        <f>IF(OR(B384="",B384="---"),"---",TRUNC(IFERROR(AVERAGEIFS(tabDados[Manutenção (%)],tabDados[Descrição Padronizada],B384,tabDados[Manutenção (%)],"&gt;"&amp;0),0)*10000)/10000)</f>
        <v>---</v>
      </c>
      <c r="H384" s="24" t="str">
        <f>IF(OR(B384="---",B384=""),"---",COUNTIF(tabDados[[#All],[Descrição Padronizada]],B384))</f>
        <v>---</v>
      </c>
      <c r="I384" s="24" t="s">
        <v>20</v>
      </c>
    </row>
    <row r="385" spans="1:9" hidden="1" x14ac:dyDescent="0.35">
      <c r="A385" s="15">
        <v>383</v>
      </c>
      <c r="C385" s="16" t="str">
        <f t="array" ref="C385">IF(B385="","---",IFERROR(
   _xlfn.PERCENTILE.INC(
      IF((tabDados[Descrição Padronizada]=B385)*(tabDados[Valor Unitário]&lt;&gt;""),
         tabDados[Valor Unitário],""
      ),
   C$1),
   _xlfn.MINIFS(tabDados[Valor Unitário],tabDados[Descrição Padronizada],B385)
))</f>
        <v>---</v>
      </c>
      <c r="D385" s="16" t="str">
        <f t="array" ref="D385">IF(B385="","---",IFERROR(
   _xlfn.PERCENTILE.INC(
      IF((tabDados[Descrição Padronizada]=B385)*(tabDados[Valor Unitário]&lt;&gt;""),
         tabDados[Valor Unitário],""
      ),
   D$1),
   _xlfn.MAXIFS(tabDados[Valor Unitário],tabDados[Descrição Padronizada],B385)
))</f>
        <v>---</v>
      </c>
      <c r="E385" s="16" t="str">
        <f>IF(OR(B385="",B385="---"),"---",
   IFERROR(AVERAGEIFS(tabDados[Valor Unitário],tabDados[Descrição Padronizada],B385,tabDados[Valor Unitário],"&gt;="&amp;C385,tabDados[Valor Unitário],"&lt;="&amp;D385),AVERAGE(C385,D385))
)</f>
        <v>---</v>
      </c>
      <c r="F385" s="12" t="str">
        <f t="array" ref="F385">IF(OR(B385="",B385="---"),"---",TRUNC(IFERROR(MODE(IF((tabDados[Descrição Padronizada]=B385)*(tabDados[Vida Útil (meses)]&lt;&gt;""),tabDados[Vida Útil (meses)],"-")),AVERAGEIFS(tabDados[Vida Útil (meses)],tabDados[Descrição Padronizada],B385))+0.5))</f>
        <v>---</v>
      </c>
      <c r="G385" s="13" t="str">
        <f>IF(OR(B385="",B385="---"),"---",TRUNC(IFERROR(AVERAGEIFS(tabDados[Manutenção (%)],tabDados[Descrição Padronizada],B385,tabDados[Manutenção (%)],"&gt;"&amp;0),0)*10000)/10000)</f>
        <v>---</v>
      </c>
      <c r="H385" s="24" t="str">
        <f>IF(OR(B385="---",B385=""),"---",COUNTIF(tabDados[[#All],[Descrição Padronizada]],B385))</f>
        <v>---</v>
      </c>
      <c r="I385" s="24" t="s">
        <v>20</v>
      </c>
    </row>
    <row r="386" spans="1:9" hidden="1" x14ac:dyDescent="0.35">
      <c r="A386" s="15">
        <v>384</v>
      </c>
      <c r="C386" s="16" t="str">
        <f t="array" ref="C386">IF(B386="","---",IFERROR(
   _xlfn.PERCENTILE.INC(
      IF((tabDados[Descrição Padronizada]=B386)*(tabDados[Valor Unitário]&lt;&gt;""),
         tabDados[Valor Unitário],""
      ),
   C$1),
   _xlfn.MINIFS(tabDados[Valor Unitário],tabDados[Descrição Padronizada],B386)
))</f>
        <v>---</v>
      </c>
      <c r="D386" s="16" t="str">
        <f t="array" ref="D386">IF(B386="","---",IFERROR(
   _xlfn.PERCENTILE.INC(
      IF((tabDados[Descrição Padronizada]=B386)*(tabDados[Valor Unitário]&lt;&gt;""),
         tabDados[Valor Unitário],""
      ),
   D$1),
   _xlfn.MAXIFS(tabDados[Valor Unitário],tabDados[Descrição Padronizada],B386)
))</f>
        <v>---</v>
      </c>
      <c r="E386" s="16" t="str">
        <f>IF(OR(B386="",B386="---"),"---",
   IFERROR(AVERAGEIFS(tabDados[Valor Unitário],tabDados[Descrição Padronizada],B386,tabDados[Valor Unitário],"&gt;="&amp;C386,tabDados[Valor Unitário],"&lt;="&amp;D386),AVERAGE(C386,D386))
)</f>
        <v>---</v>
      </c>
      <c r="F386" s="12" t="str">
        <f t="array" ref="F386">IF(OR(B386="",B386="---"),"---",TRUNC(IFERROR(MODE(IF((tabDados[Descrição Padronizada]=B386)*(tabDados[Vida Útil (meses)]&lt;&gt;""),tabDados[Vida Útil (meses)],"-")),AVERAGEIFS(tabDados[Vida Útil (meses)],tabDados[Descrição Padronizada],B386))+0.5))</f>
        <v>---</v>
      </c>
      <c r="G386" s="13" t="str">
        <f>IF(OR(B386="",B386="---"),"---",TRUNC(IFERROR(AVERAGEIFS(tabDados[Manutenção (%)],tabDados[Descrição Padronizada],B386,tabDados[Manutenção (%)],"&gt;"&amp;0),0)*10000)/10000)</f>
        <v>---</v>
      </c>
      <c r="H386" s="24" t="str">
        <f>IF(OR(B386="---",B386=""),"---",COUNTIF(tabDados[[#All],[Descrição Padronizada]],B386))</f>
        <v>---</v>
      </c>
      <c r="I386" s="24" t="s">
        <v>20</v>
      </c>
    </row>
    <row r="387" spans="1:9" hidden="1" x14ac:dyDescent="0.35">
      <c r="A387" s="15">
        <v>385</v>
      </c>
      <c r="C387" s="16" t="str">
        <f t="array" ref="C387">IF(B387="","---",IFERROR(
   _xlfn.PERCENTILE.INC(
      IF((tabDados[Descrição Padronizada]=B387)*(tabDados[Valor Unitário]&lt;&gt;""),
         tabDados[Valor Unitário],""
      ),
   C$1),
   _xlfn.MINIFS(tabDados[Valor Unitário],tabDados[Descrição Padronizada],B387)
))</f>
        <v>---</v>
      </c>
      <c r="D387" s="16" t="str">
        <f t="array" ref="D387">IF(B387="","---",IFERROR(
   _xlfn.PERCENTILE.INC(
      IF((tabDados[Descrição Padronizada]=B387)*(tabDados[Valor Unitário]&lt;&gt;""),
         tabDados[Valor Unitário],""
      ),
   D$1),
   _xlfn.MAXIFS(tabDados[Valor Unitário],tabDados[Descrição Padronizada],B387)
))</f>
        <v>---</v>
      </c>
      <c r="E387" s="16" t="str">
        <f>IF(OR(B387="",B387="---"),"---",
   IFERROR(AVERAGEIFS(tabDados[Valor Unitário],tabDados[Descrição Padronizada],B387,tabDados[Valor Unitário],"&gt;="&amp;C387,tabDados[Valor Unitário],"&lt;="&amp;D387),AVERAGE(C387,D387))
)</f>
        <v>---</v>
      </c>
      <c r="F387" s="12" t="str">
        <f t="array" ref="F387">IF(OR(B387="",B387="---"),"---",TRUNC(IFERROR(MODE(IF((tabDados[Descrição Padronizada]=B387)*(tabDados[Vida Útil (meses)]&lt;&gt;""),tabDados[Vida Útil (meses)],"-")),AVERAGEIFS(tabDados[Vida Útil (meses)],tabDados[Descrição Padronizada],B387))+0.5))</f>
        <v>---</v>
      </c>
      <c r="G387" s="13" t="str">
        <f>IF(OR(B387="",B387="---"),"---",TRUNC(IFERROR(AVERAGEIFS(tabDados[Manutenção (%)],tabDados[Descrição Padronizada],B387,tabDados[Manutenção (%)],"&gt;"&amp;0),0)*10000)/10000)</f>
        <v>---</v>
      </c>
      <c r="H387" s="24" t="str">
        <f>IF(OR(B387="---",B387=""),"---",COUNTIF(tabDados[[#All],[Descrição Padronizada]],B387))</f>
        <v>---</v>
      </c>
      <c r="I387" s="24" t="s">
        <v>20</v>
      </c>
    </row>
    <row r="388" spans="1:9" hidden="1" x14ac:dyDescent="0.35">
      <c r="A388" s="15">
        <v>386</v>
      </c>
      <c r="C388" s="16" t="str">
        <f t="array" ref="C388">IF(B388="","---",IFERROR(
   _xlfn.PERCENTILE.INC(
      IF((tabDados[Descrição Padronizada]=B388)*(tabDados[Valor Unitário]&lt;&gt;""),
         tabDados[Valor Unitário],""
      ),
   C$1),
   _xlfn.MINIFS(tabDados[Valor Unitário],tabDados[Descrição Padronizada],B388)
))</f>
        <v>---</v>
      </c>
      <c r="D388" s="16" t="str">
        <f t="array" ref="D388">IF(B388="","---",IFERROR(
   _xlfn.PERCENTILE.INC(
      IF((tabDados[Descrição Padronizada]=B388)*(tabDados[Valor Unitário]&lt;&gt;""),
         tabDados[Valor Unitário],""
      ),
   D$1),
   _xlfn.MAXIFS(tabDados[Valor Unitário],tabDados[Descrição Padronizada],B388)
))</f>
        <v>---</v>
      </c>
      <c r="E388" s="16" t="str">
        <f>IF(OR(B388="",B388="---"),"---",
   IFERROR(AVERAGEIFS(tabDados[Valor Unitário],tabDados[Descrição Padronizada],B388,tabDados[Valor Unitário],"&gt;="&amp;C388,tabDados[Valor Unitário],"&lt;="&amp;D388),AVERAGE(C388,D388))
)</f>
        <v>---</v>
      </c>
      <c r="F388" s="12" t="str">
        <f t="array" ref="F388">IF(OR(B388="",B388="---"),"---",TRUNC(IFERROR(MODE(IF((tabDados[Descrição Padronizada]=B388)*(tabDados[Vida Útil (meses)]&lt;&gt;""),tabDados[Vida Útil (meses)],"-")),AVERAGEIFS(tabDados[Vida Útil (meses)],tabDados[Descrição Padronizada],B388))+0.5))</f>
        <v>---</v>
      </c>
      <c r="G388" s="13" t="str">
        <f>IF(OR(B388="",B388="---"),"---",TRUNC(IFERROR(AVERAGEIFS(tabDados[Manutenção (%)],tabDados[Descrição Padronizada],B388,tabDados[Manutenção (%)],"&gt;"&amp;0),0)*10000)/10000)</f>
        <v>---</v>
      </c>
      <c r="H388" s="24" t="str">
        <f>IF(OR(B388="---",B388=""),"---",COUNTIF(tabDados[[#All],[Descrição Padronizada]],B388))</f>
        <v>---</v>
      </c>
      <c r="I388" s="24" t="s">
        <v>20</v>
      </c>
    </row>
    <row r="389" spans="1:9" hidden="1" x14ac:dyDescent="0.35">
      <c r="A389" s="15">
        <v>387</v>
      </c>
      <c r="C389" s="16" t="str">
        <f t="array" ref="C389">IF(B389="","---",IFERROR(
   _xlfn.PERCENTILE.INC(
      IF((tabDados[Descrição Padronizada]=B389)*(tabDados[Valor Unitário]&lt;&gt;""),
         tabDados[Valor Unitário],""
      ),
   C$1),
   _xlfn.MINIFS(tabDados[Valor Unitário],tabDados[Descrição Padronizada],B389)
))</f>
        <v>---</v>
      </c>
      <c r="D389" s="16" t="str">
        <f t="array" ref="D389">IF(B389="","---",IFERROR(
   _xlfn.PERCENTILE.INC(
      IF((tabDados[Descrição Padronizada]=B389)*(tabDados[Valor Unitário]&lt;&gt;""),
         tabDados[Valor Unitário],""
      ),
   D$1),
   _xlfn.MAXIFS(tabDados[Valor Unitário],tabDados[Descrição Padronizada],B389)
))</f>
        <v>---</v>
      </c>
      <c r="E389" s="16" t="str">
        <f>IF(OR(B389="",B389="---"),"---",
   IFERROR(AVERAGEIFS(tabDados[Valor Unitário],tabDados[Descrição Padronizada],B389,tabDados[Valor Unitário],"&gt;="&amp;C389,tabDados[Valor Unitário],"&lt;="&amp;D389),AVERAGE(C389,D389))
)</f>
        <v>---</v>
      </c>
      <c r="F389" s="12" t="str">
        <f t="array" ref="F389">IF(OR(B389="",B389="---"),"---",TRUNC(IFERROR(MODE(IF((tabDados[Descrição Padronizada]=B389)*(tabDados[Vida Útil (meses)]&lt;&gt;""),tabDados[Vida Útil (meses)],"-")),AVERAGEIFS(tabDados[Vida Útil (meses)],tabDados[Descrição Padronizada],B389))+0.5))</f>
        <v>---</v>
      </c>
      <c r="G389" s="13" t="str">
        <f>IF(OR(B389="",B389="---"),"---",TRUNC(IFERROR(AVERAGEIFS(tabDados[Manutenção (%)],tabDados[Descrição Padronizada],B389,tabDados[Manutenção (%)],"&gt;"&amp;0),0)*10000)/10000)</f>
        <v>---</v>
      </c>
      <c r="H389" s="24" t="str">
        <f>IF(OR(B389="---",B389=""),"---",COUNTIF(tabDados[[#All],[Descrição Padronizada]],B389))</f>
        <v>---</v>
      </c>
      <c r="I389" s="24" t="s">
        <v>20</v>
      </c>
    </row>
    <row r="390" spans="1:9" hidden="1" x14ac:dyDescent="0.35">
      <c r="A390" s="15">
        <v>388</v>
      </c>
      <c r="C390" s="16" t="str">
        <f t="array" ref="C390">IF(B390="","---",IFERROR(
   _xlfn.PERCENTILE.INC(
      IF((tabDados[Descrição Padronizada]=B390)*(tabDados[Valor Unitário]&lt;&gt;""),
         tabDados[Valor Unitário],""
      ),
   C$1),
   _xlfn.MINIFS(tabDados[Valor Unitário],tabDados[Descrição Padronizada],B390)
))</f>
        <v>---</v>
      </c>
      <c r="D390" s="16" t="str">
        <f t="array" ref="D390">IF(B390="","---",IFERROR(
   _xlfn.PERCENTILE.INC(
      IF((tabDados[Descrição Padronizada]=B390)*(tabDados[Valor Unitário]&lt;&gt;""),
         tabDados[Valor Unitário],""
      ),
   D$1),
   _xlfn.MAXIFS(tabDados[Valor Unitário],tabDados[Descrição Padronizada],B390)
))</f>
        <v>---</v>
      </c>
      <c r="E390" s="16" t="str">
        <f>IF(OR(B390="",B390="---"),"---",
   IFERROR(AVERAGEIFS(tabDados[Valor Unitário],tabDados[Descrição Padronizada],B390,tabDados[Valor Unitário],"&gt;="&amp;C390,tabDados[Valor Unitário],"&lt;="&amp;D390),AVERAGE(C390,D390))
)</f>
        <v>---</v>
      </c>
      <c r="F390" s="12" t="str">
        <f t="array" ref="F390">IF(OR(B390="",B390="---"),"---",TRUNC(IFERROR(MODE(IF((tabDados[Descrição Padronizada]=B390)*(tabDados[Vida Útil (meses)]&lt;&gt;""),tabDados[Vida Útil (meses)],"-")),AVERAGEIFS(tabDados[Vida Útil (meses)],tabDados[Descrição Padronizada],B390))+0.5))</f>
        <v>---</v>
      </c>
      <c r="G390" s="13" t="str">
        <f>IF(OR(B390="",B390="---"),"---",TRUNC(IFERROR(AVERAGEIFS(tabDados[Manutenção (%)],tabDados[Descrição Padronizada],B390,tabDados[Manutenção (%)],"&gt;"&amp;0),0)*10000)/10000)</f>
        <v>---</v>
      </c>
      <c r="H390" s="24" t="str">
        <f>IF(OR(B390="---",B390=""),"---",COUNTIF(tabDados[[#All],[Descrição Padronizada]],B390))</f>
        <v>---</v>
      </c>
      <c r="I390" s="24" t="s">
        <v>20</v>
      </c>
    </row>
    <row r="391" spans="1:9" hidden="1" x14ac:dyDescent="0.35">
      <c r="A391" s="15">
        <v>389</v>
      </c>
      <c r="C391" s="16" t="str">
        <f t="array" ref="C391">IF(B391="","---",IFERROR(
   _xlfn.PERCENTILE.INC(
      IF((tabDados[Descrição Padronizada]=B391)*(tabDados[Valor Unitário]&lt;&gt;""),
         tabDados[Valor Unitário],""
      ),
   C$1),
   _xlfn.MINIFS(tabDados[Valor Unitário],tabDados[Descrição Padronizada],B391)
))</f>
        <v>---</v>
      </c>
      <c r="D391" s="16" t="str">
        <f t="array" ref="D391">IF(B391="","---",IFERROR(
   _xlfn.PERCENTILE.INC(
      IF((tabDados[Descrição Padronizada]=B391)*(tabDados[Valor Unitário]&lt;&gt;""),
         tabDados[Valor Unitário],""
      ),
   D$1),
   _xlfn.MAXIFS(tabDados[Valor Unitário],tabDados[Descrição Padronizada],B391)
))</f>
        <v>---</v>
      </c>
      <c r="E391" s="16" t="str">
        <f>IF(OR(B391="",B391="---"),"---",
   IFERROR(AVERAGEIFS(tabDados[Valor Unitário],tabDados[Descrição Padronizada],B391,tabDados[Valor Unitário],"&gt;="&amp;C391,tabDados[Valor Unitário],"&lt;="&amp;D391),AVERAGE(C391,D391))
)</f>
        <v>---</v>
      </c>
      <c r="F391" s="12" t="str">
        <f t="array" ref="F391">IF(OR(B391="",B391="---"),"---",TRUNC(IFERROR(MODE(IF((tabDados[Descrição Padronizada]=B391)*(tabDados[Vida Útil (meses)]&lt;&gt;""),tabDados[Vida Útil (meses)],"-")),AVERAGEIFS(tabDados[Vida Útil (meses)],tabDados[Descrição Padronizada],B391))+0.5))</f>
        <v>---</v>
      </c>
      <c r="G391" s="13" t="str">
        <f>IF(OR(B391="",B391="---"),"---",TRUNC(IFERROR(AVERAGEIFS(tabDados[Manutenção (%)],tabDados[Descrição Padronizada],B391,tabDados[Manutenção (%)],"&gt;"&amp;0),0)*10000)/10000)</f>
        <v>---</v>
      </c>
      <c r="H391" s="24" t="str">
        <f>IF(OR(B391="---",B391=""),"---",COUNTIF(tabDados[[#All],[Descrição Padronizada]],B391))</f>
        <v>---</v>
      </c>
      <c r="I391" s="24" t="s">
        <v>20</v>
      </c>
    </row>
    <row r="392" spans="1:9" hidden="1" x14ac:dyDescent="0.35">
      <c r="A392" s="15">
        <v>390</v>
      </c>
      <c r="C392" s="16" t="str">
        <f t="array" ref="C392">IF(B392="","---",IFERROR(
   _xlfn.PERCENTILE.INC(
      IF((tabDados[Descrição Padronizada]=B392)*(tabDados[Valor Unitário]&lt;&gt;""),
         tabDados[Valor Unitário],""
      ),
   C$1),
   _xlfn.MINIFS(tabDados[Valor Unitário],tabDados[Descrição Padronizada],B392)
))</f>
        <v>---</v>
      </c>
      <c r="D392" s="16" t="str">
        <f t="array" ref="D392">IF(B392="","---",IFERROR(
   _xlfn.PERCENTILE.INC(
      IF((tabDados[Descrição Padronizada]=B392)*(tabDados[Valor Unitário]&lt;&gt;""),
         tabDados[Valor Unitário],""
      ),
   D$1),
   _xlfn.MAXIFS(tabDados[Valor Unitário],tabDados[Descrição Padronizada],B392)
))</f>
        <v>---</v>
      </c>
      <c r="E392" s="16" t="str">
        <f>IF(OR(B392="",B392="---"),"---",
   IFERROR(AVERAGEIFS(tabDados[Valor Unitário],tabDados[Descrição Padronizada],B392,tabDados[Valor Unitário],"&gt;="&amp;C392,tabDados[Valor Unitário],"&lt;="&amp;D392),AVERAGE(C392,D392))
)</f>
        <v>---</v>
      </c>
      <c r="F392" s="12" t="str">
        <f t="array" ref="F392">IF(OR(B392="",B392="---"),"---",TRUNC(IFERROR(MODE(IF((tabDados[Descrição Padronizada]=B392)*(tabDados[Vida Útil (meses)]&lt;&gt;""),tabDados[Vida Útil (meses)],"-")),AVERAGEIFS(tabDados[Vida Útil (meses)],tabDados[Descrição Padronizada],B392))+0.5))</f>
        <v>---</v>
      </c>
      <c r="G392" s="13" t="str">
        <f>IF(OR(B392="",B392="---"),"---",TRUNC(IFERROR(AVERAGEIFS(tabDados[Manutenção (%)],tabDados[Descrição Padronizada],B392,tabDados[Manutenção (%)],"&gt;"&amp;0),0)*10000)/10000)</f>
        <v>---</v>
      </c>
      <c r="H392" s="24" t="str">
        <f>IF(OR(B392="---",B392=""),"---",COUNTIF(tabDados[[#All],[Descrição Padronizada]],B392))</f>
        <v>---</v>
      </c>
      <c r="I392" s="24" t="s">
        <v>20</v>
      </c>
    </row>
    <row r="393" spans="1:9" hidden="1" x14ac:dyDescent="0.35">
      <c r="A393" s="15">
        <v>391</v>
      </c>
      <c r="C393" s="16" t="str">
        <f t="array" ref="C393">IF(B393="","---",IFERROR(
   _xlfn.PERCENTILE.INC(
      IF((tabDados[Descrição Padronizada]=B393)*(tabDados[Valor Unitário]&lt;&gt;""),
         tabDados[Valor Unitário],""
      ),
   C$1),
   _xlfn.MINIFS(tabDados[Valor Unitário],tabDados[Descrição Padronizada],B393)
))</f>
        <v>---</v>
      </c>
      <c r="D393" s="16" t="str">
        <f t="array" ref="D393">IF(B393="","---",IFERROR(
   _xlfn.PERCENTILE.INC(
      IF((tabDados[Descrição Padronizada]=B393)*(tabDados[Valor Unitário]&lt;&gt;""),
         tabDados[Valor Unitário],""
      ),
   D$1),
   _xlfn.MAXIFS(tabDados[Valor Unitário],tabDados[Descrição Padronizada],B393)
))</f>
        <v>---</v>
      </c>
      <c r="E393" s="16" t="str">
        <f>IF(OR(B393="",B393="---"),"---",
   IFERROR(AVERAGEIFS(tabDados[Valor Unitário],tabDados[Descrição Padronizada],B393,tabDados[Valor Unitário],"&gt;="&amp;C393,tabDados[Valor Unitário],"&lt;="&amp;D393),AVERAGE(C393,D393))
)</f>
        <v>---</v>
      </c>
      <c r="F393" s="12" t="str">
        <f t="array" ref="F393">IF(OR(B393="",B393="---"),"---",TRUNC(IFERROR(MODE(IF((tabDados[Descrição Padronizada]=B393)*(tabDados[Vida Útil (meses)]&lt;&gt;""),tabDados[Vida Útil (meses)],"-")),AVERAGEIFS(tabDados[Vida Útil (meses)],tabDados[Descrição Padronizada],B393))+0.5))</f>
        <v>---</v>
      </c>
      <c r="G393" s="13" t="str">
        <f>IF(OR(B393="",B393="---"),"---",TRUNC(IFERROR(AVERAGEIFS(tabDados[Manutenção (%)],tabDados[Descrição Padronizada],B393,tabDados[Manutenção (%)],"&gt;"&amp;0),0)*10000)/10000)</f>
        <v>---</v>
      </c>
      <c r="H393" s="24" t="str">
        <f>IF(OR(B393="---",B393=""),"---",COUNTIF(tabDados[[#All],[Descrição Padronizada]],B393))</f>
        <v>---</v>
      </c>
      <c r="I393" s="24" t="s">
        <v>20</v>
      </c>
    </row>
    <row r="394" spans="1:9" hidden="1" x14ac:dyDescent="0.35">
      <c r="A394" s="15">
        <v>392</v>
      </c>
      <c r="C394" s="16" t="str">
        <f t="array" ref="C394">IF(B394="","---",IFERROR(
   _xlfn.PERCENTILE.INC(
      IF((tabDados[Descrição Padronizada]=B394)*(tabDados[Valor Unitário]&lt;&gt;""),
         tabDados[Valor Unitário],""
      ),
   C$1),
   _xlfn.MINIFS(tabDados[Valor Unitário],tabDados[Descrição Padronizada],B394)
))</f>
        <v>---</v>
      </c>
      <c r="D394" s="16" t="str">
        <f t="array" ref="D394">IF(B394="","---",IFERROR(
   _xlfn.PERCENTILE.INC(
      IF((tabDados[Descrição Padronizada]=B394)*(tabDados[Valor Unitário]&lt;&gt;""),
         tabDados[Valor Unitário],""
      ),
   D$1),
   _xlfn.MAXIFS(tabDados[Valor Unitário],tabDados[Descrição Padronizada],B394)
))</f>
        <v>---</v>
      </c>
      <c r="E394" s="16" t="str">
        <f>IF(OR(B394="",B394="---"),"---",
   IFERROR(AVERAGEIFS(tabDados[Valor Unitário],tabDados[Descrição Padronizada],B394,tabDados[Valor Unitário],"&gt;="&amp;C394,tabDados[Valor Unitário],"&lt;="&amp;D394),AVERAGE(C394,D394))
)</f>
        <v>---</v>
      </c>
      <c r="F394" s="12" t="str">
        <f t="array" ref="F394">IF(OR(B394="",B394="---"),"---",TRUNC(IFERROR(MODE(IF((tabDados[Descrição Padronizada]=B394)*(tabDados[Vida Útil (meses)]&lt;&gt;""),tabDados[Vida Útil (meses)],"-")),AVERAGEIFS(tabDados[Vida Útil (meses)],tabDados[Descrição Padronizada],B394))+0.5))</f>
        <v>---</v>
      </c>
      <c r="G394" s="13" t="str">
        <f>IF(OR(B394="",B394="---"),"---",TRUNC(IFERROR(AVERAGEIFS(tabDados[Manutenção (%)],tabDados[Descrição Padronizada],B394,tabDados[Manutenção (%)],"&gt;"&amp;0),0)*10000)/10000)</f>
        <v>---</v>
      </c>
      <c r="H394" s="24" t="str">
        <f>IF(OR(B394="---",B394=""),"---",COUNTIF(tabDados[[#All],[Descrição Padronizada]],B394))</f>
        <v>---</v>
      </c>
      <c r="I394" s="24" t="s">
        <v>20</v>
      </c>
    </row>
    <row r="395" spans="1:9" hidden="1" x14ac:dyDescent="0.35">
      <c r="A395" s="15">
        <v>393</v>
      </c>
      <c r="C395" s="16" t="str">
        <f t="array" ref="C395">IF(B395="","---",IFERROR(
   _xlfn.PERCENTILE.INC(
      IF((tabDados[Descrição Padronizada]=B395)*(tabDados[Valor Unitário]&lt;&gt;""),
         tabDados[Valor Unitário],""
      ),
   C$1),
   _xlfn.MINIFS(tabDados[Valor Unitário],tabDados[Descrição Padronizada],B395)
))</f>
        <v>---</v>
      </c>
      <c r="D395" s="16" t="str">
        <f t="array" ref="D395">IF(B395="","---",IFERROR(
   _xlfn.PERCENTILE.INC(
      IF((tabDados[Descrição Padronizada]=B395)*(tabDados[Valor Unitário]&lt;&gt;""),
         tabDados[Valor Unitário],""
      ),
   D$1),
   _xlfn.MAXIFS(tabDados[Valor Unitário],tabDados[Descrição Padronizada],B395)
))</f>
        <v>---</v>
      </c>
      <c r="E395" s="16" t="str">
        <f>IF(OR(B395="",B395="---"),"---",
   IFERROR(AVERAGEIFS(tabDados[Valor Unitário],tabDados[Descrição Padronizada],B395,tabDados[Valor Unitário],"&gt;="&amp;C395,tabDados[Valor Unitário],"&lt;="&amp;D395),AVERAGE(C395,D395))
)</f>
        <v>---</v>
      </c>
      <c r="F395" s="12" t="str">
        <f t="array" ref="F395">IF(OR(B395="",B395="---"),"---",TRUNC(IFERROR(MODE(IF((tabDados[Descrição Padronizada]=B395)*(tabDados[Vida Útil (meses)]&lt;&gt;""),tabDados[Vida Útil (meses)],"-")),AVERAGEIFS(tabDados[Vida Útil (meses)],tabDados[Descrição Padronizada],B395))+0.5))</f>
        <v>---</v>
      </c>
      <c r="G395" s="13" t="str">
        <f>IF(OR(B395="",B395="---"),"---",TRUNC(IFERROR(AVERAGEIFS(tabDados[Manutenção (%)],tabDados[Descrição Padronizada],B395,tabDados[Manutenção (%)],"&gt;"&amp;0),0)*10000)/10000)</f>
        <v>---</v>
      </c>
      <c r="H395" s="24" t="str">
        <f>IF(OR(B395="---",B395=""),"---",COUNTIF(tabDados[[#All],[Descrição Padronizada]],B395))</f>
        <v>---</v>
      </c>
      <c r="I395" s="24" t="s">
        <v>20</v>
      </c>
    </row>
    <row r="396" spans="1:9" hidden="1" x14ac:dyDescent="0.35">
      <c r="A396" s="15">
        <v>394</v>
      </c>
      <c r="C396" s="16" t="str">
        <f t="array" ref="C396">IF(B396="","---",IFERROR(
   _xlfn.PERCENTILE.INC(
      IF((tabDados[Descrição Padronizada]=B396)*(tabDados[Valor Unitário]&lt;&gt;""),
         tabDados[Valor Unitário],""
      ),
   C$1),
   _xlfn.MINIFS(tabDados[Valor Unitário],tabDados[Descrição Padronizada],B396)
))</f>
        <v>---</v>
      </c>
      <c r="D396" s="16" t="str">
        <f t="array" ref="D396">IF(B396="","---",IFERROR(
   _xlfn.PERCENTILE.INC(
      IF((tabDados[Descrição Padronizada]=B396)*(tabDados[Valor Unitário]&lt;&gt;""),
         tabDados[Valor Unitário],""
      ),
   D$1),
   _xlfn.MAXIFS(tabDados[Valor Unitário],tabDados[Descrição Padronizada],B396)
))</f>
        <v>---</v>
      </c>
      <c r="E396" s="16" t="str">
        <f>IF(OR(B396="",B396="---"),"---",
   IFERROR(AVERAGEIFS(tabDados[Valor Unitário],tabDados[Descrição Padronizada],B396,tabDados[Valor Unitário],"&gt;="&amp;C396,tabDados[Valor Unitário],"&lt;="&amp;D396),AVERAGE(C396,D396))
)</f>
        <v>---</v>
      </c>
      <c r="F396" s="12" t="str">
        <f t="array" ref="F396">IF(OR(B396="",B396="---"),"---",TRUNC(IFERROR(MODE(IF((tabDados[Descrição Padronizada]=B396)*(tabDados[Vida Útil (meses)]&lt;&gt;""),tabDados[Vida Útil (meses)],"-")),AVERAGEIFS(tabDados[Vida Útil (meses)],tabDados[Descrição Padronizada],B396))+0.5))</f>
        <v>---</v>
      </c>
      <c r="G396" s="13" t="str">
        <f>IF(OR(B396="",B396="---"),"---",TRUNC(IFERROR(AVERAGEIFS(tabDados[Manutenção (%)],tabDados[Descrição Padronizada],B396,tabDados[Manutenção (%)],"&gt;"&amp;0),0)*10000)/10000)</f>
        <v>---</v>
      </c>
      <c r="H396" s="24" t="str">
        <f>IF(OR(B396="---",B396=""),"---",COUNTIF(tabDados[[#All],[Descrição Padronizada]],B396))</f>
        <v>---</v>
      </c>
      <c r="I396" s="24" t="s">
        <v>20</v>
      </c>
    </row>
    <row r="397" spans="1:9" hidden="1" x14ac:dyDescent="0.35">
      <c r="A397" s="15">
        <v>395</v>
      </c>
      <c r="C397" s="16" t="str">
        <f t="array" ref="C397">IF(B397="","---",IFERROR(
   _xlfn.PERCENTILE.INC(
      IF((tabDados[Descrição Padronizada]=B397)*(tabDados[Valor Unitário]&lt;&gt;""),
         tabDados[Valor Unitário],""
      ),
   C$1),
   _xlfn.MINIFS(tabDados[Valor Unitário],tabDados[Descrição Padronizada],B397)
))</f>
        <v>---</v>
      </c>
      <c r="D397" s="16" t="str">
        <f t="array" ref="D397">IF(B397="","---",IFERROR(
   _xlfn.PERCENTILE.INC(
      IF((tabDados[Descrição Padronizada]=B397)*(tabDados[Valor Unitário]&lt;&gt;""),
         tabDados[Valor Unitário],""
      ),
   D$1),
   _xlfn.MAXIFS(tabDados[Valor Unitário],tabDados[Descrição Padronizada],B397)
))</f>
        <v>---</v>
      </c>
      <c r="E397" s="16" t="str">
        <f>IF(OR(B397="",B397="---"),"---",
   IFERROR(AVERAGEIFS(tabDados[Valor Unitário],tabDados[Descrição Padronizada],B397,tabDados[Valor Unitário],"&gt;="&amp;C397,tabDados[Valor Unitário],"&lt;="&amp;D397),AVERAGE(C397,D397))
)</f>
        <v>---</v>
      </c>
      <c r="F397" s="12" t="str">
        <f t="array" ref="F397">IF(OR(B397="",B397="---"),"---",TRUNC(IFERROR(MODE(IF((tabDados[Descrição Padronizada]=B397)*(tabDados[Vida Útil (meses)]&lt;&gt;""),tabDados[Vida Útil (meses)],"-")),AVERAGEIFS(tabDados[Vida Útil (meses)],tabDados[Descrição Padronizada],B397))+0.5))</f>
        <v>---</v>
      </c>
      <c r="G397" s="13" t="str">
        <f>IF(OR(B397="",B397="---"),"---",TRUNC(IFERROR(AVERAGEIFS(tabDados[Manutenção (%)],tabDados[Descrição Padronizada],B397,tabDados[Manutenção (%)],"&gt;"&amp;0),0)*10000)/10000)</f>
        <v>---</v>
      </c>
      <c r="H397" s="24" t="str">
        <f>IF(OR(B397="---",B397=""),"---",COUNTIF(tabDados[[#All],[Descrição Padronizada]],B397))</f>
        <v>---</v>
      </c>
      <c r="I397" s="24" t="s">
        <v>20</v>
      </c>
    </row>
    <row r="398" spans="1:9" hidden="1" x14ac:dyDescent="0.35">
      <c r="A398" s="15">
        <v>396</v>
      </c>
      <c r="C398" s="16" t="str">
        <f t="array" ref="C398">IF(B398="","---",IFERROR(
   _xlfn.PERCENTILE.INC(
      IF((tabDados[Descrição Padronizada]=B398)*(tabDados[Valor Unitário]&lt;&gt;""),
         tabDados[Valor Unitário],""
      ),
   C$1),
   _xlfn.MINIFS(tabDados[Valor Unitário],tabDados[Descrição Padronizada],B398)
))</f>
        <v>---</v>
      </c>
      <c r="D398" s="16" t="str">
        <f t="array" ref="D398">IF(B398="","---",IFERROR(
   _xlfn.PERCENTILE.INC(
      IF((tabDados[Descrição Padronizada]=B398)*(tabDados[Valor Unitário]&lt;&gt;""),
         tabDados[Valor Unitário],""
      ),
   D$1),
   _xlfn.MAXIFS(tabDados[Valor Unitário],tabDados[Descrição Padronizada],B398)
))</f>
        <v>---</v>
      </c>
      <c r="E398" s="16" t="str">
        <f>IF(OR(B398="",B398="---"),"---",
   IFERROR(AVERAGEIFS(tabDados[Valor Unitário],tabDados[Descrição Padronizada],B398,tabDados[Valor Unitário],"&gt;="&amp;C398,tabDados[Valor Unitário],"&lt;="&amp;D398),AVERAGE(C398,D398))
)</f>
        <v>---</v>
      </c>
      <c r="F398" s="12" t="str">
        <f t="array" ref="F398">IF(OR(B398="",B398="---"),"---",TRUNC(IFERROR(MODE(IF((tabDados[Descrição Padronizada]=B398)*(tabDados[Vida Útil (meses)]&lt;&gt;""),tabDados[Vida Útil (meses)],"-")),AVERAGEIFS(tabDados[Vida Útil (meses)],tabDados[Descrição Padronizada],B398))+0.5))</f>
        <v>---</v>
      </c>
      <c r="G398" s="13" t="str">
        <f>IF(OR(B398="",B398="---"),"---",TRUNC(IFERROR(AVERAGEIFS(tabDados[Manutenção (%)],tabDados[Descrição Padronizada],B398,tabDados[Manutenção (%)],"&gt;"&amp;0),0)*10000)/10000)</f>
        <v>---</v>
      </c>
      <c r="H398" s="24" t="str">
        <f>IF(OR(B398="---",B398=""),"---",COUNTIF(tabDados[[#All],[Descrição Padronizada]],B398))</f>
        <v>---</v>
      </c>
      <c r="I398" s="24" t="s">
        <v>20</v>
      </c>
    </row>
    <row r="399" spans="1:9" hidden="1" x14ac:dyDescent="0.35">
      <c r="A399" s="15">
        <v>397</v>
      </c>
      <c r="C399" s="16" t="str">
        <f t="array" ref="C399">IF(B399="","---",IFERROR(
   _xlfn.PERCENTILE.INC(
      IF((tabDados[Descrição Padronizada]=B399)*(tabDados[Valor Unitário]&lt;&gt;""),
         tabDados[Valor Unitário],""
      ),
   C$1),
   _xlfn.MINIFS(tabDados[Valor Unitário],tabDados[Descrição Padronizada],B399)
))</f>
        <v>---</v>
      </c>
      <c r="D399" s="16" t="str">
        <f t="array" ref="D399">IF(B399="","---",IFERROR(
   _xlfn.PERCENTILE.INC(
      IF((tabDados[Descrição Padronizada]=B399)*(tabDados[Valor Unitário]&lt;&gt;""),
         tabDados[Valor Unitário],""
      ),
   D$1),
   _xlfn.MAXIFS(tabDados[Valor Unitário],tabDados[Descrição Padronizada],B399)
))</f>
        <v>---</v>
      </c>
      <c r="E399" s="16" t="str">
        <f>IF(OR(B399="",B399="---"),"---",
   IFERROR(AVERAGEIFS(tabDados[Valor Unitário],tabDados[Descrição Padronizada],B399,tabDados[Valor Unitário],"&gt;="&amp;C399,tabDados[Valor Unitário],"&lt;="&amp;D399),AVERAGE(C399,D399))
)</f>
        <v>---</v>
      </c>
      <c r="F399" s="12" t="str">
        <f t="array" ref="F399">IF(OR(B399="",B399="---"),"---",TRUNC(IFERROR(MODE(IF((tabDados[Descrição Padronizada]=B399)*(tabDados[Vida Útil (meses)]&lt;&gt;""),tabDados[Vida Útil (meses)],"-")),AVERAGEIFS(tabDados[Vida Útil (meses)],tabDados[Descrição Padronizada],B399))+0.5))</f>
        <v>---</v>
      </c>
      <c r="G399" s="13" t="str">
        <f>IF(OR(B399="",B399="---"),"---",TRUNC(IFERROR(AVERAGEIFS(tabDados[Manutenção (%)],tabDados[Descrição Padronizada],B399,tabDados[Manutenção (%)],"&gt;"&amp;0),0)*10000)/10000)</f>
        <v>---</v>
      </c>
      <c r="H399" s="24" t="str">
        <f>IF(OR(B399="---",B399=""),"---",COUNTIF(tabDados[[#All],[Descrição Padronizada]],B399))</f>
        <v>---</v>
      </c>
      <c r="I399" s="24" t="s">
        <v>20</v>
      </c>
    </row>
    <row r="400" spans="1:9" hidden="1" x14ac:dyDescent="0.35">
      <c r="A400" s="15">
        <v>398</v>
      </c>
      <c r="C400" s="16" t="str">
        <f t="array" ref="C400">IF(B400="","---",IFERROR(
   _xlfn.PERCENTILE.INC(
      IF((tabDados[Descrição Padronizada]=B400)*(tabDados[Valor Unitário]&lt;&gt;""),
         tabDados[Valor Unitário],""
      ),
   C$1),
   _xlfn.MINIFS(tabDados[Valor Unitário],tabDados[Descrição Padronizada],B400)
))</f>
        <v>---</v>
      </c>
      <c r="D400" s="16" t="str">
        <f t="array" ref="D400">IF(B400="","---",IFERROR(
   _xlfn.PERCENTILE.INC(
      IF((tabDados[Descrição Padronizada]=B400)*(tabDados[Valor Unitário]&lt;&gt;""),
         tabDados[Valor Unitário],""
      ),
   D$1),
   _xlfn.MAXIFS(tabDados[Valor Unitário],tabDados[Descrição Padronizada],B400)
))</f>
        <v>---</v>
      </c>
      <c r="E400" s="16" t="str">
        <f>IF(OR(B400="",B400="---"),"---",
   IFERROR(AVERAGEIFS(tabDados[Valor Unitário],tabDados[Descrição Padronizada],B400,tabDados[Valor Unitário],"&gt;="&amp;C400,tabDados[Valor Unitário],"&lt;="&amp;D400),AVERAGE(C400,D400))
)</f>
        <v>---</v>
      </c>
      <c r="F400" s="12" t="str">
        <f t="array" ref="F400">IF(OR(B400="",B400="---"),"---",TRUNC(IFERROR(MODE(IF((tabDados[Descrição Padronizada]=B400)*(tabDados[Vida Útil (meses)]&lt;&gt;""),tabDados[Vida Útil (meses)],"-")),AVERAGEIFS(tabDados[Vida Útil (meses)],tabDados[Descrição Padronizada],B400))+0.5))</f>
        <v>---</v>
      </c>
      <c r="G400" s="13" t="str">
        <f>IF(OR(B400="",B400="---"),"---",TRUNC(IFERROR(AVERAGEIFS(tabDados[Manutenção (%)],tabDados[Descrição Padronizada],B400,tabDados[Manutenção (%)],"&gt;"&amp;0),0)*10000)/10000)</f>
        <v>---</v>
      </c>
      <c r="H400" s="24" t="str">
        <f>IF(OR(B400="---",B400=""),"---",COUNTIF(tabDados[[#All],[Descrição Padronizada]],B400))</f>
        <v>---</v>
      </c>
      <c r="I400" s="24" t="s">
        <v>20</v>
      </c>
    </row>
    <row r="401" spans="1:9" hidden="1" x14ac:dyDescent="0.35">
      <c r="A401" s="15">
        <v>399</v>
      </c>
      <c r="C401" s="16" t="str">
        <f t="array" ref="C401">IF(B401="","---",IFERROR(
   _xlfn.PERCENTILE.INC(
      IF((tabDados[Descrição Padronizada]=B401)*(tabDados[Valor Unitário]&lt;&gt;""),
         tabDados[Valor Unitário],""
      ),
   C$1),
   _xlfn.MINIFS(tabDados[Valor Unitário],tabDados[Descrição Padronizada],B401)
))</f>
        <v>---</v>
      </c>
      <c r="D401" s="16" t="str">
        <f t="array" ref="D401">IF(B401="","---",IFERROR(
   _xlfn.PERCENTILE.INC(
      IF((tabDados[Descrição Padronizada]=B401)*(tabDados[Valor Unitário]&lt;&gt;""),
         tabDados[Valor Unitário],""
      ),
   D$1),
   _xlfn.MAXIFS(tabDados[Valor Unitário],tabDados[Descrição Padronizada],B401)
))</f>
        <v>---</v>
      </c>
      <c r="E401" s="16" t="str">
        <f>IF(OR(B401="",B401="---"),"---",
   IFERROR(AVERAGEIFS(tabDados[Valor Unitário],tabDados[Descrição Padronizada],B401,tabDados[Valor Unitário],"&gt;="&amp;C401,tabDados[Valor Unitário],"&lt;="&amp;D401),AVERAGE(C401,D401))
)</f>
        <v>---</v>
      </c>
      <c r="F401" s="12" t="str">
        <f t="array" ref="F401">IF(OR(B401="",B401="---"),"---",TRUNC(IFERROR(MODE(IF((tabDados[Descrição Padronizada]=B401)*(tabDados[Vida Útil (meses)]&lt;&gt;""),tabDados[Vida Útil (meses)],"-")),AVERAGEIFS(tabDados[Vida Útil (meses)],tabDados[Descrição Padronizada],B401))+0.5))</f>
        <v>---</v>
      </c>
      <c r="G401" s="13" t="str">
        <f>IF(OR(B401="",B401="---"),"---",TRUNC(IFERROR(AVERAGEIFS(tabDados[Manutenção (%)],tabDados[Descrição Padronizada],B401,tabDados[Manutenção (%)],"&gt;"&amp;0),0)*10000)/10000)</f>
        <v>---</v>
      </c>
      <c r="H401" s="24" t="str">
        <f>IF(OR(B401="---",B401=""),"---",COUNTIF(tabDados[[#All],[Descrição Padronizada]],B401))</f>
        <v>---</v>
      </c>
      <c r="I401" s="24" t="s">
        <v>20</v>
      </c>
    </row>
    <row r="402" spans="1:9" hidden="1" x14ac:dyDescent="0.35">
      <c r="A402" s="15">
        <v>400</v>
      </c>
      <c r="C402" s="16" t="str">
        <f t="array" ref="C402">IF(B402="","---",IFERROR(
   _xlfn.PERCENTILE.INC(
      IF((tabDados[Descrição Padronizada]=B402)*(tabDados[Valor Unitário]&lt;&gt;""),
         tabDados[Valor Unitário],""
      ),
   C$1),
   _xlfn.MINIFS(tabDados[Valor Unitário],tabDados[Descrição Padronizada],B402)
))</f>
        <v>---</v>
      </c>
      <c r="D402" s="16" t="str">
        <f t="array" ref="D402">IF(B402="","---",IFERROR(
   _xlfn.PERCENTILE.INC(
      IF((tabDados[Descrição Padronizada]=B402)*(tabDados[Valor Unitário]&lt;&gt;""),
         tabDados[Valor Unitário],""
      ),
   D$1),
   _xlfn.MAXIFS(tabDados[Valor Unitário],tabDados[Descrição Padronizada],B402)
))</f>
        <v>---</v>
      </c>
      <c r="E402" s="16" t="str">
        <f>IF(OR(B402="",B402="---"),"---",
   IFERROR(AVERAGEIFS(tabDados[Valor Unitário],tabDados[Descrição Padronizada],B402,tabDados[Valor Unitário],"&gt;="&amp;C402,tabDados[Valor Unitário],"&lt;="&amp;D402),AVERAGE(C402,D402))
)</f>
        <v>---</v>
      </c>
      <c r="F402" s="12" t="str">
        <f t="array" ref="F402">IF(OR(B402="",B402="---"),"---",TRUNC(IFERROR(MODE(IF((tabDados[Descrição Padronizada]=B402)*(tabDados[Vida Útil (meses)]&lt;&gt;""),tabDados[Vida Útil (meses)],"-")),AVERAGEIFS(tabDados[Vida Útil (meses)],tabDados[Descrição Padronizada],B402))+0.5))</f>
        <v>---</v>
      </c>
      <c r="G402" s="13" t="str">
        <f>IF(OR(B402="",B402="---"),"---",TRUNC(IFERROR(AVERAGEIFS(tabDados[Manutenção (%)],tabDados[Descrição Padronizada],B402,tabDados[Manutenção (%)],"&gt;"&amp;0),0)*10000)/10000)</f>
        <v>---</v>
      </c>
      <c r="H402" s="24" t="str">
        <f>IF(OR(B402="---",B402=""),"---",COUNTIF(tabDados[[#All],[Descrição Padronizada]],B402))</f>
        <v>---</v>
      </c>
      <c r="I402" s="24" t="s">
        <v>20</v>
      </c>
    </row>
    <row r="403" spans="1:9" hidden="1" x14ac:dyDescent="0.35">
      <c r="A403" s="15">
        <v>401</v>
      </c>
      <c r="C403" s="16" t="str">
        <f t="array" ref="C403">IF(B403="","---",IFERROR(
   _xlfn.PERCENTILE.INC(
      IF((tabDados[Descrição Padronizada]=B403)*(tabDados[Valor Unitário]&lt;&gt;""),
         tabDados[Valor Unitário],""
      ),
   C$1),
   _xlfn.MINIFS(tabDados[Valor Unitário],tabDados[Descrição Padronizada],B403)
))</f>
        <v>---</v>
      </c>
      <c r="D403" s="16" t="str">
        <f t="array" ref="D403">IF(B403="","---",IFERROR(
   _xlfn.PERCENTILE.INC(
      IF((tabDados[Descrição Padronizada]=B403)*(tabDados[Valor Unitário]&lt;&gt;""),
         tabDados[Valor Unitário],""
      ),
   D$1),
   _xlfn.MAXIFS(tabDados[Valor Unitário],tabDados[Descrição Padronizada],B403)
))</f>
        <v>---</v>
      </c>
      <c r="E403" s="16" t="str">
        <f>IF(OR(B403="",B403="---"),"---",
   IFERROR(AVERAGEIFS(tabDados[Valor Unitário],tabDados[Descrição Padronizada],B403,tabDados[Valor Unitário],"&gt;="&amp;C403,tabDados[Valor Unitário],"&lt;="&amp;D403),AVERAGE(C403,D403))
)</f>
        <v>---</v>
      </c>
      <c r="F403" s="12" t="str">
        <f t="array" ref="F403">IF(OR(B403="",B403="---"),"---",TRUNC(IFERROR(MODE(IF((tabDados[Descrição Padronizada]=B403)*(tabDados[Vida Útil (meses)]&lt;&gt;""),tabDados[Vida Útil (meses)],"-")),AVERAGEIFS(tabDados[Vida Útil (meses)],tabDados[Descrição Padronizada],B403))+0.5))</f>
        <v>---</v>
      </c>
      <c r="G403" s="13" t="str">
        <f>IF(OR(B403="",B403="---"),"---",TRUNC(IFERROR(AVERAGEIFS(tabDados[Manutenção (%)],tabDados[Descrição Padronizada],B403,tabDados[Manutenção (%)],"&gt;"&amp;0),0)*10000)/10000)</f>
        <v>---</v>
      </c>
      <c r="H403" s="24" t="str">
        <f>IF(OR(B403="---",B403=""),"---",COUNTIF(tabDados[[#All],[Descrição Padronizada]],B403))</f>
        <v>---</v>
      </c>
      <c r="I403" s="24" t="s">
        <v>20</v>
      </c>
    </row>
    <row r="404" spans="1:9" hidden="1" x14ac:dyDescent="0.35">
      <c r="A404" s="15">
        <v>402</v>
      </c>
      <c r="C404" s="16" t="str">
        <f t="array" ref="C404">IF(B404="","---",IFERROR(
   _xlfn.PERCENTILE.INC(
      IF((tabDados[Descrição Padronizada]=B404)*(tabDados[Valor Unitário]&lt;&gt;""),
         tabDados[Valor Unitário],""
      ),
   C$1),
   _xlfn.MINIFS(tabDados[Valor Unitário],tabDados[Descrição Padronizada],B404)
))</f>
        <v>---</v>
      </c>
      <c r="D404" s="16" t="str">
        <f t="array" ref="D404">IF(B404="","---",IFERROR(
   _xlfn.PERCENTILE.INC(
      IF((tabDados[Descrição Padronizada]=B404)*(tabDados[Valor Unitário]&lt;&gt;""),
         tabDados[Valor Unitário],""
      ),
   D$1),
   _xlfn.MAXIFS(tabDados[Valor Unitário],tabDados[Descrição Padronizada],B404)
))</f>
        <v>---</v>
      </c>
      <c r="E404" s="16" t="str">
        <f>IF(OR(B404="",B404="---"),"---",
   IFERROR(AVERAGEIFS(tabDados[Valor Unitário],tabDados[Descrição Padronizada],B404,tabDados[Valor Unitário],"&gt;="&amp;C404,tabDados[Valor Unitário],"&lt;="&amp;D404),AVERAGE(C404,D404))
)</f>
        <v>---</v>
      </c>
      <c r="F404" s="12" t="str">
        <f t="array" ref="F404">IF(OR(B404="",B404="---"),"---",TRUNC(IFERROR(MODE(IF((tabDados[Descrição Padronizada]=B404)*(tabDados[Vida Útil (meses)]&lt;&gt;""),tabDados[Vida Útil (meses)],"-")),AVERAGEIFS(tabDados[Vida Útil (meses)],tabDados[Descrição Padronizada],B404))+0.5))</f>
        <v>---</v>
      </c>
      <c r="G404" s="13" t="str">
        <f>IF(OR(B404="",B404="---"),"---",TRUNC(IFERROR(AVERAGEIFS(tabDados[Manutenção (%)],tabDados[Descrição Padronizada],B404,tabDados[Manutenção (%)],"&gt;"&amp;0),0)*10000)/10000)</f>
        <v>---</v>
      </c>
      <c r="H404" s="24" t="str">
        <f>IF(OR(B404="---",B404=""),"---",COUNTIF(tabDados[[#All],[Descrição Padronizada]],B404))</f>
        <v>---</v>
      </c>
      <c r="I404" s="24" t="s">
        <v>20</v>
      </c>
    </row>
    <row r="405" spans="1:9" hidden="1" x14ac:dyDescent="0.35">
      <c r="A405" s="15">
        <v>403</v>
      </c>
      <c r="C405" s="16" t="str">
        <f t="array" ref="C405">IF(B405="","---",IFERROR(
   _xlfn.PERCENTILE.INC(
      IF((tabDados[Descrição Padronizada]=B405)*(tabDados[Valor Unitário]&lt;&gt;""),
         tabDados[Valor Unitário],""
      ),
   C$1),
   _xlfn.MINIFS(tabDados[Valor Unitário],tabDados[Descrição Padronizada],B405)
))</f>
        <v>---</v>
      </c>
      <c r="D405" s="16" t="str">
        <f t="array" ref="D405">IF(B405="","---",IFERROR(
   _xlfn.PERCENTILE.INC(
      IF((tabDados[Descrição Padronizada]=B405)*(tabDados[Valor Unitário]&lt;&gt;""),
         tabDados[Valor Unitário],""
      ),
   D$1),
   _xlfn.MAXIFS(tabDados[Valor Unitário],tabDados[Descrição Padronizada],B405)
))</f>
        <v>---</v>
      </c>
      <c r="E405" s="16" t="str">
        <f>IF(OR(B405="",B405="---"),"---",
   IFERROR(AVERAGEIFS(tabDados[Valor Unitário],tabDados[Descrição Padronizada],B405,tabDados[Valor Unitário],"&gt;="&amp;C405,tabDados[Valor Unitário],"&lt;="&amp;D405),AVERAGE(C405,D405))
)</f>
        <v>---</v>
      </c>
      <c r="F405" s="12" t="str">
        <f t="array" ref="F405">IF(OR(B405="",B405="---"),"---",TRUNC(IFERROR(MODE(IF((tabDados[Descrição Padronizada]=B405)*(tabDados[Vida Útil (meses)]&lt;&gt;""),tabDados[Vida Útil (meses)],"-")),AVERAGEIFS(tabDados[Vida Útil (meses)],tabDados[Descrição Padronizada],B405))+0.5))</f>
        <v>---</v>
      </c>
      <c r="G405" s="13" t="str">
        <f>IF(OR(B405="",B405="---"),"---",TRUNC(IFERROR(AVERAGEIFS(tabDados[Manutenção (%)],tabDados[Descrição Padronizada],B405,tabDados[Manutenção (%)],"&gt;"&amp;0),0)*10000)/10000)</f>
        <v>---</v>
      </c>
      <c r="H405" s="24" t="str">
        <f>IF(OR(B405="---",B405=""),"---",COUNTIF(tabDados[[#All],[Descrição Padronizada]],B405))</f>
        <v>---</v>
      </c>
      <c r="I405" s="24" t="s">
        <v>20</v>
      </c>
    </row>
    <row r="406" spans="1:9" hidden="1" x14ac:dyDescent="0.35">
      <c r="A406" s="15">
        <v>404</v>
      </c>
      <c r="C406" s="16" t="str">
        <f t="array" ref="C406">IF(B406="","---",IFERROR(
   _xlfn.PERCENTILE.INC(
      IF((tabDados[Descrição Padronizada]=B406)*(tabDados[Valor Unitário]&lt;&gt;""),
         tabDados[Valor Unitário],""
      ),
   C$1),
   _xlfn.MINIFS(tabDados[Valor Unitário],tabDados[Descrição Padronizada],B406)
))</f>
        <v>---</v>
      </c>
      <c r="D406" s="16" t="str">
        <f t="array" ref="D406">IF(B406="","---",IFERROR(
   _xlfn.PERCENTILE.INC(
      IF((tabDados[Descrição Padronizada]=B406)*(tabDados[Valor Unitário]&lt;&gt;""),
         tabDados[Valor Unitário],""
      ),
   D$1),
   _xlfn.MAXIFS(tabDados[Valor Unitário],tabDados[Descrição Padronizada],B406)
))</f>
        <v>---</v>
      </c>
      <c r="E406" s="16" t="str">
        <f>IF(OR(B406="",B406="---"),"---",
   IFERROR(AVERAGEIFS(tabDados[Valor Unitário],tabDados[Descrição Padronizada],B406,tabDados[Valor Unitário],"&gt;="&amp;C406,tabDados[Valor Unitário],"&lt;="&amp;D406),AVERAGE(C406,D406))
)</f>
        <v>---</v>
      </c>
      <c r="F406" s="12" t="str">
        <f t="array" ref="F406">IF(OR(B406="",B406="---"),"---",TRUNC(IFERROR(MODE(IF((tabDados[Descrição Padronizada]=B406)*(tabDados[Vida Útil (meses)]&lt;&gt;""),tabDados[Vida Útil (meses)],"-")),AVERAGEIFS(tabDados[Vida Útil (meses)],tabDados[Descrição Padronizada],B406))+0.5))</f>
        <v>---</v>
      </c>
      <c r="G406" s="13" t="str">
        <f>IF(OR(B406="",B406="---"),"---",TRUNC(IFERROR(AVERAGEIFS(tabDados[Manutenção (%)],tabDados[Descrição Padronizada],B406,tabDados[Manutenção (%)],"&gt;"&amp;0),0)*10000)/10000)</f>
        <v>---</v>
      </c>
      <c r="H406" s="24" t="str">
        <f>IF(OR(B406="---",B406=""),"---",COUNTIF(tabDados[[#All],[Descrição Padronizada]],B406))</f>
        <v>---</v>
      </c>
      <c r="I406" s="24" t="s">
        <v>20</v>
      </c>
    </row>
    <row r="407" spans="1:9" hidden="1" x14ac:dyDescent="0.35">
      <c r="A407" s="15">
        <v>405</v>
      </c>
      <c r="C407" s="16" t="str">
        <f t="array" ref="C407">IF(B407="","---",IFERROR(
   _xlfn.PERCENTILE.INC(
      IF((tabDados[Descrição Padronizada]=B407)*(tabDados[Valor Unitário]&lt;&gt;""),
         tabDados[Valor Unitário],""
      ),
   C$1),
   _xlfn.MINIFS(tabDados[Valor Unitário],tabDados[Descrição Padronizada],B407)
))</f>
        <v>---</v>
      </c>
      <c r="D407" s="16" t="str">
        <f t="array" ref="D407">IF(B407="","---",IFERROR(
   _xlfn.PERCENTILE.INC(
      IF((tabDados[Descrição Padronizada]=B407)*(tabDados[Valor Unitário]&lt;&gt;""),
         tabDados[Valor Unitário],""
      ),
   D$1),
   _xlfn.MAXIFS(tabDados[Valor Unitário],tabDados[Descrição Padronizada],B407)
))</f>
        <v>---</v>
      </c>
      <c r="E407" s="16" t="str">
        <f>IF(OR(B407="",B407="---"),"---",
   IFERROR(AVERAGEIFS(tabDados[Valor Unitário],tabDados[Descrição Padronizada],B407,tabDados[Valor Unitário],"&gt;="&amp;C407,tabDados[Valor Unitário],"&lt;="&amp;D407),AVERAGE(C407,D407))
)</f>
        <v>---</v>
      </c>
      <c r="F407" s="12" t="str">
        <f t="array" ref="F407">IF(OR(B407="",B407="---"),"---",TRUNC(IFERROR(MODE(IF((tabDados[Descrição Padronizada]=B407)*(tabDados[Vida Útil (meses)]&lt;&gt;""),tabDados[Vida Útil (meses)],"-")),AVERAGEIFS(tabDados[Vida Útil (meses)],tabDados[Descrição Padronizada],B407))+0.5))</f>
        <v>---</v>
      </c>
      <c r="G407" s="13" t="str">
        <f>IF(OR(B407="",B407="---"),"---",TRUNC(IFERROR(AVERAGEIFS(tabDados[Manutenção (%)],tabDados[Descrição Padronizada],B407,tabDados[Manutenção (%)],"&gt;"&amp;0),0)*10000)/10000)</f>
        <v>---</v>
      </c>
      <c r="H407" s="24" t="str">
        <f>IF(OR(B407="---",B407=""),"---",COUNTIF(tabDados[[#All],[Descrição Padronizada]],B407))</f>
        <v>---</v>
      </c>
      <c r="I407" s="24" t="s">
        <v>20</v>
      </c>
    </row>
    <row r="408" spans="1:9" hidden="1" x14ac:dyDescent="0.35">
      <c r="A408" s="15">
        <v>406</v>
      </c>
      <c r="C408" s="16" t="str">
        <f t="array" ref="C408">IF(B408="","---",IFERROR(
   _xlfn.PERCENTILE.INC(
      IF((tabDados[Descrição Padronizada]=B408)*(tabDados[Valor Unitário]&lt;&gt;""),
         tabDados[Valor Unitário],""
      ),
   C$1),
   _xlfn.MINIFS(tabDados[Valor Unitário],tabDados[Descrição Padronizada],B408)
))</f>
        <v>---</v>
      </c>
      <c r="D408" s="16" t="str">
        <f t="array" ref="D408">IF(B408="","---",IFERROR(
   _xlfn.PERCENTILE.INC(
      IF((tabDados[Descrição Padronizada]=B408)*(tabDados[Valor Unitário]&lt;&gt;""),
         tabDados[Valor Unitário],""
      ),
   D$1),
   _xlfn.MAXIFS(tabDados[Valor Unitário],tabDados[Descrição Padronizada],B408)
))</f>
        <v>---</v>
      </c>
      <c r="E408" s="16" t="str">
        <f>IF(OR(B408="",B408="---"),"---",
   IFERROR(AVERAGEIFS(tabDados[Valor Unitário],tabDados[Descrição Padronizada],B408,tabDados[Valor Unitário],"&gt;="&amp;C408,tabDados[Valor Unitário],"&lt;="&amp;D408),AVERAGE(C408,D408))
)</f>
        <v>---</v>
      </c>
      <c r="F408" s="12" t="str">
        <f t="array" ref="F408">IF(OR(B408="",B408="---"),"---",TRUNC(IFERROR(MODE(IF((tabDados[Descrição Padronizada]=B408)*(tabDados[Vida Útil (meses)]&lt;&gt;""),tabDados[Vida Útil (meses)],"-")),AVERAGEIFS(tabDados[Vida Útil (meses)],tabDados[Descrição Padronizada],B408))+0.5))</f>
        <v>---</v>
      </c>
      <c r="G408" s="13" t="str">
        <f>IF(OR(B408="",B408="---"),"---",TRUNC(IFERROR(AVERAGEIFS(tabDados[Manutenção (%)],tabDados[Descrição Padronizada],B408,tabDados[Manutenção (%)],"&gt;"&amp;0),0)*10000)/10000)</f>
        <v>---</v>
      </c>
      <c r="H408" s="24" t="str">
        <f>IF(OR(B408="---",B408=""),"---",COUNTIF(tabDados[[#All],[Descrição Padronizada]],B408))</f>
        <v>---</v>
      </c>
      <c r="I408" s="24" t="s">
        <v>20</v>
      </c>
    </row>
    <row r="409" spans="1:9" hidden="1" x14ac:dyDescent="0.35">
      <c r="A409" s="15">
        <v>407</v>
      </c>
      <c r="C409" s="16" t="str">
        <f t="array" ref="C409">IF(B409="","---",IFERROR(
   _xlfn.PERCENTILE.INC(
      IF((tabDados[Descrição Padronizada]=B409)*(tabDados[Valor Unitário]&lt;&gt;""),
         tabDados[Valor Unitário],""
      ),
   C$1),
   _xlfn.MINIFS(tabDados[Valor Unitário],tabDados[Descrição Padronizada],B409)
))</f>
        <v>---</v>
      </c>
      <c r="D409" s="16" t="str">
        <f t="array" ref="D409">IF(B409="","---",IFERROR(
   _xlfn.PERCENTILE.INC(
      IF((tabDados[Descrição Padronizada]=B409)*(tabDados[Valor Unitário]&lt;&gt;""),
         tabDados[Valor Unitário],""
      ),
   D$1),
   _xlfn.MAXIFS(tabDados[Valor Unitário],tabDados[Descrição Padronizada],B409)
))</f>
        <v>---</v>
      </c>
      <c r="E409" s="16" t="str">
        <f>IF(OR(B409="",B409="---"),"---",
   IFERROR(AVERAGEIFS(tabDados[Valor Unitário],tabDados[Descrição Padronizada],B409,tabDados[Valor Unitário],"&gt;="&amp;C409,tabDados[Valor Unitário],"&lt;="&amp;D409),AVERAGE(C409,D409))
)</f>
        <v>---</v>
      </c>
      <c r="F409" s="12" t="str">
        <f t="array" ref="F409">IF(OR(B409="",B409="---"),"---",TRUNC(IFERROR(MODE(IF((tabDados[Descrição Padronizada]=B409)*(tabDados[Vida Útil (meses)]&lt;&gt;""),tabDados[Vida Útil (meses)],"-")),AVERAGEIFS(tabDados[Vida Útil (meses)],tabDados[Descrição Padronizada],B409))+0.5))</f>
        <v>---</v>
      </c>
      <c r="G409" s="13" t="str">
        <f>IF(OR(B409="",B409="---"),"---",TRUNC(IFERROR(AVERAGEIFS(tabDados[Manutenção (%)],tabDados[Descrição Padronizada],B409,tabDados[Manutenção (%)],"&gt;"&amp;0),0)*10000)/10000)</f>
        <v>---</v>
      </c>
      <c r="H409" s="24" t="str">
        <f>IF(OR(B409="---",B409=""),"---",COUNTIF(tabDados[[#All],[Descrição Padronizada]],B409))</f>
        <v>---</v>
      </c>
      <c r="I409" s="24" t="s">
        <v>20</v>
      </c>
    </row>
    <row r="410" spans="1:9" hidden="1" x14ac:dyDescent="0.35">
      <c r="A410" s="15">
        <v>408</v>
      </c>
      <c r="C410" s="16" t="str">
        <f t="array" ref="C410">IF(B410="","---",IFERROR(
   _xlfn.PERCENTILE.INC(
      IF((tabDados[Descrição Padronizada]=B410)*(tabDados[Valor Unitário]&lt;&gt;""),
         tabDados[Valor Unitário],""
      ),
   C$1),
   _xlfn.MINIFS(tabDados[Valor Unitário],tabDados[Descrição Padronizada],B410)
))</f>
        <v>---</v>
      </c>
      <c r="D410" s="16" t="str">
        <f t="array" ref="D410">IF(B410="","---",IFERROR(
   _xlfn.PERCENTILE.INC(
      IF((tabDados[Descrição Padronizada]=B410)*(tabDados[Valor Unitário]&lt;&gt;""),
         tabDados[Valor Unitário],""
      ),
   D$1),
   _xlfn.MAXIFS(tabDados[Valor Unitário],tabDados[Descrição Padronizada],B410)
))</f>
        <v>---</v>
      </c>
      <c r="E410" s="16" t="str">
        <f>IF(OR(B410="",B410="---"),"---",
   IFERROR(AVERAGEIFS(tabDados[Valor Unitário],tabDados[Descrição Padronizada],B410,tabDados[Valor Unitário],"&gt;="&amp;C410,tabDados[Valor Unitário],"&lt;="&amp;D410),AVERAGE(C410,D410))
)</f>
        <v>---</v>
      </c>
      <c r="F410" s="12" t="str">
        <f t="array" ref="F410">IF(OR(B410="",B410="---"),"---",TRUNC(IFERROR(MODE(IF((tabDados[Descrição Padronizada]=B410)*(tabDados[Vida Útil (meses)]&lt;&gt;""),tabDados[Vida Útil (meses)],"-")),AVERAGEIFS(tabDados[Vida Útil (meses)],tabDados[Descrição Padronizada],B410))+0.5))</f>
        <v>---</v>
      </c>
      <c r="G410" s="13" t="str">
        <f>IF(OR(B410="",B410="---"),"---",TRUNC(IFERROR(AVERAGEIFS(tabDados[Manutenção (%)],tabDados[Descrição Padronizada],B410,tabDados[Manutenção (%)],"&gt;"&amp;0),0)*10000)/10000)</f>
        <v>---</v>
      </c>
      <c r="H410" s="24" t="str">
        <f>IF(OR(B410="---",B410=""),"---",COUNTIF(tabDados[[#All],[Descrição Padronizada]],B410))</f>
        <v>---</v>
      </c>
      <c r="I410" s="24" t="s">
        <v>20</v>
      </c>
    </row>
    <row r="411" spans="1:9" hidden="1" x14ac:dyDescent="0.35">
      <c r="A411" s="15">
        <v>409</v>
      </c>
      <c r="C411" s="16" t="str">
        <f t="array" ref="C411">IF(B411="","---",IFERROR(
   _xlfn.PERCENTILE.INC(
      IF((tabDados[Descrição Padronizada]=B411)*(tabDados[Valor Unitário]&lt;&gt;""),
         tabDados[Valor Unitário],""
      ),
   C$1),
   _xlfn.MINIFS(tabDados[Valor Unitário],tabDados[Descrição Padronizada],B411)
))</f>
        <v>---</v>
      </c>
      <c r="D411" s="16" t="str">
        <f t="array" ref="D411">IF(B411="","---",IFERROR(
   _xlfn.PERCENTILE.INC(
      IF((tabDados[Descrição Padronizada]=B411)*(tabDados[Valor Unitário]&lt;&gt;""),
         tabDados[Valor Unitário],""
      ),
   D$1),
   _xlfn.MAXIFS(tabDados[Valor Unitário],tabDados[Descrição Padronizada],B411)
))</f>
        <v>---</v>
      </c>
      <c r="E411" s="16" t="str">
        <f>IF(OR(B411="",B411="---"),"---",
   IFERROR(AVERAGEIFS(tabDados[Valor Unitário],tabDados[Descrição Padronizada],B411,tabDados[Valor Unitário],"&gt;="&amp;C411,tabDados[Valor Unitário],"&lt;="&amp;D411),AVERAGE(C411,D411))
)</f>
        <v>---</v>
      </c>
      <c r="F411" s="12" t="str">
        <f t="array" ref="F411">IF(OR(B411="",B411="---"),"---",TRUNC(IFERROR(MODE(IF((tabDados[Descrição Padronizada]=B411)*(tabDados[Vida Útil (meses)]&lt;&gt;""),tabDados[Vida Útil (meses)],"-")),AVERAGEIFS(tabDados[Vida Útil (meses)],tabDados[Descrição Padronizada],B411))+0.5))</f>
        <v>---</v>
      </c>
      <c r="G411" s="13" t="str">
        <f>IF(OR(B411="",B411="---"),"---",TRUNC(IFERROR(AVERAGEIFS(tabDados[Manutenção (%)],tabDados[Descrição Padronizada],B411,tabDados[Manutenção (%)],"&gt;"&amp;0),0)*10000)/10000)</f>
        <v>---</v>
      </c>
      <c r="H411" s="24" t="str">
        <f>IF(OR(B411="---",B411=""),"---",COUNTIF(tabDados[[#All],[Descrição Padronizada]],B411))</f>
        <v>---</v>
      </c>
      <c r="I411" s="24" t="s">
        <v>20</v>
      </c>
    </row>
    <row r="412" spans="1:9" hidden="1" x14ac:dyDescent="0.35">
      <c r="A412" s="15">
        <v>410</v>
      </c>
      <c r="C412" s="16" t="str">
        <f t="array" ref="C412">IF(B412="","---",IFERROR(
   _xlfn.PERCENTILE.INC(
      IF((tabDados[Descrição Padronizada]=B412)*(tabDados[Valor Unitário]&lt;&gt;""),
         tabDados[Valor Unitário],""
      ),
   C$1),
   _xlfn.MINIFS(tabDados[Valor Unitário],tabDados[Descrição Padronizada],B412)
))</f>
        <v>---</v>
      </c>
      <c r="D412" s="16" t="str">
        <f t="array" ref="D412">IF(B412="","---",IFERROR(
   _xlfn.PERCENTILE.INC(
      IF((tabDados[Descrição Padronizada]=B412)*(tabDados[Valor Unitário]&lt;&gt;""),
         tabDados[Valor Unitário],""
      ),
   D$1),
   _xlfn.MAXIFS(tabDados[Valor Unitário],tabDados[Descrição Padronizada],B412)
))</f>
        <v>---</v>
      </c>
      <c r="E412" s="16" t="str">
        <f>IF(OR(B412="",B412="---"),"---",
   IFERROR(AVERAGEIFS(tabDados[Valor Unitário],tabDados[Descrição Padronizada],B412,tabDados[Valor Unitário],"&gt;="&amp;C412,tabDados[Valor Unitário],"&lt;="&amp;D412),AVERAGE(C412,D412))
)</f>
        <v>---</v>
      </c>
      <c r="F412" s="12" t="str">
        <f t="array" ref="F412">IF(OR(B412="",B412="---"),"---",TRUNC(IFERROR(MODE(IF((tabDados[Descrição Padronizada]=B412)*(tabDados[Vida Útil (meses)]&lt;&gt;""),tabDados[Vida Útil (meses)],"-")),AVERAGEIFS(tabDados[Vida Útil (meses)],tabDados[Descrição Padronizada],B412))+0.5))</f>
        <v>---</v>
      </c>
      <c r="G412" s="13" t="str">
        <f>IF(OR(B412="",B412="---"),"---",TRUNC(IFERROR(AVERAGEIFS(tabDados[Manutenção (%)],tabDados[Descrição Padronizada],B412,tabDados[Manutenção (%)],"&gt;"&amp;0),0)*10000)/10000)</f>
        <v>---</v>
      </c>
      <c r="H412" s="24" t="str">
        <f>IF(OR(B412="---",B412=""),"---",COUNTIF(tabDados[[#All],[Descrição Padronizada]],B412))</f>
        <v>---</v>
      </c>
      <c r="I412" s="24" t="s">
        <v>20</v>
      </c>
    </row>
    <row r="413" spans="1:9" hidden="1" x14ac:dyDescent="0.35">
      <c r="A413" s="15">
        <v>411</v>
      </c>
      <c r="C413" s="16" t="str">
        <f t="array" ref="C413">IF(B413="","---",IFERROR(
   _xlfn.PERCENTILE.INC(
      IF((tabDados[Descrição Padronizada]=B413)*(tabDados[Valor Unitário]&lt;&gt;""),
         tabDados[Valor Unitário],""
      ),
   C$1),
   _xlfn.MINIFS(tabDados[Valor Unitário],tabDados[Descrição Padronizada],B413)
))</f>
        <v>---</v>
      </c>
      <c r="D413" s="16" t="str">
        <f t="array" ref="D413">IF(B413="","---",IFERROR(
   _xlfn.PERCENTILE.INC(
      IF((tabDados[Descrição Padronizada]=B413)*(tabDados[Valor Unitário]&lt;&gt;""),
         tabDados[Valor Unitário],""
      ),
   D$1),
   _xlfn.MAXIFS(tabDados[Valor Unitário],tabDados[Descrição Padronizada],B413)
))</f>
        <v>---</v>
      </c>
      <c r="E413" s="16" t="str">
        <f>IF(OR(B413="",B413="---"),"---",
   IFERROR(AVERAGEIFS(tabDados[Valor Unitário],tabDados[Descrição Padronizada],B413,tabDados[Valor Unitário],"&gt;="&amp;C413,tabDados[Valor Unitário],"&lt;="&amp;D413),AVERAGE(C413,D413))
)</f>
        <v>---</v>
      </c>
      <c r="F413" s="12" t="str">
        <f t="array" ref="F413">IF(OR(B413="",B413="---"),"---",TRUNC(IFERROR(MODE(IF((tabDados[Descrição Padronizada]=B413)*(tabDados[Vida Útil (meses)]&lt;&gt;""),tabDados[Vida Útil (meses)],"-")),AVERAGEIFS(tabDados[Vida Útil (meses)],tabDados[Descrição Padronizada],B413))+0.5))</f>
        <v>---</v>
      </c>
      <c r="G413" s="13" t="str">
        <f>IF(OR(B413="",B413="---"),"---",TRUNC(IFERROR(AVERAGEIFS(tabDados[Manutenção (%)],tabDados[Descrição Padronizada],B413,tabDados[Manutenção (%)],"&gt;"&amp;0),0)*10000)/10000)</f>
        <v>---</v>
      </c>
      <c r="H413" s="24" t="str">
        <f>IF(OR(B413="---",B413=""),"---",COUNTIF(tabDados[[#All],[Descrição Padronizada]],B413))</f>
        <v>---</v>
      </c>
      <c r="I413" s="24" t="s">
        <v>20</v>
      </c>
    </row>
    <row r="414" spans="1:9" hidden="1" x14ac:dyDescent="0.35">
      <c r="A414" s="15">
        <v>412</v>
      </c>
      <c r="C414" s="16" t="str">
        <f t="array" ref="C414">IF(B414="","---",IFERROR(
   _xlfn.PERCENTILE.INC(
      IF((tabDados[Descrição Padronizada]=B414)*(tabDados[Valor Unitário]&lt;&gt;""),
         tabDados[Valor Unitário],""
      ),
   C$1),
   _xlfn.MINIFS(tabDados[Valor Unitário],tabDados[Descrição Padronizada],B414)
))</f>
        <v>---</v>
      </c>
      <c r="D414" s="16" t="str">
        <f t="array" ref="D414">IF(B414="","---",IFERROR(
   _xlfn.PERCENTILE.INC(
      IF((tabDados[Descrição Padronizada]=B414)*(tabDados[Valor Unitário]&lt;&gt;""),
         tabDados[Valor Unitário],""
      ),
   D$1),
   _xlfn.MAXIFS(tabDados[Valor Unitário],tabDados[Descrição Padronizada],B414)
))</f>
        <v>---</v>
      </c>
      <c r="E414" s="16" t="str">
        <f>IF(OR(B414="",B414="---"),"---",
   IFERROR(AVERAGEIFS(tabDados[Valor Unitário],tabDados[Descrição Padronizada],B414,tabDados[Valor Unitário],"&gt;="&amp;C414,tabDados[Valor Unitário],"&lt;="&amp;D414),AVERAGE(C414,D414))
)</f>
        <v>---</v>
      </c>
      <c r="F414" s="12" t="str">
        <f t="array" ref="F414">IF(OR(B414="",B414="---"),"---",TRUNC(IFERROR(MODE(IF((tabDados[Descrição Padronizada]=B414)*(tabDados[Vida Útil (meses)]&lt;&gt;""),tabDados[Vida Útil (meses)],"-")),AVERAGEIFS(tabDados[Vida Útil (meses)],tabDados[Descrição Padronizada],B414))+0.5))</f>
        <v>---</v>
      </c>
      <c r="G414" s="13" t="str">
        <f>IF(OR(B414="",B414="---"),"---",TRUNC(IFERROR(AVERAGEIFS(tabDados[Manutenção (%)],tabDados[Descrição Padronizada],B414,tabDados[Manutenção (%)],"&gt;"&amp;0),0)*10000)/10000)</f>
        <v>---</v>
      </c>
      <c r="H414" s="24" t="str">
        <f>IF(OR(B414="---",B414=""),"---",COUNTIF(tabDados[[#All],[Descrição Padronizada]],B414))</f>
        <v>---</v>
      </c>
      <c r="I414" s="24" t="s">
        <v>20</v>
      </c>
    </row>
    <row r="415" spans="1:9" hidden="1" x14ac:dyDescent="0.35">
      <c r="A415" s="15">
        <v>413</v>
      </c>
      <c r="C415" s="16" t="str">
        <f t="array" ref="C415">IF(B415="","---",IFERROR(
   _xlfn.PERCENTILE.INC(
      IF((tabDados[Descrição Padronizada]=B415)*(tabDados[Valor Unitário]&lt;&gt;""),
         tabDados[Valor Unitário],""
      ),
   C$1),
   _xlfn.MINIFS(tabDados[Valor Unitário],tabDados[Descrição Padronizada],B415)
))</f>
        <v>---</v>
      </c>
      <c r="D415" s="16" t="str">
        <f t="array" ref="D415">IF(B415="","---",IFERROR(
   _xlfn.PERCENTILE.INC(
      IF((tabDados[Descrição Padronizada]=B415)*(tabDados[Valor Unitário]&lt;&gt;""),
         tabDados[Valor Unitário],""
      ),
   D$1),
   _xlfn.MAXIFS(tabDados[Valor Unitário],tabDados[Descrição Padronizada],B415)
))</f>
        <v>---</v>
      </c>
      <c r="E415" s="16" t="str">
        <f>IF(OR(B415="",B415="---"),"---",
   IFERROR(AVERAGEIFS(tabDados[Valor Unitário],tabDados[Descrição Padronizada],B415,tabDados[Valor Unitário],"&gt;="&amp;C415,tabDados[Valor Unitário],"&lt;="&amp;D415),AVERAGE(C415,D415))
)</f>
        <v>---</v>
      </c>
      <c r="F415" s="12" t="str">
        <f t="array" ref="F415">IF(OR(B415="",B415="---"),"---",TRUNC(IFERROR(MODE(IF((tabDados[Descrição Padronizada]=B415)*(tabDados[Vida Útil (meses)]&lt;&gt;""),tabDados[Vida Útil (meses)],"-")),AVERAGEIFS(tabDados[Vida Útil (meses)],tabDados[Descrição Padronizada],B415))+0.5))</f>
        <v>---</v>
      </c>
      <c r="G415" s="13" t="str">
        <f>IF(OR(B415="",B415="---"),"---",TRUNC(IFERROR(AVERAGEIFS(tabDados[Manutenção (%)],tabDados[Descrição Padronizada],B415,tabDados[Manutenção (%)],"&gt;"&amp;0),0)*10000)/10000)</f>
        <v>---</v>
      </c>
      <c r="H415" s="24" t="str">
        <f>IF(OR(B415="---",B415=""),"---",COUNTIF(tabDados[[#All],[Descrição Padronizada]],B415))</f>
        <v>---</v>
      </c>
      <c r="I415" s="24" t="s">
        <v>20</v>
      </c>
    </row>
    <row r="416" spans="1:9" hidden="1" x14ac:dyDescent="0.35">
      <c r="A416" s="15">
        <v>414</v>
      </c>
      <c r="C416" s="16" t="str">
        <f t="array" ref="C416">IF(B416="","---",IFERROR(
   _xlfn.PERCENTILE.INC(
      IF((tabDados[Descrição Padronizada]=B416)*(tabDados[Valor Unitário]&lt;&gt;""),
         tabDados[Valor Unitário],""
      ),
   C$1),
   _xlfn.MINIFS(tabDados[Valor Unitário],tabDados[Descrição Padronizada],B416)
))</f>
        <v>---</v>
      </c>
      <c r="D416" s="16" t="str">
        <f t="array" ref="D416">IF(B416="","---",IFERROR(
   _xlfn.PERCENTILE.INC(
      IF((tabDados[Descrição Padronizada]=B416)*(tabDados[Valor Unitário]&lt;&gt;""),
         tabDados[Valor Unitário],""
      ),
   D$1),
   _xlfn.MAXIFS(tabDados[Valor Unitário],tabDados[Descrição Padronizada],B416)
))</f>
        <v>---</v>
      </c>
      <c r="E416" s="16" t="str">
        <f>IF(OR(B416="",B416="---"),"---",
   IFERROR(AVERAGEIFS(tabDados[Valor Unitário],tabDados[Descrição Padronizada],B416,tabDados[Valor Unitário],"&gt;="&amp;C416,tabDados[Valor Unitário],"&lt;="&amp;D416),AVERAGE(C416,D416))
)</f>
        <v>---</v>
      </c>
      <c r="F416" s="12" t="str">
        <f t="array" ref="F416">IF(OR(B416="",B416="---"),"---",TRUNC(IFERROR(MODE(IF((tabDados[Descrição Padronizada]=B416)*(tabDados[Vida Útil (meses)]&lt;&gt;""),tabDados[Vida Útil (meses)],"-")),AVERAGEIFS(tabDados[Vida Útil (meses)],tabDados[Descrição Padronizada],B416))+0.5))</f>
        <v>---</v>
      </c>
      <c r="G416" s="13" t="str">
        <f>IF(OR(B416="",B416="---"),"---",TRUNC(IFERROR(AVERAGEIFS(tabDados[Manutenção (%)],tabDados[Descrição Padronizada],B416,tabDados[Manutenção (%)],"&gt;"&amp;0),0)*10000)/10000)</f>
        <v>---</v>
      </c>
      <c r="H416" s="24" t="str">
        <f>IF(OR(B416="---",B416=""),"---",COUNTIF(tabDados[[#All],[Descrição Padronizada]],B416))</f>
        <v>---</v>
      </c>
      <c r="I416" s="24" t="s">
        <v>20</v>
      </c>
    </row>
    <row r="417" spans="1:9" hidden="1" x14ac:dyDescent="0.35">
      <c r="A417" s="15">
        <v>415</v>
      </c>
      <c r="C417" s="16" t="str">
        <f t="array" ref="C417">IF(B417="","---",IFERROR(
   _xlfn.PERCENTILE.INC(
      IF((tabDados[Descrição Padronizada]=B417)*(tabDados[Valor Unitário]&lt;&gt;""),
         tabDados[Valor Unitário],""
      ),
   C$1),
   _xlfn.MINIFS(tabDados[Valor Unitário],tabDados[Descrição Padronizada],B417)
))</f>
        <v>---</v>
      </c>
      <c r="D417" s="16" t="str">
        <f t="array" ref="D417">IF(B417="","---",IFERROR(
   _xlfn.PERCENTILE.INC(
      IF((tabDados[Descrição Padronizada]=B417)*(tabDados[Valor Unitário]&lt;&gt;""),
         tabDados[Valor Unitário],""
      ),
   D$1),
   _xlfn.MAXIFS(tabDados[Valor Unitário],tabDados[Descrição Padronizada],B417)
))</f>
        <v>---</v>
      </c>
      <c r="E417" s="16" t="str">
        <f>IF(OR(B417="",B417="---"),"---",
   IFERROR(AVERAGEIFS(tabDados[Valor Unitário],tabDados[Descrição Padronizada],B417,tabDados[Valor Unitário],"&gt;="&amp;C417,tabDados[Valor Unitário],"&lt;="&amp;D417),AVERAGE(C417,D417))
)</f>
        <v>---</v>
      </c>
      <c r="F417" s="12" t="str">
        <f t="array" ref="F417">IF(OR(B417="",B417="---"),"---",TRUNC(IFERROR(MODE(IF((tabDados[Descrição Padronizada]=B417)*(tabDados[Vida Útil (meses)]&lt;&gt;""),tabDados[Vida Útil (meses)],"-")),AVERAGEIFS(tabDados[Vida Útil (meses)],tabDados[Descrição Padronizada],B417))+0.5))</f>
        <v>---</v>
      </c>
      <c r="G417" s="13" t="str">
        <f>IF(OR(B417="",B417="---"),"---",TRUNC(IFERROR(AVERAGEIFS(tabDados[Manutenção (%)],tabDados[Descrição Padronizada],B417,tabDados[Manutenção (%)],"&gt;"&amp;0),0)*10000)/10000)</f>
        <v>---</v>
      </c>
      <c r="H417" s="24" t="str">
        <f>IF(OR(B417="---",B417=""),"---",COUNTIF(tabDados[[#All],[Descrição Padronizada]],B417))</f>
        <v>---</v>
      </c>
      <c r="I417" s="24" t="s">
        <v>20</v>
      </c>
    </row>
    <row r="418" spans="1:9" hidden="1" x14ac:dyDescent="0.35">
      <c r="A418" s="15">
        <v>416</v>
      </c>
      <c r="C418" s="16" t="str">
        <f t="array" ref="C418">IF(B418="","---",IFERROR(
   _xlfn.PERCENTILE.INC(
      IF((tabDados[Descrição Padronizada]=B418)*(tabDados[Valor Unitário]&lt;&gt;""),
         tabDados[Valor Unitário],""
      ),
   C$1),
   _xlfn.MINIFS(tabDados[Valor Unitário],tabDados[Descrição Padronizada],B418)
))</f>
        <v>---</v>
      </c>
      <c r="D418" s="16" t="str">
        <f t="array" ref="D418">IF(B418="","---",IFERROR(
   _xlfn.PERCENTILE.INC(
      IF((tabDados[Descrição Padronizada]=B418)*(tabDados[Valor Unitário]&lt;&gt;""),
         tabDados[Valor Unitário],""
      ),
   D$1),
   _xlfn.MAXIFS(tabDados[Valor Unitário],tabDados[Descrição Padronizada],B418)
))</f>
        <v>---</v>
      </c>
      <c r="E418" s="16" t="str">
        <f>IF(OR(B418="",B418="---"),"---",
   IFERROR(AVERAGEIFS(tabDados[Valor Unitário],tabDados[Descrição Padronizada],B418,tabDados[Valor Unitário],"&gt;="&amp;C418,tabDados[Valor Unitário],"&lt;="&amp;D418),AVERAGE(C418,D418))
)</f>
        <v>---</v>
      </c>
      <c r="F418" s="12" t="str">
        <f t="array" ref="F418">IF(OR(B418="",B418="---"),"---",TRUNC(IFERROR(MODE(IF((tabDados[Descrição Padronizada]=B418)*(tabDados[Vida Útil (meses)]&lt;&gt;""),tabDados[Vida Útil (meses)],"-")),AVERAGEIFS(tabDados[Vida Útil (meses)],tabDados[Descrição Padronizada],B418))+0.5))</f>
        <v>---</v>
      </c>
      <c r="G418" s="13" t="str">
        <f>IF(OR(B418="",B418="---"),"---",TRUNC(IFERROR(AVERAGEIFS(tabDados[Manutenção (%)],tabDados[Descrição Padronizada],B418,tabDados[Manutenção (%)],"&gt;"&amp;0),0)*10000)/10000)</f>
        <v>---</v>
      </c>
      <c r="H418" s="24" t="str">
        <f>IF(OR(B418="---",B418=""),"---",COUNTIF(tabDados[[#All],[Descrição Padronizada]],B418))</f>
        <v>---</v>
      </c>
      <c r="I418" s="24" t="s">
        <v>20</v>
      </c>
    </row>
    <row r="419" spans="1:9" hidden="1" x14ac:dyDescent="0.35">
      <c r="A419" s="15">
        <v>417</v>
      </c>
      <c r="C419" s="16" t="str">
        <f t="array" ref="C419">IF(B419="","---",IFERROR(
   _xlfn.PERCENTILE.INC(
      IF((tabDados[Descrição Padronizada]=B419)*(tabDados[Valor Unitário]&lt;&gt;""),
         tabDados[Valor Unitário],""
      ),
   C$1),
   _xlfn.MINIFS(tabDados[Valor Unitário],tabDados[Descrição Padronizada],B419)
))</f>
        <v>---</v>
      </c>
      <c r="D419" s="16" t="str">
        <f t="array" ref="D419">IF(B419="","---",IFERROR(
   _xlfn.PERCENTILE.INC(
      IF((tabDados[Descrição Padronizada]=B419)*(tabDados[Valor Unitário]&lt;&gt;""),
         tabDados[Valor Unitário],""
      ),
   D$1),
   _xlfn.MAXIFS(tabDados[Valor Unitário],tabDados[Descrição Padronizada],B419)
))</f>
        <v>---</v>
      </c>
      <c r="E419" s="16" t="str">
        <f>IF(OR(B419="",B419="---"),"---",
   IFERROR(AVERAGEIFS(tabDados[Valor Unitário],tabDados[Descrição Padronizada],B419,tabDados[Valor Unitário],"&gt;="&amp;C419,tabDados[Valor Unitário],"&lt;="&amp;D419),AVERAGE(C419,D419))
)</f>
        <v>---</v>
      </c>
      <c r="F419" s="12" t="str">
        <f t="array" ref="F419">IF(OR(B419="",B419="---"),"---",TRUNC(IFERROR(MODE(IF((tabDados[Descrição Padronizada]=B419)*(tabDados[Vida Útil (meses)]&lt;&gt;""),tabDados[Vida Útil (meses)],"-")),AVERAGEIFS(tabDados[Vida Útil (meses)],tabDados[Descrição Padronizada],B419))+0.5))</f>
        <v>---</v>
      </c>
      <c r="G419" s="13" t="str">
        <f>IF(OR(B419="",B419="---"),"---",TRUNC(IFERROR(AVERAGEIFS(tabDados[Manutenção (%)],tabDados[Descrição Padronizada],B419,tabDados[Manutenção (%)],"&gt;"&amp;0),0)*10000)/10000)</f>
        <v>---</v>
      </c>
      <c r="H419" s="24" t="str">
        <f>IF(OR(B419="---",B419=""),"---",COUNTIF(tabDados[[#All],[Descrição Padronizada]],B419))</f>
        <v>---</v>
      </c>
      <c r="I419" s="24" t="s">
        <v>20</v>
      </c>
    </row>
    <row r="420" spans="1:9" hidden="1" x14ac:dyDescent="0.35">
      <c r="A420" s="15">
        <v>418</v>
      </c>
      <c r="C420" s="16" t="str">
        <f t="array" ref="C420">IF(B420="","---",IFERROR(
   _xlfn.PERCENTILE.INC(
      IF((tabDados[Descrição Padronizada]=B420)*(tabDados[Valor Unitário]&lt;&gt;""),
         tabDados[Valor Unitário],""
      ),
   C$1),
   _xlfn.MINIFS(tabDados[Valor Unitário],tabDados[Descrição Padronizada],B420)
))</f>
        <v>---</v>
      </c>
      <c r="D420" s="16" t="str">
        <f t="array" ref="D420">IF(B420="","---",IFERROR(
   _xlfn.PERCENTILE.INC(
      IF((tabDados[Descrição Padronizada]=B420)*(tabDados[Valor Unitário]&lt;&gt;""),
         tabDados[Valor Unitário],""
      ),
   D$1),
   _xlfn.MAXIFS(tabDados[Valor Unitário],tabDados[Descrição Padronizada],B420)
))</f>
        <v>---</v>
      </c>
      <c r="E420" s="16" t="str">
        <f>IF(OR(B420="",B420="---"),"---",
   IFERROR(AVERAGEIFS(tabDados[Valor Unitário],tabDados[Descrição Padronizada],B420,tabDados[Valor Unitário],"&gt;="&amp;C420,tabDados[Valor Unitário],"&lt;="&amp;D420),AVERAGE(C420,D420))
)</f>
        <v>---</v>
      </c>
      <c r="F420" s="12" t="str">
        <f t="array" ref="F420">IF(OR(B420="",B420="---"),"---",TRUNC(IFERROR(MODE(IF((tabDados[Descrição Padronizada]=B420)*(tabDados[Vida Útil (meses)]&lt;&gt;""),tabDados[Vida Útil (meses)],"-")),AVERAGEIFS(tabDados[Vida Útil (meses)],tabDados[Descrição Padronizada],B420))+0.5))</f>
        <v>---</v>
      </c>
      <c r="G420" s="13" t="str">
        <f>IF(OR(B420="",B420="---"),"---",TRUNC(IFERROR(AVERAGEIFS(tabDados[Manutenção (%)],tabDados[Descrição Padronizada],B420,tabDados[Manutenção (%)],"&gt;"&amp;0),0)*10000)/10000)</f>
        <v>---</v>
      </c>
      <c r="H420" s="24" t="str">
        <f>IF(OR(B420="---",B420=""),"---",COUNTIF(tabDados[[#All],[Descrição Padronizada]],B420))</f>
        <v>---</v>
      </c>
      <c r="I420" s="24" t="s">
        <v>20</v>
      </c>
    </row>
    <row r="421" spans="1:9" hidden="1" x14ac:dyDescent="0.35">
      <c r="A421" s="15">
        <v>419</v>
      </c>
      <c r="C421" s="16" t="str">
        <f t="array" ref="C421">IF(B421="","---",IFERROR(
   _xlfn.PERCENTILE.INC(
      IF((tabDados[Descrição Padronizada]=B421)*(tabDados[Valor Unitário]&lt;&gt;""),
         tabDados[Valor Unitário],""
      ),
   C$1),
   _xlfn.MINIFS(tabDados[Valor Unitário],tabDados[Descrição Padronizada],B421)
))</f>
        <v>---</v>
      </c>
      <c r="D421" s="16" t="str">
        <f t="array" ref="D421">IF(B421="","---",IFERROR(
   _xlfn.PERCENTILE.INC(
      IF((tabDados[Descrição Padronizada]=B421)*(tabDados[Valor Unitário]&lt;&gt;""),
         tabDados[Valor Unitário],""
      ),
   D$1),
   _xlfn.MAXIFS(tabDados[Valor Unitário],tabDados[Descrição Padronizada],B421)
))</f>
        <v>---</v>
      </c>
      <c r="E421" s="16" t="str">
        <f>IF(OR(B421="",B421="---"),"---",
   IFERROR(AVERAGEIFS(tabDados[Valor Unitário],tabDados[Descrição Padronizada],B421,tabDados[Valor Unitário],"&gt;="&amp;C421,tabDados[Valor Unitário],"&lt;="&amp;D421),AVERAGE(C421,D421))
)</f>
        <v>---</v>
      </c>
      <c r="F421" s="12" t="str">
        <f t="array" ref="F421">IF(OR(B421="",B421="---"),"---",TRUNC(IFERROR(MODE(IF((tabDados[Descrição Padronizada]=B421)*(tabDados[Vida Útil (meses)]&lt;&gt;""),tabDados[Vida Útil (meses)],"-")),AVERAGEIFS(tabDados[Vida Útil (meses)],tabDados[Descrição Padronizada],B421))+0.5))</f>
        <v>---</v>
      </c>
      <c r="G421" s="13" t="str">
        <f>IF(OR(B421="",B421="---"),"---",TRUNC(IFERROR(AVERAGEIFS(tabDados[Manutenção (%)],tabDados[Descrição Padronizada],B421,tabDados[Manutenção (%)],"&gt;"&amp;0),0)*10000)/10000)</f>
        <v>---</v>
      </c>
      <c r="H421" s="24" t="str">
        <f>IF(OR(B421="---",B421=""),"---",COUNTIF(tabDados[[#All],[Descrição Padronizada]],B421))</f>
        <v>---</v>
      </c>
      <c r="I421" s="24" t="s">
        <v>20</v>
      </c>
    </row>
    <row r="422" spans="1:9" hidden="1" x14ac:dyDescent="0.35">
      <c r="A422" s="15">
        <v>420</v>
      </c>
      <c r="C422" s="16" t="str">
        <f t="array" ref="C422">IF(B422="","---",IFERROR(
   _xlfn.PERCENTILE.INC(
      IF((tabDados[Descrição Padronizada]=B422)*(tabDados[Valor Unitário]&lt;&gt;""),
         tabDados[Valor Unitário],""
      ),
   C$1),
   _xlfn.MINIFS(tabDados[Valor Unitário],tabDados[Descrição Padronizada],B422)
))</f>
        <v>---</v>
      </c>
      <c r="D422" s="16" t="str">
        <f t="array" ref="D422">IF(B422="","---",IFERROR(
   _xlfn.PERCENTILE.INC(
      IF((tabDados[Descrição Padronizada]=B422)*(tabDados[Valor Unitário]&lt;&gt;""),
         tabDados[Valor Unitário],""
      ),
   D$1),
   _xlfn.MAXIFS(tabDados[Valor Unitário],tabDados[Descrição Padronizada],B422)
))</f>
        <v>---</v>
      </c>
      <c r="E422" s="16" t="str">
        <f>IF(OR(B422="",B422="---"),"---",
   IFERROR(AVERAGEIFS(tabDados[Valor Unitário],tabDados[Descrição Padronizada],B422,tabDados[Valor Unitário],"&gt;="&amp;C422,tabDados[Valor Unitário],"&lt;="&amp;D422),AVERAGE(C422,D422))
)</f>
        <v>---</v>
      </c>
      <c r="F422" s="12" t="str">
        <f t="array" ref="F422">IF(OR(B422="",B422="---"),"---",TRUNC(IFERROR(MODE(IF((tabDados[Descrição Padronizada]=B422)*(tabDados[Vida Útil (meses)]&lt;&gt;""),tabDados[Vida Útil (meses)],"-")),AVERAGEIFS(tabDados[Vida Útil (meses)],tabDados[Descrição Padronizada],B422))+0.5))</f>
        <v>---</v>
      </c>
      <c r="G422" s="13" t="str">
        <f>IF(OR(B422="",B422="---"),"---",TRUNC(IFERROR(AVERAGEIFS(tabDados[Manutenção (%)],tabDados[Descrição Padronizada],B422,tabDados[Manutenção (%)],"&gt;"&amp;0),0)*10000)/10000)</f>
        <v>---</v>
      </c>
      <c r="H422" s="24" t="str">
        <f>IF(OR(B422="---",B422=""),"---",COUNTIF(tabDados[[#All],[Descrição Padronizada]],B422))</f>
        <v>---</v>
      </c>
      <c r="I422" s="24" t="s">
        <v>20</v>
      </c>
    </row>
    <row r="423" spans="1:9" hidden="1" x14ac:dyDescent="0.35">
      <c r="A423" s="15">
        <v>421</v>
      </c>
      <c r="C423" s="16" t="str">
        <f t="array" ref="C423">IF(B423="","---",IFERROR(
   _xlfn.PERCENTILE.INC(
      IF((tabDados[Descrição Padronizada]=B423)*(tabDados[Valor Unitário]&lt;&gt;""),
         tabDados[Valor Unitário],""
      ),
   C$1),
   _xlfn.MINIFS(tabDados[Valor Unitário],tabDados[Descrição Padronizada],B423)
))</f>
        <v>---</v>
      </c>
      <c r="D423" s="16" t="str">
        <f t="array" ref="D423">IF(B423="","---",IFERROR(
   _xlfn.PERCENTILE.INC(
      IF((tabDados[Descrição Padronizada]=B423)*(tabDados[Valor Unitário]&lt;&gt;""),
         tabDados[Valor Unitário],""
      ),
   D$1),
   _xlfn.MAXIFS(tabDados[Valor Unitário],tabDados[Descrição Padronizada],B423)
))</f>
        <v>---</v>
      </c>
      <c r="E423" s="16" t="str">
        <f>IF(OR(B423="",B423="---"),"---",
   IFERROR(AVERAGEIFS(tabDados[Valor Unitário],tabDados[Descrição Padronizada],B423,tabDados[Valor Unitário],"&gt;="&amp;C423,tabDados[Valor Unitário],"&lt;="&amp;D423),AVERAGE(C423,D423))
)</f>
        <v>---</v>
      </c>
      <c r="F423" s="12" t="str">
        <f t="array" ref="F423">IF(OR(B423="",B423="---"),"---",TRUNC(IFERROR(MODE(IF((tabDados[Descrição Padronizada]=B423)*(tabDados[Vida Útil (meses)]&lt;&gt;""),tabDados[Vida Útil (meses)],"-")),AVERAGEIFS(tabDados[Vida Útil (meses)],tabDados[Descrição Padronizada],B423))+0.5))</f>
        <v>---</v>
      </c>
      <c r="G423" s="13" t="str">
        <f>IF(OR(B423="",B423="---"),"---",TRUNC(IFERROR(AVERAGEIFS(tabDados[Manutenção (%)],tabDados[Descrição Padronizada],B423,tabDados[Manutenção (%)],"&gt;"&amp;0),0)*10000)/10000)</f>
        <v>---</v>
      </c>
      <c r="H423" s="24" t="str">
        <f>IF(OR(B423="---",B423=""),"---",COUNTIF(tabDados[[#All],[Descrição Padronizada]],B423))</f>
        <v>---</v>
      </c>
      <c r="I423" s="24" t="s">
        <v>20</v>
      </c>
    </row>
    <row r="424" spans="1:9" hidden="1" x14ac:dyDescent="0.35">
      <c r="A424" s="15">
        <v>422</v>
      </c>
      <c r="C424" s="16" t="str">
        <f t="array" ref="C424">IF(B424="","---",IFERROR(
   _xlfn.PERCENTILE.INC(
      IF((tabDados[Descrição Padronizada]=B424)*(tabDados[Valor Unitário]&lt;&gt;""),
         tabDados[Valor Unitário],""
      ),
   C$1),
   _xlfn.MINIFS(tabDados[Valor Unitário],tabDados[Descrição Padronizada],B424)
))</f>
        <v>---</v>
      </c>
      <c r="D424" s="16" t="str">
        <f t="array" ref="D424">IF(B424="","---",IFERROR(
   _xlfn.PERCENTILE.INC(
      IF((tabDados[Descrição Padronizada]=B424)*(tabDados[Valor Unitário]&lt;&gt;""),
         tabDados[Valor Unitário],""
      ),
   D$1),
   _xlfn.MAXIFS(tabDados[Valor Unitário],tabDados[Descrição Padronizada],B424)
))</f>
        <v>---</v>
      </c>
      <c r="E424" s="16" t="str">
        <f>IF(OR(B424="",B424="---"),"---",
   IFERROR(AVERAGEIFS(tabDados[Valor Unitário],tabDados[Descrição Padronizada],B424,tabDados[Valor Unitário],"&gt;="&amp;C424,tabDados[Valor Unitário],"&lt;="&amp;D424),AVERAGE(C424,D424))
)</f>
        <v>---</v>
      </c>
      <c r="F424" s="12" t="str">
        <f t="array" ref="F424">IF(OR(B424="",B424="---"),"---",TRUNC(IFERROR(MODE(IF((tabDados[Descrição Padronizada]=B424)*(tabDados[Vida Útil (meses)]&lt;&gt;""),tabDados[Vida Útil (meses)],"-")),AVERAGEIFS(tabDados[Vida Útil (meses)],tabDados[Descrição Padronizada],B424))+0.5))</f>
        <v>---</v>
      </c>
      <c r="G424" s="13" t="str">
        <f>IF(OR(B424="",B424="---"),"---",TRUNC(IFERROR(AVERAGEIFS(tabDados[Manutenção (%)],tabDados[Descrição Padronizada],B424,tabDados[Manutenção (%)],"&gt;"&amp;0),0)*10000)/10000)</f>
        <v>---</v>
      </c>
      <c r="H424" s="24" t="str">
        <f>IF(OR(B424="---",B424=""),"---",COUNTIF(tabDados[[#All],[Descrição Padronizada]],B424))</f>
        <v>---</v>
      </c>
      <c r="I424" s="24" t="s">
        <v>20</v>
      </c>
    </row>
    <row r="425" spans="1:9" hidden="1" x14ac:dyDescent="0.35">
      <c r="A425" s="15">
        <v>423</v>
      </c>
      <c r="C425" s="16" t="str">
        <f t="array" ref="C425">IF(B425="","---",IFERROR(
   _xlfn.PERCENTILE.INC(
      IF((tabDados[Descrição Padronizada]=B425)*(tabDados[Valor Unitário]&lt;&gt;""),
         tabDados[Valor Unitário],""
      ),
   C$1),
   _xlfn.MINIFS(tabDados[Valor Unitário],tabDados[Descrição Padronizada],B425)
))</f>
        <v>---</v>
      </c>
      <c r="D425" s="16" t="str">
        <f t="array" ref="D425">IF(B425="","---",IFERROR(
   _xlfn.PERCENTILE.INC(
      IF((tabDados[Descrição Padronizada]=B425)*(tabDados[Valor Unitário]&lt;&gt;""),
         tabDados[Valor Unitário],""
      ),
   D$1),
   _xlfn.MAXIFS(tabDados[Valor Unitário],tabDados[Descrição Padronizada],B425)
))</f>
        <v>---</v>
      </c>
      <c r="E425" s="16" t="str">
        <f>IF(OR(B425="",B425="---"),"---",
   IFERROR(AVERAGEIFS(tabDados[Valor Unitário],tabDados[Descrição Padronizada],B425,tabDados[Valor Unitário],"&gt;="&amp;C425,tabDados[Valor Unitário],"&lt;="&amp;D425),AVERAGE(C425,D425))
)</f>
        <v>---</v>
      </c>
      <c r="F425" s="12" t="str">
        <f t="array" ref="F425">IF(OR(B425="",B425="---"),"---",TRUNC(IFERROR(MODE(IF((tabDados[Descrição Padronizada]=B425)*(tabDados[Vida Útil (meses)]&lt;&gt;""),tabDados[Vida Útil (meses)],"-")),AVERAGEIFS(tabDados[Vida Útil (meses)],tabDados[Descrição Padronizada],B425))+0.5))</f>
        <v>---</v>
      </c>
      <c r="G425" s="13" t="str">
        <f>IF(OR(B425="",B425="---"),"---",TRUNC(IFERROR(AVERAGEIFS(tabDados[Manutenção (%)],tabDados[Descrição Padronizada],B425,tabDados[Manutenção (%)],"&gt;"&amp;0),0)*10000)/10000)</f>
        <v>---</v>
      </c>
      <c r="H425" s="24" t="str">
        <f>IF(OR(B425="---",B425=""),"---",COUNTIF(tabDados[[#All],[Descrição Padronizada]],B425))</f>
        <v>---</v>
      </c>
      <c r="I425" s="24" t="s">
        <v>20</v>
      </c>
    </row>
    <row r="426" spans="1:9" hidden="1" x14ac:dyDescent="0.35">
      <c r="A426" s="15">
        <v>424</v>
      </c>
      <c r="C426" s="16" t="str">
        <f t="array" ref="C426">IF(B426="","---",IFERROR(
   _xlfn.PERCENTILE.INC(
      IF((tabDados[Descrição Padronizada]=B426)*(tabDados[Valor Unitário]&lt;&gt;""),
         tabDados[Valor Unitário],""
      ),
   C$1),
   _xlfn.MINIFS(tabDados[Valor Unitário],tabDados[Descrição Padronizada],B426)
))</f>
        <v>---</v>
      </c>
      <c r="D426" s="16" t="str">
        <f t="array" ref="D426">IF(B426="","---",IFERROR(
   _xlfn.PERCENTILE.INC(
      IF((tabDados[Descrição Padronizada]=B426)*(tabDados[Valor Unitário]&lt;&gt;""),
         tabDados[Valor Unitário],""
      ),
   D$1),
   _xlfn.MAXIFS(tabDados[Valor Unitário],tabDados[Descrição Padronizada],B426)
))</f>
        <v>---</v>
      </c>
      <c r="E426" s="16" t="str">
        <f>IF(OR(B426="",B426="---"),"---",
   IFERROR(AVERAGEIFS(tabDados[Valor Unitário],tabDados[Descrição Padronizada],B426,tabDados[Valor Unitário],"&gt;="&amp;C426,tabDados[Valor Unitário],"&lt;="&amp;D426),AVERAGE(C426,D426))
)</f>
        <v>---</v>
      </c>
      <c r="F426" s="12" t="str">
        <f t="array" ref="F426">IF(OR(B426="",B426="---"),"---",TRUNC(IFERROR(MODE(IF((tabDados[Descrição Padronizada]=B426)*(tabDados[Vida Útil (meses)]&lt;&gt;""),tabDados[Vida Útil (meses)],"-")),AVERAGEIFS(tabDados[Vida Útil (meses)],tabDados[Descrição Padronizada],B426))+0.5))</f>
        <v>---</v>
      </c>
      <c r="G426" s="13" t="str">
        <f>IF(OR(B426="",B426="---"),"---",TRUNC(IFERROR(AVERAGEIFS(tabDados[Manutenção (%)],tabDados[Descrição Padronizada],B426,tabDados[Manutenção (%)],"&gt;"&amp;0),0)*10000)/10000)</f>
        <v>---</v>
      </c>
      <c r="H426" s="24" t="str">
        <f>IF(OR(B426="---",B426=""),"---",COUNTIF(tabDados[[#All],[Descrição Padronizada]],B426))</f>
        <v>---</v>
      </c>
      <c r="I426" s="24" t="s">
        <v>20</v>
      </c>
    </row>
    <row r="427" spans="1:9" hidden="1" x14ac:dyDescent="0.35">
      <c r="A427" s="15">
        <v>425</v>
      </c>
      <c r="C427" s="16" t="str">
        <f t="array" ref="C427">IF(B427="","---",IFERROR(
   _xlfn.PERCENTILE.INC(
      IF((tabDados[Descrição Padronizada]=B427)*(tabDados[Valor Unitário]&lt;&gt;""),
         tabDados[Valor Unitário],""
      ),
   C$1),
   _xlfn.MINIFS(tabDados[Valor Unitário],tabDados[Descrição Padronizada],B427)
))</f>
        <v>---</v>
      </c>
      <c r="D427" s="16" t="str">
        <f t="array" ref="D427">IF(B427="","---",IFERROR(
   _xlfn.PERCENTILE.INC(
      IF((tabDados[Descrição Padronizada]=B427)*(tabDados[Valor Unitário]&lt;&gt;""),
         tabDados[Valor Unitário],""
      ),
   D$1),
   _xlfn.MAXIFS(tabDados[Valor Unitário],tabDados[Descrição Padronizada],B427)
))</f>
        <v>---</v>
      </c>
      <c r="E427" s="16" t="str">
        <f>IF(OR(B427="",B427="---"),"---",
   IFERROR(AVERAGEIFS(tabDados[Valor Unitário],tabDados[Descrição Padronizada],B427,tabDados[Valor Unitário],"&gt;="&amp;C427,tabDados[Valor Unitário],"&lt;="&amp;D427),AVERAGE(C427,D427))
)</f>
        <v>---</v>
      </c>
      <c r="F427" s="12" t="str">
        <f t="array" ref="F427">IF(OR(B427="",B427="---"),"---",TRUNC(IFERROR(MODE(IF((tabDados[Descrição Padronizada]=B427)*(tabDados[Vida Útil (meses)]&lt;&gt;""),tabDados[Vida Útil (meses)],"-")),AVERAGEIFS(tabDados[Vida Útil (meses)],tabDados[Descrição Padronizada],B427))+0.5))</f>
        <v>---</v>
      </c>
      <c r="G427" s="13" t="str">
        <f>IF(OR(B427="",B427="---"),"---",TRUNC(IFERROR(AVERAGEIFS(tabDados[Manutenção (%)],tabDados[Descrição Padronizada],B427,tabDados[Manutenção (%)],"&gt;"&amp;0),0)*10000)/10000)</f>
        <v>---</v>
      </c>
      <c r="H427" s="24" t="str">
        <f>IF(OR(B427="---",B427=""),"---",COUNTIF(tabDados[[#All],[Descrição Padronizada]],B427))</f>
        <v>---</v>
      </c>
      <c r="I427" s="24" t="s">
        <v>20</v>
      </c>
    </row>
    <row r="428" spans="1:9" hidden="1" x14ac:dyDescent="0.35">
      <c r="A428" s="15">
        <v>426</v>
      </c>
      <c r="C428" s="16" t="str">
        <f t="array" ref="C428">IF(B428="","---",IFERROR(
   _xlfn.PERCENTILE.INC(
      IF((tabDados[Descrição Padronizada]=B428)*(tabDados[Valor Unitário]&lt;&gt;""),
         tabDados[Valor Unitário],""
      ),
   C$1),
   _xlfn.MINIFS(tabDados[Valor Unitário],tabDados[Descrição Padronizada],B428)
))</f>
        <v>---</v>
      </c>
      <c r="D428" s="16" t="str">
        <f t="array" ref="D428">IF(B428="","---",IFERROR(
   _xlfn.PERCENTILE.INC(
      IF((tabDados[Descrição Padronizada]=B428)*(tabDados[Valor Unitário]&lt;&gt;""),
         tabDados[Valor Unitário],""
      ),
   D$1),
   _xlfn.MAXIFS(tabDados[Valor Unitário],tabDados[Descrição Padronizada],B428)
))</f>
        <v>---</v>
      </c>
      <c r="E428" s="16" t="str">
        <f>IF(OR(B428="",B428="---"),"---",
   IFERROR(AVERAGEIFS(tabDados[Valor Unitário],tabDados[Descrição Padronizada],B428,tabDados[Valor Unitário],"&gt;="&amp;C428,tabDados[Valor Unitário],"&lt;="&amp;D428),AVERAGE(C428,D428))
)</f>
        <v>---</v>
      </c>
      <c r="F428" s="12" t="str">
        <f t="array" ref="F428">IF(OR(B428="",B428="---"),"---",TRUNC(IFERROR(MODE(IF((tabDados[Descrição Padronizada]=B428)*(tabDados[Vida Útil (meses)]&lt;&gt;""),tabDados[Vida Útil (meses)],"-")),AVERAGEIFS(tabDados[Vida Útil (meses)],tabDados[Descrição Padronizada],B428))+0.5))</f>
        <v>---</v>
      </c>
      <c r="G428" s="13" t="str">
        <f>IF(OR(B428="",B428="---"),"---",TRUNC(IFERROR(AVERAGEIFS(tabDados[Manutenção (%)],tabDados[Descrição Padronizada],B428,tabDados[Manutenção (%)],"&gt;"&amp;0),0)*10000)/10000)</f>
        <v>---</v>
      </c>
      <c r="H428" s="24" t="str">
        <f>IF(OR(B428="---",B428=""),"---",COUNTIF(tabDados[[#All],[Descrição Padronizada]],B428))</f>
        <v>---</v>
      </c>
      <c r="I428" s="24" t="s">
        <v>20</v>
      </c>
    </row>
    <row r="429" spans="1:9" hidden="1" x14ac:dyDescent="0.35">
      <c r="A429" s="15">
        <v>427</v>
      </c>
      <c r="C429" s="16" t="str">
        <f t="array" ref="C429">IF(B429="","---",IFERROR(
   _xlfn.PERCENTILE.INC(
      IF((tabDados[Descrição Padronizada]=B429)*(tabDados[Valor Unitário]&lt;&gt;""),
         tabDados[Valor Unitário],""
      ),
   C$1),
   _xlfn.MINIFS(tabDados[Valor Unitário],tabDados[Descrição Padronizada],B429)
))</f>
        <v>---</v>
      </c>
      <c r="D429" s="16" t="str">
        <f t="array" ref="D429">IF(B429="","---",IFERROR(
   _xlfn.PERCENTILE.INC(
      IF((tabDados[Descrição Padronizada]=B429)*(tabDados[Valor Unitário]&lt;&gt;""),
         tabDados[Valor Unitário],""
      ),
   D$1),
   _xlfn.MAXIFS(tabDados[Valor Unitário],tabDados[Descrição Padronizada],B429)
))</f>
        <v>---</v>
      </c>
      <c r="E429" s="16" t="str">
        <f>IF(OR(B429="",B429="---"),"---",
   IFERROR(AVERAGEIFS(tabDados[Valor Unitário],tabDados[Descrição Padronizada],B429,tabDados[Valor Unitário],"&gt;="&amp;C429,tabDados[Valor Unitário],"&lt;="&amp;D429),AVERAGE(C429,D429))
)</f>
        <v>---</v>
      </c>
      <c r="F429" s="12" t="str">
        <f t="array" ref="F429">IF(OR(B429="",B429="---"),"---",TRUNC(IFERROR(MODE(IF((tabDados[Descrição Padronizada]=B429)*(tabDados[Vida Útil (meses)]&lt;&gt;""),tabDados[Vida Útil (meses)],"-")),AVERAGEIFS(tabDados[Vida Útil (meses)],tabDados[Descrição Padronizada],B429))+0.5))</f>
        <v>---</v>
      </c>
      <c r="G429" s="13" t="str">
        <f>IF(OR(B429="",B429="---"),"---",TRUNC(IFERROR(AVERAGEIFS(tabDados[Manutenção (%)],tabDados[Descrição Padronizada],B429,tabDados[Manutenção (%)],"&gt;"&amp;0),0)*10000)/10000)</f>
        <v>---</v>
      </c>
      <c r="H429" s="24" t="str">
        <f>IF(OR(B429="---",B429=""),"---",COUNTIF(tabDados[[#All],[Descrição Padronizada]],B429))</f>
        <v>---</v>
      </c>
      <c r="I429" s="24" t="s">
        <v>20</v>
      </c>
    </row>
    <row r="430" spans="1:9" hidden="1" x14ac:dyDescent="0.35">
      <c r="A430" s="15">
        <v>428</v>
      </c>
      <c r="C430" s="16" t="str">
        <f t="array" ref="C430">IF(B430="","---",IFERROR(
   _xlfn.PERCENTILE.INC(
      IF((tabDados[Descrição Padronizada]=B430)*(tabDados[Valor Unitário]&lt;&gt;""),
         tabDados[Valor Unitário],""
      ),
   C$1),
   _xlfn.MINIFS(tabDados[Valor Unitário],tabDados[Descrição Padronizada],B430)
))</f>
        <v>---</v>
      </c>
      <c r="D430" s="16" t="str">
        <f t="array" ref="D430">IF(B430="","---",IFERROR(
   _xlfn.PERCENTILE.INC(
      IF((tabDados[Descrição Padronizada]=B430)*(tabDados[Valor Unitário]&lt;&gt;""),
         tabDados[Valor Unitário],""
      ),
   D$1),
   _xlfn.MAXIFS(tabDados[Valor Unitário],tabDados[Descrição Padronizada],B430)
))</f>
        <v>---</v>
      </c>
      <c r="E430" s="16" t="str">
        <f>IF(OR(B430="",B430="---"),"---",
   IFERROR(AVERAGEIFS(tabDados[Valor Unitário],tabDados[Descrição Padronizada],B430,tabDados[Valor Unitário],"&gt;="&amp;C430,tabDados[Valor Unitário],"&lt;="&amp;D430),AVERAGE(C430,D430))
)</f>
        <v>---</v>
      </c>
      <c r="F430" s="12" t="str">
        <f t="array" ref="F430">IF(OR(B430="",B430="---"),"---",TRUNC(IFERROR(MODE(IF((tabDados[Descrição Padronizada]=B430)*(tabDados[Vida Útil (meses)]&lt;&gt;""),tabDados[Vida Útil (meses)],"-")),AVERAGEIFS(tabDados[Vida Útil (meses)],tabDados[Descrição Padronizada],B430))+0.5))</f>
        <v>---</v>
      </c>
      <c r="G430" s="13" t="str">
        <f>IF(OR(B430="",B430="---"),"---",TRUNC(IFERROR(AVERAGEIFS(tabDados[Manutenção (%)],tabDados[Descrição Padronizada],B430,tabDados[Manutenção (%)],"&gt;"&amp;0),0)*10000)/10000)</f>
        <v>---</v>
      </c>
      <c r="H430" s="24" t="str">
        <f>IF(OR(B430="---",B430=""),"---",COUNTIF(tabDados[[#All],[Descrição Padronizada]],B430))</f>
        <v>---</v>
      </c>
      <c r="I430" s="24" t="s">
        <v>20</v>
      </c>
    </row>
    <row r="431" spans="1:9" hidden="1" x14ac:dyDescent="0.35">
      <c r="A431" s="15">
        <v>429</v>
      </c>
      <c r="C431" s="16" t="str">
        <f t="array" ref="C431">IF(B431="","---",IFERROR(
   _xlfn.PERCENTILE.INC(
      IF((tabDados[Descrição Padronizada]=B431)*(tabDados[Valor Unitário]&lt;&gt;""),
         tabDados[Valor Unitário],""
      ),
   C$1),
   _xlfn.MINIFS(tabDados[Valor Unitário],tabDados[Descrição Padronizada],B431)
))</f>
        <v>---</v>
      </c>
      <c r="D431" s="16" t="str">
        <f t="array" ref="D431">IF(B431="","---",IFERROR(
   _xlfn.PERCENTILE.INC(
      IF((tabDados[Descrição Padronizada]=B431)*(tabDados[Valor Unitário]&lt;&gt;""),
         tabDados[Valor Unitário],""
      ),
   D$1),
   _xlfn.MAXIFS(tabDados[Valor Unitário],tabDados[Descrição Padronizada],B431)
))</f>
        <v>---</v>
      </c>
      <c r="E431" s="16" t="str">
        <f>IF(OR(B431="",B431="---"),"---",
   IFERROR(AVERAGEIFS(tabDados[Valor Unitário],tabDados[Descrição Padronizada],B431,tabDados[Valor Unitário],"&gt;="&amp;C431,tabDados[Valor Unitário],"&lt;="&amp;D431),AVERAGE(C431,D431))
)</f>
        <v>---</v>
      </c>
      <c r="F431" s="12" t="str">
        <f t="array" ref="F431">IF(OR(B431="",B431="---"),"---",TRUNC(IFERROR(MODE(IF((tabDados[Descrição Padronizada]=B431)*(tabDados[Vida Útil (meses)]&lt;&gt;""),tabDados[Vida Útil (meses)],"-")),AVERAGEIFS(tabDados[Vida Útil (meses)],tabDados[Descrição Padronizada],B431))+0.5))</f>
        <v>---</v>
      </c>
      <c r="G431" s="13" t="str">
        <f>IF(OR(B431="",B431="---"),"---",TRUNC(IFERROR(AVERAGEIFS(tabDados[Manutenção (%)],tabDados[Descrição Padronizada],B431,tabDados[Manutenção (%)],"&gt;"&amp;0),0)*10000)/10000)</f>
        <v>---</v>
      </c>
      <c r="H431" s="24" t="str">
        <f>IF(OR(B431="---",B431=""),"---",COUNTIF(tabDados[[#All],[Descrição Padronizada]],B431))</f>
        <v>---</v>
      </c>
      <c r="I431" s="24" t="s">
        <v>20</v>
      </c>
    </row>
    <row r="432" spans="1:9" hidden="1" x14ac:dyDescent="0.35">
      <c r="A432" s="15">
        <v>430</v>
      </c>
      <c r="C432" s="16" t="str">
        <f t="array" ref="C432">IF(B432="","---",IFERROR(
   _xlfn.PERCENTILE.INC(
      IF((tabDados[Descrição Padronizada]=B432)*(tabDados[Valor Unitário]&lt;&gt;""),
         tabDados[Valor Unitário],""
      ),
   C$1),
   _xlfn.MINIFS(tabDados[Valor Unitário],tabDados[Descrição Padronizada],B432)
))</f>
        <v>---</v>
      </c>
      <c r="D432" s="16" t="str">
        <f t="array" ref="D432">IF(B432="","---",IFERROR(
   _xlfn.PERCENTILE.INC(
      IF((tabDados[Descrição Padronizada]=B432)*(tabDados[Valor Unitário]&lt;&gt;""),
         tabDados[Valor Unitário],""
      ),
   D$1),
   _xlfn.MAXIFS(tabDados[Valor Unitário],tabDados[Descrição Padronizada],B432)
))</f>
        <v>---</v>
      </c>
      <c r="E432" s="16" t="str">
        <f>IF(OR(B432="",B432="---"),"---",
   IFERROR(AVERAGEIFS(tabDados[Valor Unitário],tabDados[Descrição Padronizada],B432,tabDados[Valor Unitário],"&gt;="&amp;C432,tabDados[Valor Unitário],"&lt;="&amp;D432),AVERAGE(C432,D432))
)</f>
        <v>---</v>
      </c>
      <c r="F432" s="12" t="str">
        <f t="array" ref="F432">IF(OR(B432="",B432="---"),"---",TRUNC(IFERROR(MODE(IF((tabDados[Descrição Padronizada]=B432)*(tabDados[Vida Útil (meses)]&lt;&gt;""),tabDados[Vida Útil (meses)],"-")),AVERAGEIFS(tabDados[Vida Útil (meses)],tabDados[Descrição Padronizada],B432))+0.5))</f>
        <v>---</v>
      </c>
      <c r="G432" s="13" t="str">
        <f>IF(OR(B432="",B432="---"),"---",TRUNC(IFERROR(AVERAGEIFS(tabDados[Manutenção (%)],tabDados[Descrição Padronizada],B432,tabDados[Manutenção (%)],"&gt;"&amp;0),0)*10000)/10000)</f>
        <v>---</v>
      </c>
      <c r="H432" s="24" t="str">
        <f>IF(OR(B432="---",B432=""),"---",COUNTIF(tabDados[[#All],[Descrição Padronizada]],B432))</f>
        <v>---</v>
      </c>
      <c r="I432" s="24" t="s">
        <v>20</v>
      </c>
    </row>
    <row r="433" spans="1:9" hidden="1" x14ac:dyDescent="0.35">
      <c r="A433" s="15">
        <v>431</v>
      </c>
      <c r="C433" s="16" t="str">
        <f t="array" ref="C433">IF(B433="","---",IFERROR(
   _xlfn.PERCENTILE.INC(
      IF((tabDados[Descrição Padronizada]=B433)*(tabDados[Valor Unitário]&lt;&gt;""),
         tabDados[Valor Unitário],""
      ),
   C$1),
   _xlfn.MINIFS(tabDados[Valor Unitário],tabDados[Descrição Padronizada],B433)
))</f>
        <v>---</v>
      </c>
      <c r="D433" s="16" t="str">
        <f t="array" ref="D433">IF(B433="","---",IFERROR(
   _xlfn.PERCENTILE.INC(
      IF((tabDados[Descrição Padronizada]=B433)*(tabDados[Valor Unitário]&lt;&gt;""),
         tabDados[Valor Unitário],""
      ),
   D$1),
   _xlfn.MAXIFS(tabDados[Valor Unitário],tabDados[Descrição Padronizada],B433)
))</f>
        <v>---</v>
      </c>
      <c r="E433" s="16" t="str">
        <f>IF(OR(B433="",B433="---"),"---",
   IFERROR(AVERAGEIFS(tabDados[Valor Unitário],tabDados[Descrição Padronizada],B433,tabDados[Valor Unitário],"&gt;="&amp;C433,tabDados[Valor Unitário],"&lt;="&amp;D433),AVERAGE(C433,D433))
)</f>
        <v>---</v>
      </c>
      <c r="F433" s="12" t="str">
        <f t="array" ref="F433">IF(OR(B433="",B433="---"),"---",TRUNC(IFERROR(MODE(IF((tabDados[Descrição Padronizada]=B433)*(tabDados[Vida Útil (meses)]&lt;&gt;""),tabDados[Vida Útil (meses)],"-")),AVERAGEIFS(tabDados[Vida Útil (meses)],tabDados[Descrição Padronizada],B433))+0.5))</f>
        <v>---</v>
      </c>
      <c r="G433" s="13" t="str">
        <f>IF(OR(B433="",B433="---"),"---",TRUNC(IFERROR(AVERAGEIFS(tabDados[Manutenção (%)],tabDados[Descrição Padronizada],B433,tabDados[Manutenção (%)],"&gt;"&amp;0),0)*10000)/10000)</f>
        <v>---</v>
      </c>
      <c r="H433" s="24" t="str">
        <f>IF(OR(B433="---",B433=""),"---",COUNTIF(tabDados[[#All],[Descrição Padronizada]],B433))</f>
        <v>---</v>
      </c>
      <c r="I433" s="24" t="s">
        <v>20</v>
      </c>
    </row>
    <row r="434" spans="1:9" hidden="1" x14ac:dyDescent="0.35">
      <c r="A434" s="15">
        <v>432</v>
      </c>
      <c r="C434" s="16" t="str">
        <f t="array" ref="C434">IF(B434="","---",IFERROR(
   _xlfn.PERCENTILE.INC(
      IF((tabDados[Descrição Padronizada]=B434)*(tabDados[Valor Unitário]&lt;&gt;""),
         tabDados[Valor Unitário],""
      ),
   C$1),
   _xlfn.MINIFS(tabDados[Valor Unitário],tabDados[Descrição Padronizada],B434)
))</f>
        <v>---</v>
      </c>
      <c r="D434" s="16" t="str">
        <f t="array" ref="D434">IF(B434="","---",IFERROR(
   _xlfn.PERCENTILE.INC(
      IF((tabDados[Descrição Padronizada]=B434)*(tabDados[Valor Unitário]&lt;&gt;""),
         tabDados[Valor Unitário],""
      ),
   D$1),
   _xlfn.MAXIFS(tabDados[Valor Unitário],tabDados[Descrição Padronizada],B434)
))</f>
        <v>---</v>
      </c>
      <c r="E434" s="16" t="str">
        <f>IF(OR(B434="",B434="---"),"---",
   IFERROR(AVERAGEIFS(tabDados[Valor Unitário],tabDados[Descrição Padronizada],B434,tabDados[Valor Unitário],"&gt;="&amp;C434,tabDados[Valor Unitário],"&lt;="&amp;D434),AVERAGE(C434,D434))
)</f>
        <v>---</v>
      </c>
      <c r="F434" s="12" t="str">
        <f t="array" ref="F434">IF(OR(B434="",B434="---"),"---",TRUNC(IFERROR(MODE(IF((tabDados[Descrição Padronizada]=B434)*(tabDados[Vida Útil (meses)]&lt;&gt;""),tabDados[Vida Útil (meses)],"-")),AVERAGEIFS(tabDados[Vida Útil (meses)],tabDados[Descrição Padronizada],B434))+0.5))</f>
        <v>---</v>
      </c>
      <c r="G434" s="13" t="str">
        <f>IF(OR(B434="",B434="---"),"---",TRUNC(IFERROR(AVERAGEIFS(tabDados[Manutenção (%)],tabDados[Descrição Padronizada],B434,tabDados[Manutenção (%)],"&gt;"&amp;0),0)*10000)/10000)</f>
        <v>---</v>
      </c>
      <c r="H434" s="24" t="str">
        <f>IF(OR(B434="---",B434=""),"---",COUNTIF(tabDados[[#All],[Descrição Padronizada]],B434))</f>
        <v>---</v>
      </c>
      <c r="I434" s="24" t="s">
        <v>20</v>
      </c>
    </row>
    <row r="435" spans="1:9" hidden="1" x14ac:dyDescent="0.35">
      <c r="A435" s="15">
        <v>433</v>
      </c>
      <c r="C435" s="16" t="str">
        <f t="array" ref="C435">IF(B435="","---",IFERROR(
   _xlfn.PERCENTILE.INC(
      IF((tabDados[Descrição Padronizada]=B435)*(tabDados[Valor Unitário]&lt;&gt;""),
         tabDados[Valor Unitário],""
      ),
   C$1),
   _xlfn.MINIFS(tabDados[Valor Unitário],tabDados[Descrição Padronizada],B435)
))</f>
        <v>---</v>
      </c>
      <c r="D435" s="16" t="str">
        <f t="array" ref="D435">IF(B435="","---",IFERROR(
   _xlfn.PERCENTILE.INC(
      IF((tabDados[Descrição Padronizada]=B435)*(tabDados[Valor Unitário]&lt;&gt;""),
         tabDados[Valor Unitário],""
      ),
   D$1),
   _xlfn.MAXIFS(tabDados[Valor Unitário],tabDados[Descrição Padronizada],B435)
))</f>
        <v>---</v>
      </c>
      <c r="E435" s="16" t="str">
        <f>IF(OR(B435="",B435="---"),"---",
   IFERROR(AVERAGEIFS(tabDados[Valor Unitário],tabDados[Descrição Padronizada],B435,tabDados[Valor Unitário],"&gt;="&amp;C435,tabDados[Valor Unitário],"&lt;="&amp;D435),AVERAGE(C435,D435))
)</f>
        <v>---</v>
      </c>
      <c r="F435" s="12" t="str">
        <f t="array" ref="F435">IF(OR(B435="",B435="---"),"---",TRUNC(IFERROR(MODE(IF((tabDados[Descrição Padronizada]=B435)*(tabDados[Vida Útil (meses)]&lt;&gt;""),tabDados[Vida Útil (meses)],"-")),AVERAGEIFS(tabDados[Vida Útil (meses)],tabDados[Descrição Padronizada],B435))+0.5))</f>
        <v>---</v>
      </c>
      <c r="G435" s="13" t="str">
        <f>IF(OR(B435="",B435="---"),"---",TRUNC(IFERROR(AVERAGEIFS(tabDados[Manutenção (%)],tabDados[Descrição Padronizada],B435,tabDados[Manutenção (%)],"&gt;"&amp;0),0)*10000)/10000)</f>
        <v>---</v>
      </c>
      <c r="H435" s="24" t="str">
        <f>IF(OR(B435="---",B435=""),"---",COUNTIF(tabDados[[#All],[Descrição Padronizada]],B435))</f>
        <v>---</v>
      </c>
      <c r="I435" s="24" t="s">
        <v>20</v>
      </c>
    </row>
    <row r="436" spans="1:9" hidden="1" x14ac:dyDescent="0.35">
      <c r="A436" s="15">
        <v>434</v>
      </c>
      <c r="C436" s="16" t="str">
        <f t="array" ref="C436">IF(B436="","---",IFERROR(
   _xlfn.PERCENTILE.INC(
      IF((tabDados[Descrição Padronizada]=B436)*(tabDados[Valor Unitário]&lt;&gt;""),
         tabDados[Valor Unitário],""
      ),
   C$1),
   _xlfn.MINIFS(tabDados[Valor Unitário],tabDados[Descrição Padronizada],B436)
))</f>
        <v>---</v>
      </c>
      <c r="D436" s="16" t="str">
        <f t="array" ref="D436">IF(B436="","---",IFERROR(
   _xlfn.PERCENTILE.INC(
      IF((tabDados[Descrição Padronizada]=B436)*(tabDados[Valor Unitário]&lt;&gt;""),
         tabDados[Valor Unitário],""
      ),
   D$1),
   _xlfn.MAXIFS(tabDados[Valor Unitário],tabDados[Descrição Padronizada],B436)
))</f>
        <v>---</v>
      </c>
      <c r="E436" s="16" t="str">
        <f>IF(OR(B436="",B436="---"),"---",
   IFERROR(AVERAGEIFS(tabDados[Valor Unitário],tabDados[Descrição Padronizada],B436,tabDados[Valor Unitário],"&gt;="&amp;C436,tabDados[Valor Unitário],"&lt;="&amp;D436),AVERAGE(C436,D436))
)</f>
        <v>---</v>
      </c>
      <c r="F436" s="12" t="str">
        <f t="array" ref="F436">IF(OR(B436="",B436="---"),"---",TRUNC(IFERROR(MODE(IF((tabDados[Descrição Padronizada]=B436)*(tabDados[Vida Útil (meses)]&lt;&gt;""),tabDados[Vida Útil (meses)],"-")),AVERAGEIFS(tabDados[Vida Útil (meses)],tabDados[Descrição Padronizada],B436))+0.5))</f>
        <v>---</v>
      </c>
      <c r="G436" s="13" t="str">
        <f>IF(OR(B436="",B436="---"),"---",TRUNC(IFERROR(AVERAGEIFS(tabDados[Manutenção (%)],tabDados[Descrição Padronizada],B436,tabDados[Manutenção (%)],"&gt;"&amp;0),0)*10000)/10000)</f>
        <v>---</v>
      </c>
      <c r="H436" s="24" t="str">
        <f>IF(OR(B436="---",B436=""),"---",COUNTIF(tabDados[[#All],[Descrição Padronizada]],B436))</f>
        <v>---</v>
      </c>
      <c r="I436" s="24" t="s">
        <v>20</v>
      </c>
    </row>
    <row r="437" spans="1:9" hidden="1" x14ac:dyDescent="0.35">
      <c r="A437" s="15">
        <v>435</v>
      </c>
      <c r="C437" s="16" t="str">
        <f t="array" ref="C437">IF(B437="","---",IFERROR(
   _xlfn.PERCENTILE.INC(
      IF((tabDados[Descrição Padronizada]=B437)*(tabDados[Valor Unitário]&lt;&gt;""),
         tabDados[Valor Unitário],""
      ),
   C$1),
   _xlfn.MINIFS(tabDados[Valor Unitário],tabDados[Descrição Padronizada],B437)
))</f>
        <v>---</v>
      </c>
      <c r="D437" s="16" t="str">
        <f t="array" ref="D437">IF(B437="","---",IFERROR(
   _xlfn.PERCENTILE.INC(
      IF((tabDados[Descrição Padronizada]=B437)*(tabDados[Valor Unitário]&lt;&gt;""),
         tabDados[Valor Unitário],""
      ),
   D$1),
   _xlfn.MAXIFS(tabDados[Valor Unitário],tabDados[Descrição Padronizada],B437)
))</f>
        <v>---</v>
      </c>
      <c r="E437" s="16" t="str">
        <f>IF(OR(B437="",B437="---"),"---",
   IFERROR(AVERAGEIFS(tabDados[Valor Unitário],tabDados[Descrição Padronizada],B437,tabDados[Valor Unitário],"&gt;="&amp;C437,tabDados[Valor Unitário],"&lt;="&amp;D437),AVERAGE(C437,D437))
)</f>
        <v>---</v>
      </c>
      <c r="F437" s="12" t="str">
        <f t="array" ref="F437">IF(OR(B437="",B437="---"),"---",TRUNC(IFERROR(MODE(IF((tabDados[Descrição Padronizada]=B437)*(tabDados[Vida Útil (meses)]&lt;&gt;""),tabDados[Vida Útil (meses)],"-")),AVERAGEIFS(tabDados[Vida Útil (meses)],tabDados[Descrição Padronizada],B437))+0.5))</f>
        <v>---</v>
      </c>
      <c r="G437" s="13" t="str">
        <f>IF(OR(B437="",B437="---"),"---",TRUNC(IFERROR(AVERAGEIFS(tabDados[Manutenção (%)],tabDados[Descrição Padronizada],B437,tabDados[Manutenção (%)],"&gt;"&amp;0),0)*10000)/10000)</f>
        <v>---</v>
      </c>
      <c r="H437" s="24" t="str">
        <f>IF(OR(B437="---",B437=""),"---",COUNTIF(tabDados[[#All],[Descrição Padronizada]],B437))</f>
        <v>---</v>
      </c>
      <c r="I437" s="24" t="s">
        <v>20</v>
      </c>
    </row>
    <row r="438" spans="1:9" hidden="1" x14ac:dyDescent="0.35">
      <c r="A438" s="15">
        <v>436</v>
      </c>
      <c r="C438" s="16" t="str">
        <f t="array" ref="C438">IF(B438="","---",IFERROR(
   _xlfn.PERCENTILE.INC(
      IF((tabDados[Descrição Padronizada]=B438)*(tabDados[Valor Unitário]&lt;&gt;""),
         tabDados[Valor Unitário],""
      ),
   C$1),
   _xlfn.MINIFS(tabDados[Valor Unitário],tabDados[Descrição Padronizada],B438)
))</f>
        <v>---</v>
      </c>
      <c r="D438" s="16" t="str">
        <f t="array" ref="D438">IF(B438="","---",IFERROR(
   _xlfn.PERCENTILE.INC(
      IF((tabDados[Descrição Padronizada]=B438)*(tabDados[Valor Unitário]&lt;&gt;""),
         tabDados[Valor Unitário],""
      ),
   D$1),
   _xlfn.MAXIFS(tabDados[Valor Unitário],tabDados[Descrição Padronizada],B438)
))</f>
        <v>---</v>
      </c>
      <c r="E438" s="16" t="str">
        <f>IF(OR(B438="",B438="---"),"---",
   IFERROR(AVERAGEIFS(tabDados[Valor Unitário],tabDados[Descrição Padronizada],B438,tabDados[Valor Unitário],"&gt;="&amp;C438,tabDados[Valor Unitário],"&lt;="&amp;D438),AVERAGE(C438,D438))
)</f>
        <v>---</v>
      </c>
      <c r="F438" s="12" t="str">
        <f t="array" ref="F438">IF(OR(B438="",B438="---"),"---",TRUNC(IFERROR(MODE(IF((tabDados[Descrição Padronizada]=B438)*(tabDados[Vida Útil (meses)]&lt;&gt;""),tabDados[Vida Útil (meses)],"-")),AVERAGEIFS(tabDados[Vida Útil (meses)],tabDados[Descrição Padronizada],B438))+0.5))</f>
        <v>---</v>
      </c>
      <c r="G438" s="13" t="str">
        <f>IF(OR(B438="",B438="---"),"---",TRUNC(IFERROR(AVERAGEIFS(tabDados[Manutenção (%)],tabDados[Descrição Padronizada],B438,tabDados[Manutenção (%)],"&gt;"&amp;0),0)*10000)/10000)</f>
        <v>---</v>
      </c>
      <c r="H438" s="24" t="str">
        <f>IF(OR(B438="---",B438=""),"---",COUNTIF(tabDados[[#All],[Descrição Padronizada]],B438))</f>
        <v>---</v>
      </c>
      <c r="I438" s="24" t="s">
        <v>20</v>
      </c>
    </row>
    <row r="439" spans="1:9" hidden="1" x14ac:dyDescent="0.35">
      <c r="A439" s="15">
        <v>437</v>
      </c>
      <c r="C439" s="16" t="str">
        <f t="array" ref="C439">IF(B439="","---",IFERROR(
   _xlfn.PERCENTILE.INC(
      IF((tabDados[Descrição Padronizada]=B439)*(tabDados[Valor Unitário]&lt;&gt;""),
         tabDados[Valor Unitário],""
      ),
   C$1),
   _xlfn.MINIFS(tabDados[Valor Unitário],tabDados[Descrição Padronizada],B439)
))</f>
        <v>---</v>
      </c>
      <c r="D439" s="16" t="str">
        <f t="array" ref="D439">IF(B439="","---",IFERROR(
   _xlfn.PERCENTILE.INC(
      IF((tabDados[Descrição Padronizada]=B439)*(tabDados[Valor Unitário]&lt;&gt;""),
         tabDados[Valor Unitário],""
      ),
   D$1),
   _xlfn.MAXIFS(tabDados[Valor Unitário],tabDados[Descrição Padronizada],B439)
))</f>
        <v>---</v>
      </c>
      <c r="E439" s="16" t="str">
        <f>IF(OR(B439="",B439="---"),"---",
   IFERROR(AVERAGEIFS(tabDados[Valor Unitário],tabDados[Descrição Padronizada],B439,tabDados[Valor Unitário],"&gt;="&amp;C439,tabDados[Valor Unitário],"&lt;="&amp;D439),AVERAGE(C439,D439))
)</f>
        <v>---</v>
      </c>
      <c r="F439" s="12" t="str">
        <f t="array" ref="F439">IF(OR(B439="",B439="---"),"---",TRUNC(IFERROR(MODE(IF((tabDados[Descrição Padronizada]=B439)*(tabDados[Vida Útil (meses)]&lt;&gt;""),tabDados[Vida Útil (meses)],"-")),AVERAGEIFS(tabDados[Vida Útil (meses)],tabDados[Descrição Padronizada],B439))+0.5))</f>
        <v>---</v>
      </c>
      <c r="G439" s="13" t="str">
        <f>IF(OR(B439="",B439="---"),"---",TRUNC(IFERROR(AVERAGEIFS(tabDados[Manutenção (%)],tabDados[Descrição Padronizada],B439,tabDados[Manutenção (%)],"&gt;"&amp;0),0)*10000)/10000)</f>
        <v>---</v>
      </c>
      <c r="H439" s="24" t="str">
        <f>IF(OR(B439="---",B439=""),"---",COUNTIF(tabDados[[#All],[Descrição Padronizada]],B439))</f>
        <v>---</v>
      </c>
      <c r="I439" s="24" t="s">
        <v>20</v>
      </c>
    </row>
    <row r="440" spans="1:9" hidden="1" x14ac:dyDescent="0.35">
      <c r="A440" s="15">
        <v>438</v>
      </c>
      <c r="C440" s="16" t="str">
        <f t="array" ref="C440">IF(B440="","---",IFERROR(
   _xlfn.PERCENTILE.INC(
      IF((tabDados[Descrição Padronizada]=B440)*(tabDados[Valor Unitário]&lt;&gt;""),
         tabDados[Valor Unitário],""
      ),
   C$1),
   _xlfn.MINIFS(tabDados[Valor Unitário],tabDados[Descrição Padronizada],B440)
))</f>
        <v>---</v>
      </c>
      <c r="D440" s="16" t="str">
        <f t="array" ref="D440">IF(B440="","---",IFERROR(
   _xlfn.PERCENTILE.INC(
      IF((tabDados[Descrição Padronizada]=B440)*(tabDados[Valor Unitário]&lt;&gt;""),
         tabDados[Valor Unitário],""
      ),
   D$1),
   _xlfn.MAXIFS(tabDados[Valor Unitário],tabDados[Descrição Padronizada],B440)
))</f>
        <v>---</v>
      </c>
      <c r="E440" s="16" t="str">
        <f>IF(OR(B440="",B440="---"),"---",
   IFERROR(AVERAGEIFS(tabDados[Valor Unitário],tabDados[Descrição Padronizada],B440,tabDados[Valor Unitário],"&gt;="&amp;C440,tabDados[Valor Unitário],"&lt;="&amp;D440),AVERAGE(C440,D440))
)</f>
        <v>---</v>
      </c>
      <c r="F440" s="12" t="str">
        <f t="array" ref="F440">IF(OR(B440="",B440="---"),"---",TRUNC(IFERROR(MODE(IF((tabDados[Descrição Padronizada]=B440)*(tabDados[Vida Útil (meses)]&lt;&gt;""),tabDados[Vida Útil (meses)],"-")),AVERAGEIFS(tabDados[Vida Útil (meses)],tabDados[Descrição Padronizada],B440))+0.5))</f>
        <v>---</v>
      </c>
      <c r="G440" s="13" t="str">
        <f>IF(OR(B440="",B440="---"),"---",TRUNC(IFERROR(AVERAGEIFS(tabDados[Manutenção (%)],tabDados[Descrição Padronizada],B440,tabDados[Manutenção (%)],"&gt;"&amp;0),0)*10000)/10000)</f>
        <v>---</v>
      </c>
      <c r="H440" s="24" t="str">
        <f>IF(OR(B440="---",B440=""),"---",COUNTIF(tabDados[[#All],[Descrição Padronizada]],B440))</f>
        <v>---</v>
      </c>
      <c r="I440" s="24" t="s">
        <v>20</v>
      </c>
    </row>
    <row r="441" spans="1:9" hidden="1" x14ac:dyDescent="0.35">
      <c r="A441" s="15">
        <v>439</v>
      </c>
      <c r="C441" s="16" t="str">
        <f t="array" ref="C441">IF(B441="","---",IFERROR(
   _xlfn.PERCENTILE.INC(
      IF((tabDados[Descrição Padronizada]=B441)*(tabDados[Valor Unitário]&lt;&gt;""),
         tabDados[Valor Unitário],""
      ),
   C$1),
   _xlfn.MINIFS(tabDados[Valor Unitário],tabDados[Descrição Padronizada],B441)
))</f>
        <v>---</v>
      </c>
      <c r="D441" s="16" t="str">
        <f t="array" ref="D441">IF(B441="","---",IFERROR(
   _xlfn.PERCENTILE.INC(
      IF((tabDados[Descrição Padronizada]=B441)*(tabDados[Valor Unitário]&lt;&gt;""),
         tabDados[Valor Unitário],""
      ),
   D$1),
   _xlfn.MAXIFS(tabDados[Valor Unitário],tabDados[Descrição Padronizada],B441)
))</f>
        <v>---</v>
      </c>
      <c r="E441" s="16" t="str">
        <f>IF(OR(B441="",B441="---"),"---",
   IFERROR(AVERAGEIFS(tabDados[Valor Unitário],tabDados[Descrição Padronizada],B441,tabDados[Valor Unitário],"&gt;="&amp;C441,tabDados[Valor Unitário],"&lt;="&amp;D441),AVERAGE(C441,D441))
)</f>
        <v>---</v>
      </c>
      <c r="F441" s="12" t="str">
        <f t="array" ref="F441">IF(OR(B441="",B441="---"),"---",TRUNC(IFERROR(MODE(IF((tabDados[Descrição Padronizada]=B441)*(tabDados[Vida Útil (meses)]&lt;&gt;""),tabDados[Vida Útil (meses)],"-")),AVERAGEIFS(tabDados[Vida Útil (meses)],tabDados[Descrição Padronizada],B441))+0.5))</f>
        <v>---</v>
      </c>
      <c r="G441" s="13" t="str">
        <f>IF(OR(B441="",B441="---"),"---",TRUNC(IFERROR(AVERAGEIFS(tabDados[Manutenção (%)],tabDados[Descrição Padronizada],B441,tabDados[Manutenção (%)],"&gt;"&amp;0),0)*10000)/10000)</f>
        <v>---</v>
      </c>
      <c r="H441" s="24" t="str">
        <f>IF(OR(B441="---",B441=""),"---",COUNTIF(tabDados[[#All],[Descrição Padronizada]],B441))</f>
        <v>---</v>
      </c>
      <c r="I441" s="24" t="s">
        <v>20</v>
      </c>
    </row>
    <row r="442" spans="1:9" hidden="1" x14ac:dyDescent="0.35">
      <c r="A442" s="15">
        <v>440</v>
      </c>
      <c r="C442" s="16" t="str">
        <f t="array" ref="C442">IF(B442="","---",IFERROR(
   _xlfn.PERCENTILE.INC(
      IF((tabDados[Descrição Padronizada]=B442)*(tabDados[Valor Unitário]&lt;&gt;""),
         tabDados[Valor Unitário],""
      ),
   C$1),
   _xlfn.MINIFS(tabDados[Valor Unitário],tabDados[Descrição Padronizada],B442)
))</f>
        <v>---</v>
      </c>
      <c r="D442" s="16" t="str">
        <f t="array" ref="D442">IF(B442="","---",IFERROR(
   _xlfn.PERCENTILE.INC(
      IF((tabDados[Descrição Padronizada]=B442)*(tabDados[Valor Unitário]&lt;&gt;""),
         tabDados[Valor Unitário],""
      ),
   D$1),
   _xlfn.MAXIFS(tabDados[Valor Unitário],tabDados[Descrição Padronizada],B442)
))</f>
        <v>---</v>
      </c>
      <c r="E442" s="16" t="str">
        <f>IF(OR(B442="",B442="---"),"---",
   IFERROR(AVERAGEIFS(tabDados[Valor Unitário],tabDados[Descrição Padronizada],B442,tabDados[Valor Unitário],"&gt;="&amp;C442,tabDados[Valor Unitário],"&lt;="&amp;D442),AVERAGE(C442,D442))
)</f>
        <v>---</v>
      </c>
      <c r="F442" s="12" t="str">
        <f t="array" ref="F442">IF(OR(B442="",B442="---"),"---",TRUNC(IFERROR(MODE(IF((tabDados[Descrição Padronizada]=B442)*(tabDados[Vida Útil (meses)]&lt;&gt;""),tabDados[Vida Útil (meses)],"-")),AVERAGEIFS(tabDados[Vida Útil (meses)],tabDados[Descrição Padronizada],B442))+0.5))</f>
        <v>---</v>
      </c>
      <c r="G442" s="13" t="str">
        <f>IF(OR(B442="",B442="---"),"---",TRUNC(IFERROR(AVERAGEIFS(tabDados[Manutenção (%)],tabDados[Descrição Padronizada],B442,tabDados[Manutenção (%)],"&gt;"&amp;0),0)*10000)/10000)</f>
        <v>---</v>
      </c>
      <c r="H442" s="24" t="str">
        <f>IF(OR(B442="---",B442=""),"---",COUNTIF(tabDados[[#All],[Descrição Padronizada]],B442))</f>
        <v>---</v>
      </c>
      <c r="I442" s="24" t="s">
        <v>20</v>
      </c>
    </row>
    <row r="443" spans="1:9" hidden="1" x14ac:dyDescent="0.35">
      <c r="A443" s="15">
        <v>441</v>
      </c>
      <c r="C443" s="16" t="str">
        <f t="array" ref="C443">IF(B443="","---",IFERROR(
   _xlfn.PERCENTILE.INC(
      IF((tabDados[Descrição Padronizada]=B443)*(tabDados[Valor Unitário]&lt;&gt;""),
         tabDados[Valor Unitário],""
      ),
   C$1),
   _xlfn.MINIFS(tabDados[Valor Unitário],tabDados[Descrição Padronizada],B443)
))</f>
        <v>---</v>
      </c>
      <c r="D443" s="16" t="str">
        <f t="array" ref="D443">IF(B443="","---",IFERROR(
   _xlfn.PERCENTILE.INC(
      IF((tabDados[Descrição Padronizada]=B443)*(tabDados[Valor Unitário]&lt;&gt;""),
         tabDados[Valor Unitário],""
      ),
   D$1),
   _xlfn.MAXIFS(tabDados[Valor Unitário],tabDados[Descrição Padronizada],B443)
))</f>
        <v>---</v>
      </c>
      <c r="E443" s="16" t="str">
        <f>IF(OR(B443="",B443="---"),"---",
   IFERROR(AVERAGEIFS(tabDados[Valor Unitário],tabDados[Descrição Padronizada],B443,tabDados[Valor Unitário],"&gt;="&amp;C443,tabDados[Valor Unitário],"&lt;="&amp;D443),AVERAGE(C443,D443))
)</f>
        <v>---</v>
      </c>
      <c r="F443" s="12" t="str">
        <f t="array" ref="F443">IF(OR(B443="",B443="---"),"---",TRUNC(IFERROR(MODE(IF((tabDados[Descrição Padronizada]=B443)*(tabDados[Vida Útil (meses)]&lt;&gt;""),tabDados[Vida Útil (meses)],"-")),AVERAGEIFS(tabDados[Vida Útil (meses)],tabDados[Descrição Padronizada],B443))+0.5))</f>
        <v>---</v>
      </c>
      <c r="G443" s="13" t="str">
        <f>IF(OR(B443="",B443="---"),"---",TRUNC(IFERROR(AVERAGEIFS(tabDados[Manutenção (%)],tabDados[Descrição Padronizada],B443,tabDados[Manutenção (%)],"&gt;"&amp;0),0)*10000)/10000)</f>
        <v>---</v>
      </c>
      <c r="H443" s="24" t="str">
        <f>IF(OR(B443="---",B443=""),"---",COUNTIF(tabDados[[#All],[Descrição Padronizada]],B443))</f>
        <v>---</v>
      </c>
      <c r="I443" s="24" t="s">
        <v>20</v>
      </c>
    </row>
    <row r="444" spans="1:9" hidden="1" x14ac:dyDescent="0.35">
      <c r="A444" s="15">
        <v>442</v>
      </c>
      <c r="C444" s="16" t="str">
        <f t="array" ref="C444">IF(B444="","---",IFERROR(
   _xlfn.PERCENTILE.INC(
      IF((tabDados[Descrição Padronizada]=B444)*(tabDados[Valor Unitário]&lt;&gt;""),
         tabDados[Valor Unitário],""
      ),
   C$1),
   _xlfn.MINIFS(tabDados[Valor Unitário],tabDados[Descrição Padronizada],B444)
))</f>
        <v>---</v>
      </c>
      <c r="D444" s="16" t="str">
        <f t="array" ref="D444">IF(B444="","---",IFERROR(
   _xlfn.PERCENTILE.INC(
      IF((tabDados[Descrição Padronizada]=B444)*(tabDados[Valor Unitário]&lt;&gt;""),
         tabDados[Valor Unitário],""
      ),
   D$1),
   _xlfn.MAXIFS(tabDados[Valor Unitário],tabDados[Descrição Padronizada],B444)
))</f>
        <v>---</v>
      </c>
      <c r="E444" s="16" t="str">
        <f>IF(OR(B444="",B444="---"),"---",
   IFERROR(AVERAGEIFS(tabDados[Valor Unitário],tabDados[Descrição Padronizada],B444,tabDados[Valor Unitário],"&gt;="&amp;C444,tabDados[Valor Unitário],"&lt;="&amp;D444),AVERAGE(C444,D444))
)</f>
        <v>---</v>
      </c>
      <c r="F444" s="12" t="str">
        <f t="array" ref="F444">IF(OR(B444="",B444="---"),"---",TRUNC(IFERROR(MODE(IF((tabDados[Descrição Padronizada]=B444)*(tabDados[Vida Útil (meses)]&lt;&gt;""),tabDados[Vida Útil (meses)],"-")),AVERAGEIFS(tabDados[Vida Útil (meses)],tabDados[Descrição Padronizada],B444))+0.5))</f>
        <v>---</v>
      </c>
      <c r="G444" s="13" t="str">
        <f>IF(OR(B444="",B444="---"),"---",TRUNC(IFERROR(AVERAGEIFS(tabDados[Manutenção (%)],tabDados[Descrição Padronizada],B444,tabDados[Manutenção (%)],"&gt;"&amp;0),0)*10000)/10000)</f>
        <v>---</v>
      </c>
      <c r="H444" s="24" t="str">
        <f>IF(OR(B444="---",B444=""),"---",COUNTIF(tabDados[[#All],[Descrição Padronizada]],B444))</f>
        <v>---</v>
      </c>
      <c r="I444" s="24" t="s">
        <v>20</v>
      </c>
    </row>
    <row r="445" spans="1:9" hidden="1" x14ac:dyDescent="0.35">
      <c r="A445" s="15">
        <v>443</v>
      </c>
      <c r="C445" s="16" t="str">
        <f t="array" ref="C445">IF(B445="","---",IFERROR(
   _xlfn.PERCENTILE.INC(
      IF((tabDados[Descrição Padronizada]=B445)*(tabDados[Valor Unitário]&lt;&gt;""),
         tabDados[Valor Unitário],""
      ),
   C$1),
   _xlfn.MINIFS(tabDados[Valor Unitário],tabDados[Descrição Padronizada],B445)
))</f>
        <v>---</v>
      </c>
      <c r="D445" s="16" t="str">
        <f t="array" ref="D445">IF(B445="","---",IFERROR(
   _xlfn.PERCENTILE.INC(
      IF((tabDados[Descrição Padronizada]=B445)*(tabDados[Valor Unitário]&lt;&gt;""),
         tabDados[Valor Unitário],""
      ),
   D$1),
   _xlfn.MAXIFS(tabDados[Valor Unitário],tabDados[Descrição Padronizada],B445)
))</f>
        <v>---</v>
      </c>
      <c r="E445" s="16" t="str">
        <f>IF(OR(B445="",B445="---"),"---",
   IFERROR(AVERAGEIFS(tabDados[Valor Unitário],tabDados[Descrição Padronizada],B445,tabDados[Valor Unitário],"&gt;="&amp;C445,tabDados[Valor Unitário],"&lt;="&amp;D445),AVERAGE(C445,D445))
)</f>
        <v>---</v>
      </c>
      <c r="F445" s="12" t="str">
        <f t="array" ref="F445">IF(OR(B445="",B445="---"),"---",TRUNC(IFERROR(MODE(IF((tabDados[Descrição Padronizada]=B445)*(tabDados[Vida Útil (meses)]&lt;&gt;""),tabDados[Vida Útil (meses)],"-")),AVERAGEIFS(tabDados[Vida Útil (meses)],tabDados[Descrição Padronizada],B445))+0.5))</f>
        <v>---</v>
      </c>
      <c r="G445" s="13" t="str">
        <f>IF(OR(B445="",B445="---"),"---",TRUNC(IFERROR(AVERAGEIFS(tabDados[Manutenção (%)],tabDados[Descrição Padronizada],B445,tabDados[Manutenção (%)],"&gt;"&amp;0),0)*10000)/10000)</f>
        <v>---</v>
      </c>
      <c r="H445" s="24" t="str">
        <f>IF(OR(B445="---",B445=""),"---",COUNTIF(tabDados[[#All],[Descrição Padronizada]],B445))</f>
        <v>---</v>
      </c>
      <c r="I445" s="24" t="s">
        <v>20</v>
      </c>
    </row>
    <row r="446" spans="1:9" hidden="1" x14ac:dyDescent="0.35">
      <c r="A446" s="15">
        <v>444</v>
      </c>
      <c r="C446" s="16" t="str">
        <f t="array" ref="C446">IF(B446="","---",IFERROR(
   _xlfn.PERCENTILE.INC(
      IF((tabDados[Descrição Padronizada]=B446)*(tabDados[Valor Unitário]&lt;&gt;""),
         tabDados[Valor Unitário],""
      ),
   C$1),
   _xlfn.MINIFS(tabDados[Valor Unitário],tabDados[Descrição Padronizada],B446)
))</f>
        <v>---</v>
      </c>
      <c r="D446" s="16" t="str">
        <f t="array" ref="D446">IF(B446="","---",IFERROR(
   _xlfn.PERCENTILE.INC(
      IF((tabDados[Descrição Padronizada]=B446)*(tabDados[Valor Unitário]&lt;&gt;""),
         tabDados[Valor Unitário],""
      ),
   D$1),
   _xlfn.MAXIFS(tabDados[Valor Unitário],tabDados[Descrição Padronizada],B446)
))</f>
        <v>---</v>
      </c>
      <c r="E446" s="16" t="str">
        <f>IF(OR(B446="",B446="---"),"---",
   IFERROR(AVERAGEIFS(tabDados[Valor Unitário],tabDados[Descrição Padronizada],B446,tabDados[Valor Unitário],"&gt;="&amp;C446,tabDados[Valor Unitário],"&lt;="&amp;D446),AVERAGE(C446,D446))
)</f>
        <v>---</v>
      </c>
      <c r="F446" s="12" t="str">
        <f t="array" ref="F446">IF(OR(B446="",B446="---"),"---",TRUNC(IFERROR(MODE(IF((tabDados[Descrição Padronizada]=B446)*(tabDados[Vida Útil (meses)]&lt;&gt;""),tabDados[Vida Útil (meses)],"-")),AVERAGEIFS(tabDados[Vida Útil (meses)],tabDados[Descrição Padronizada],B446))+0.5))</f>
        <v>---</v>
      </c>
      <c r="G446" s="13" t="str">
        <f>IF(OR(B446="",B446="---"),"---",TRUNC(IFERROR(AVERAGEIFS(tabDados[Manutenção (%)],tabDados[Descrição Padronizada],B446,tabDados[Manutenção (%)],"&gt;"&amp;0),0)*10000)/10000)</f>
        <v>---</v>
      </c>
      <c r="H446" s="24" t="str">
        <f>IF(OR(B446="---",B446=""),"---",COUNTIF(tabDados[[#All],[Descrição Padronizada]],B446))</f>
        <v>---</v>
      </c>
      <c r="I446" s="24" t="s">
        <v>20</v>
      </c>
    </row>
    <row r="447" spans="1:9" hidden="1" x14ac:dyDescent="0.35">
      <c r="A447" s="15">
        <v>445</v>
      </c>
      <c r="C447" s="16" t="str">
        <f t="array" ref="C447">IF(B447="","---",IFERROR(
   _xlfn.PERCENTILE.INC(
      IF((tabDados[Descrição Padronizada]=B447)*(tabDados[Valor Unitário]&lt;&gt;""),
         tabDados[Valor Unitário],""
      ),
   C$1),
   _xlfn.MINIFS(tabDados[Valor Unitário],tabDados[Descrição Padronizada],B447)
))</f>
        <v>---</v>
      </c>
      <c r="D447" s="16" t="str">
        <f t="array" ref="D447">IF(B447="","---",IFERROR(
   _xlfn.PERCENTILE.INC(
      IF((tabDados[Descrição Padronizada]=B447)*(tabDados[Valor Unitário]&lt;&gt;""),
         tabDados[Valor Unitário],""
      ),
   D$1),
   _xlfn.MAXIFS(tabDados[Valor Unitário],tabDados[Descrição Padronizada],B447)
))</f>
        <v>---</v>
      </c>
      <c r="E447" s="16" t="str">
        <f>IF(OR(B447="",B447="---"),"---",
   IFERROR(AVERAGEIFS(tabDados[Valor Unitário],tabDados[Descrição Padronizada],B447,tabDados[Valor Unitário],"&gt;="&amp;C447,tabDados[Valor Unitário],"&lt;="&amp;D447),AVERAGE(C447,D447))
)</f>
        <v>---</v>
      </c>
      <c r="F447" s="12" t="str">
        <f t="array" ref="F447">IF(OR(B447="",B447="---"),"---",TRUNC(IFERROR(MODE(IF((tabDados[Descrição Padronizada]=B447)*(tabDados[Vida Útil (meses)]&lt;&gt;""),tabDados[Vida Útil (meses)],"-")),AVERAGEIFS(tabDados[Vida Útil (meses)],tabDados[Descrição Padronizada],B447))+0.5))</f>
        <v>---</v>
      </c>
      <c r="G447" s="13" t="str">
        <f>IF(OR(B447="",B447="---"),"---",TRUNC(IFERROR(AVERAGEIFS(tabDados[Manutenção (%)],tabDados[Descrição Padronizada],B447,tabDados[Manutenção (%)],"&gt;"&amp;0),0)*10000)/10000)</f>
        <v>---</v>
      </c>
      <c r="H447" s="24" t="str">
        <f>IF(OR(B447="---",B447=""),"---",COUNTIF(tabDados[[#All],[Descrição Padronizada]],B447))</f>
        <v>---</v>
      </c>
      <c r="I447" s="24" t="s">
        <v>20</v>
      </c>
    </row>
    <row r="448" spans="1:9" hidden="1" x14ac:dyDescent="0.35">
      <c r="A448" s="15">
        <v>446</v>
      </c>
      <c r="C448" s="16" t="str">
        <f t="array" ref="C448">IF(B448="","---",IFERROR(
   _xlfn.PERCENTILE.INC(
      IF((tabDados[Descrição Padronizada]=B448)*(tabDados[Valor Unitário]&lt;&gt;""),
         tabDados[Valor Unitário],""
      ),
   C$1),
   _xlfn.MINIFS(tabDados[Valor Unitário],tabDados[Descrição Padronizada],B448)
))</f>
        <v>---</v>
      </c>
      <c r="D448" s="16" t="str">
        <f t="array" ref="D448">IF(B448="","---",IFERROR(
   _xlfn.PERCENTILE.INC(
      IF((tabDados[Descrição Padronizada]=B448)*(tabDados[Valor Unitário]&lt;&gt;""),
         tabDados[Valor Unitário],""
      ),
   D$1),
   _xlfn.MAXIFS(tabDados[Valor Unitário],tabDados[Descrição Padronizada],B448)
))</f>
        <v>---</v>
      </c>
      <c r="E448" s="16" t="str">
        <f>IF(OR(B448="",B448="---"),"---",
   IFERROR(AVERAGEIFS(tabDados[Valor Unitário],tabDados[Descrição Padronizada],B448,tabDados[Valor Unitário],"&gt;="&amp;C448,tabDados[Valor Unitário],"&lt;="&amp;D448),AVERAGE(C448,D448))
)</f>
        <v>---</v>
      </c>
      <c r="F448" s="12" t="str">
        <f t="array" ref="F448">IF(OR(B448="",B448="---"),"---",TRUNC(IFERROR(MODE(IF((tabDados[Descrição Padronizada]=B448)*(tabDados[Vida Útil (meses)]&lt;&gt;""),tabDados[Vida Útil (meses)],"-")),AVERAGEIFS(tabDados[Vida Útil (meses)],tabDados[Descrição Padronizada],B448))+0.5))</f>
        <v>---</v>
      </c>
      <c r="G448" s="13" t="str">
        <f>IF(OR(B448="",B448="---"),"---",TRUNC(IFERROR(AVERAGEIFS(tabDados[Manutenção (%)],tabDados[Descrição Padronizada],B448,tabDados[Manutenção (%)],"&gt;"&amp;0),0)*10000)/10000)</f>
        <v>---</v>
      </c>
      <c r="H448" s="24" t="str">
        <f>IF(OR(B448="---",B448=""),"---",COUNTIF(tabDados[[#All],[Descrição Padronizada]],B448))</f>
        <v>---</v>
      </c>
      <c r="I448" s="24" t="s">
        <v>20</v>
      </c>
    </row>
    <row r="449" spans="1:9" hidden="1" x14ac:dyDescent="0.35">
      <c r="A449" s="15">
        <v>447</v>
      </c>
      <c r="C449" s="16" t="str">
        <f t="array" ref="C449">IF(B449="","---",IFERROR(
   _xlfn.PERCENTILE.INC(
      IF((tabDados[Descrição Padronizada]=B449)*(tabDados[Valor Unitário]&lt;&gt;""),
         tabDados[Valor Unitário],""
      ),
   C$1),
   _xlfn.MINIFS(tabDados[Valor Unitário],tabDados[Descrição Padronizada],B449)
))</f>
        <v>---</v>
      </c>
      <c r="D449" s="16" t="str">
        <f t="array" ref="D449">IF(B449="","---",IFERROR(
   _xlfn.PERCENTILE.INC(
      IF((tabDados[Descrição Padronizada]=B449)*(tabDados[Valor Unitário]&lt;&gt;""),
         tabDados[Valor Unitário],""
      ),
   D$1),
   _xlfn.MAXIFS(tabDados[Valor Unitário],tabDados[Descrição Padronizada],B449)
))</f>
        <v>---</v>
      </c>
      <c r="E449" s="16" t="str">
        <f>IF(OR(B449="",B449="---"),"---",
   IFERROR(AVERAGEIFS(tabDados[Valor Unitário],tabDados[Descrição Padronizada],B449,tabDados[Valor Unitário],"&gt;="&amp;C449,tabDados[Valor Unitário],"&lt;="&amp;D449),AVERAGE(C449,D449))
)</f>
        <v>---</v>
      </c>
      <c r="F449" s="12" t="str">
        <f t="array" ref="F449">IF(OR(B449="",B449="---"),"---",TRUNC(IFERROR(MODE(IF((tabDados[Descrição Padronizada]=B449)*(tabDados[Vida Útil (meses)]&lt;&gt;""),tabDados[Vida Útil (meses)],"-")),AVERAGEIFS(tabDados[Vida Útil (meses)],tabDados[Descrição Padronizada],B449))+0.5))</f>
        <v>---</v>
      </c>
      <c r="G449" s="13" t="str">
        <f>IF(OR(B449="",B449="---"),"---",TRUNC(IFERROR(AVERAGEIFS(tabDados[Manutenção (%)],tabDados[Descrição Padronizada],B449,tabDados[Manutenção (%)],"&gt;"&amp;0),0)*10000)/10000)</f>
        <v>---</v>
      </c>
      <c r="H449" s="24" t="str">
        <f>IF(OR(B449="---",B449=""),"---",COUNTIF(tabDados[[#All],[Descrição Padronizada]],B449))</f>
        <v>---</v>
      </c>
      <c r="I449" s="24" t="s">
        <v>20</v>
      </c>
    </row>
    <row r="450" spans="1:9" hidden="1" x14ac:dyDescent="0.35">
      <c r="A450" s="15">
        <v>448</v>
      </c>
      <c r="C450" s="16" t="str">
        <f t="array" ref="C450">IF(B450="","---",IFERROR(
   _xlfn.PERCENTILE.INC(
      IF((tabDados[Descrição Padronizada]=B450)*(tabDados[Valor Unitário]&lt;&gt;""),
         tabDados[Valor Unitário],""
      ),
   C$1),
   _xlfn.MINIFS(tabDados[Valor Unitário],tabDados[Descrição Padronizada],B450)
))</f>
        <v>---</v>
      </c>
      <c r="D450" s="16" t="str">
        <f t="array" ref="D450">IF(B450="","---",IFERROR(
   _xlfn.PERCENTILE.INC(
      IF((tabDados[Descrição Padronizada]=B450)*(tabDados[Valor Unitário]&lt;&gt;""),
         tabDados[Valor Unitário],""
      ),
   D$1),
   _xlfn.MAXIFS(tabDados[Valor Unitário],tabDados[Descrição Padronizada],B450)
))</f>
        <v>---</v>
      </c>
      <c r="E450" s="16" t="str">
        <f>IF(OR(B450="",B450="---"),"---",
   IFERROR(AVERAGEIFS(tabDados[Valor Unitário],tabDados[Descrição Padronizada],B450,tabDados[Valor Unitário],"&gt;="&amp;C450,tabDados[Valor Unitário],"&lt;="&amp;D450),AVERAGE(C450,D450))
)</f>
        <v>---</v>
      </c>
      <c r="F450" s="12" t="str">
        <f t="array" ref="F450">IF(OR(B450="",B450="---"),"---",TRUNC(IFERROR(MODE(IF((tabDados[Descrição Padronizada]=B450)*(tabDados[Vida Útil (meses)]&lt;&gt;""),tabDados[Vida Útil (meses)],"-")),AVERAGEIFS(tabDados[Vida Útil (meses)],tabDados[Descrição Padronizada],B450))+0.5))</f>
        <v>---</v>
      </c>
      <c r="G450" s="13" t="str">
        <f>IF(OR(B450="",B450="---"),"---",TRUNC(IFERROR(AVERAGEIFS(tabDados[Manutenção (%)],tabDados[Descrição Padronizada],B450,tabDados[Manutenção (%)],"&gt;"&amp;0),0)*10000)/10000)</f>
        <v>---</v>
      </c>
      <c r="H450" s="24" t="str">
        <f>IF(OR(B450="---",B450=""),"---",COUNTIF(tabDados[[#All],[Descrição Padronizada]],B450))</f>
        <v>---</v>
      </c>
      <c r="I450" s="24" t="s">
        <v>20</v>
      </c>
    </row>
    <row r="451" spans="1:9" hidden="1" x14ac:dyDescent="0.35">
      <c r="A451" s="15">
        <v>449</v>
      </c>
      <c r="C451" s="16" t="str">
        <f t="array" ref="C451">IF(B451="","---",IFERROR(
   _xlfn.PERCENTILE.INC(
      IF((tabDados[Descrição Padronizada]=B451)*(tabDados[Valor Unitário]&lt;&gt;""),
         tabDados[Valor Unitário],""
      ),
   C$1),
   _xlfn.MINIFS(tabDados[Valor Unitário],tabDados[Descrição Padronizada],B451)
))</f>
        <v>---</v>
      </c>
      <c r="D451" s="16" t="str">
        <f t="array" ref="D451">IF(B451="","---",IFERROR(
   _xlfn.PERCENTILE.INC(
      IF((tabDados[Descrição Padronizada]=B451)*(tabDados[Valor Unitário]&lt;&gt;""),
         tabDados[Valor Unitário],""
      ),
   D$1),
   _xlfn.MAXIFS(tabDados[Valor Unitário],tabDados[Descrição Padronizada],B451)
))</f>
        <v>---</v>
      </c>
      <c r="E451" s="16" t="str">
        <f>IF(OR(B451="",B451="---"),"---",
   IFERROR(AVERAGEIFS(tabDados[Valor Unitário],tabDados[Descrição Padronizada],B451,tabDados[Valor Unitário],"&gt;="&amp;C451,tabDados[Valor Unitário],"&lt;="&amp;D451),AVERAGE(C451,D451))
)</f>
        <v>---</v>
      </c>
      <c r="F451" s="12" t="str">
        <f t="array" ref="F451">IF(OR(B451="",B451="---"),"---",TRUNC(IFERROR(MODE(IF((tabDados[Descrição Padronizada]=B451)*(tabDados[Vida Útil (meses)]&lt;&gt;""),tabDados[Vida Útil (meses)],"-")),AVERAGEIFS(tabDados[Vida Útil (meses)],tabDados[Descrição Padronizada],B451))+0.5))</f>
        <v>---</v>
      </c>
      <c r="G451" s="13" t="str">
        <f>IF(OR(B451="",B451="---"),"---",TRUNC(IFERROR(AVERAGEIFS(tabDados[Manutenção (%)],tabDados[Descrição Padronizada],B451,tabDados[Manutenção (%)],"&gt;"&amp;0),0)*10000)/10000)</f>
        <v>---</v>
      </c>
      <c r="H451" s="24" t="str">
        <f>IF(OR(B451="---",B451=""),"---",COUNTIF(tabDados[[#All],[Descrição Padronizada]],B451))</f>
        <v>---</v>
      </c>
      <c r="I451" s="24" t="s">
        <v>20</v>
      </c>
    </row>
    <row r="452" spans="1:9" hidden="1" x14ac:dyDescent="0.35">
      <c r="A452" s="15">
        <v>450</v>
      </c>
      <c r="C452" s="16" t="str">
        <f t="array" ref="C452">IF(B452="","---",IFERROR(
   _xlfn.PERCENTILE.INC(
      IF((tabDados[Descrição Padronizada]=B452)*(tabDados[Valor Unitário]&lt;&gt;""),
         tabDados[Valor Unitário],""
      ),
   C$1),
   _xlfn.MINIFS(tabDados[Valor Unitário],tabDados[Descrição Padronizada],B452)
))</f>
        <v>---</v>
      </c>
      <c r="D452" s="16" t="str">
        <f t="array" ref="D452">IF(B452="","---",IFERROR(
   _xlfn.PERCENTILE.INC(
      IF((tabDados[Descrição Padronizada]=B452)*(tabDados[Valor Unitário]&lt;&gt;""),
         tabDados[Valor Unitário],""
      ),
   D$1),
   _xlfn.MAXIFS(tabDados[Valor Unitário],tabDados[Descrição Padronizada],B452)
))</f>
        <v>---</v>
      </c>
      <c r="E452" s="16" t="str">
        <f>IF(OR(B452="",B452="---"),"---",
   IFERROR(AVERAGEIFS(tabDados[Valor Unitário],tabDados[Descrição Padronizada],B452,tabDados[Valor Unitário],"&gt;="&amp;C452,tabDados[Valor Unitário],"&lt;="&amp;D452),AVERAGE(C452,D452))
)</f>
        <v>---</v>
      </c>
      <c r="F452" s="12" t="str">
        <f t="array" ref="F452">IF(OR(B452="",B452="---"),"---",TRUNC(IFERROR(MODE(IF((tabDados[Descrição Padronizada]=B452)*(tabDados[Vida Útil (meses)]&lt;&gt;""),tabDados[Vida Útil (meses)],"-")),AVERAGEIFS(tabDados[Vida Útil (meses)],tabDados[Descrição Padronizada],B452))+0.5))</f>
        <v>---</v>
      </c>
      <c r="G452" s="13" t="str">
        <f>IF(OR(B452="",B452="---"),"---",TRUNC(IFERROR(AVERAGEIFS(tabDados[Manutenção (%)],tabDados[Descrição Padronizada],B452,tabDados[Manutenção (%)],"&gt;"&amp;0),0)*10000)/10000)</f>
        <v>---</v>
      </c>
      <c r="H452" s="24" t="str">
        <f>IF(OR(B452="---",B452=""),"---",COUNTIF(tabDados[[#All],[Descrição Padronizada]],B452))</f>
        <v>---</v>
      </c>
      <c r="I452" s="24" t="s">
        <v>20</v>
      </c>
    </row>
    <row r="453" spans="1:9" hidden="1" x14ac:dyDescent="0.35">
      <c r="A453" s="15">
        <v>451</v>
      </c>
      <c r="C453" s="16" t="str">
        <f t="array" ref="C453">IF(B453="","---",IFERROR(
   _xlfn.PERCENTILE.INC(
      IF((tabDados[Descrição Padronizada]=B453)*(tabDados[Valor Unitário]&lt;&gt;""),
         tabDados[Valor Unitário],""
      ),
   C$1),
   _xlfn.MINIFS(tabDados[Valor Unitário],tabDados[Descrição Padronizada],B453)
))</f>
        <v>---</v>
      </c>
      <c r="D453" s="16" t="str">
        <f t="array" ref="D453">IF(B453="","---",IFERROR(
   _xlfn.PERCENTILE.INC(
      IF((tabDados[Descrição Padronizada]=B453)*(tabDados[Valor Unitário]&lt;&gt;""),
         tabDados[Valor Unitário],""
      ),
   D$1),
   _xlfn.MAXIFS(tabDados[Valor Unitário],tabDados[Descrição Padronizada],B453)
))</f>
        <v>---</v>
      </c>
      <c r="E453" s="16" t="str">
        <f>IF(OR(B453="",B453="---"),"---",
   IFERROR(AVERAGEIFS(tabDados[Valor Unitário],tabDados[Descrição Padronizada],B453,tabDados[Valor Unitário],"&gt;="&amp;C453,tabDados[Valor Unitário],"&lt;="&amp;D453),AVERAGE(C453,D453))
)</f>
        <v>---</v>
      </c>
      <c r="F453" s="12" t="str">
        <f t="array" ref="F453">IF(OR(B453="",B453="---"),"---",TRUNC(IFERROR(MODE(IF((tabDados[Descrição Padronizada]=B453)*(tabDados[Vida Útil (meses)]&lt;&gt;""),tabDados[Vida Útil (meses)],"-")),AVERAGEIFS(tabDados[Vida Útil (meses)],tabDados[Descrição Padronizada],B453))+0.5))</f>
        <v>---</v>
      </c>
      <c r="G453" s="13" t="str">
        <f>IF(OR(B453="",B453="---"),"---",TRUNC(IFERROR(AVERAGEIFS(tabDados[Manutenção (%)],tabDados[Descrição Padronizada],B453,tabDados[Manutenção (%)],"&gt;"&amp;0),0)*10000)/10000)</f>
        <v>---</v>
      </c>
      <c r="H453" s="24" t="str">
        <f>IF(OR(B453="---",B453=""),"---",COUNTIF(tabDados[[#All],[Descrição Padronizada]],B453))</f>
        <v>---</v>
      </c>
      <c r="I453" s="24" t="s">
        <v>20</v>
      </c>
    </row>
    <row r="454" spans="1:9" hidden="1" x14ac:dyDescent="0.35">
      <c r="A454" s="15">
        <v>452</v>
      </c>
      <c r="C454" s="16" t="str">
        <f t="array" ref="C454">IF(B454="","---",IFERROR(
   _xlfn.PERCENTILE.INC(
      IF((tabDados[Descrição Padronizada]=B454)*(tabDados[Valor Unitário]&lt;&gt;""),
         tabDados[Valor Unitário],""
      ),
   C$1),
   _xlfn.MINIFS(tabDados[Valor Unitário],tabDados[Descrição Padronizada],B454)
))</f>
        <v>---</v>
      </c>
      <c r="D454" s="16" t="str">
        <f t="array" ref="D454">IF(B454="","---",IFERROR(
   _xlfn.PERCENTILE.INC(
      IF((tabDados[Descrição Padronizada]=B454)*(tabDados[Valor Unitário]&lt;&gt;""),
         tabDados[Valor Unitário],""
      ),
   D$1),
   _xlfn.MAXIFS(tabDados[Valor Unitário],tabDados[Descrição Padronizada],B454)
))</f>
        <v>---</v>
      </c>
      <c r="E454" s="16" t="str">
        <f>IF(OR(B454="",B454="---"),"---",
   IFERROR(AVERAGEIFS(tabDados[Valor Unitário],tabDados[Descrição Padronizada],B454,tabDados[Valor Unitário],"&gt;="&amp;C454,tabDados[Valor Unitário],"&lt;="&amp;D454),AVERAGE(C454,D454))
)</f>
        <v>---</v>
      </c>
      <c r="F454" s="12" t="str">
        <f t="array" ref="F454">IF(OR(B454="",B454="---"),"---",TRUNC(IFERROR(MODE(IF((tabDados[Descrição Padronizada]=B454)*(tabDados[Vida Útil (meses)]&lt;&gt;""),tabDados[Vida Útil (meses)],"-")),AVERAGEIFS(tabDados[Vida Útil (meses)],tabDados[Descrição Padronizada],B454))+0.5))</f>
        <v>---</v>
      </c>
      <c r="G454" s="13" t="str">
        <f>IF(OR(B454="",B454="---"),"---",TRUNC(IFERROR(AVERAGEIFS(tabDados[Manutenção (%)],tabDados[Descrição Padronizada],B454,tabDados[Manutenção (%)],"&gt;"&amp;0),0)*10000)/10000)</f>
        <v>---</v>
      </c>
      <c r="H454" s="24" t="str">
        <f>IF(OR(B454="---",B454=""),"---",COUNTIF(tabDados[[#All],[Descrição Padronizada]],B454))</f>
        <v>---</v>
      </c>
      <c r="I454" s="24" t="s">
        <v>20</v>
      </c>
    </row>
    <row r="455" spans="1:9" hidden="1" x14ac:dyDescent="0.35">
      <c r="A455" s="15">
        <v>453</v>
      </c>
      <c r="C455" s="16" t="str">
        <f t="array" ref="C455">IF(B455="","---",IFERROR(
   _xlfn.PERCENTILE.INC(
      IF((tabDados[Descrição Padronizada]=B455)*(tabDados[Valor Unitário]&lt;&gt;""),
         tabDados[Valor Unitário],""
      ),
   C$1),
   _xlfn.MINIFS(tabDados[Valor Unitário],tabDados[Descrição Padronizada],B455)
))</f>
        <v>---</v>
      </c>
      <c r="D455" s="16" t="str">
        <f t="array" ref="D455">IF(B455="","---",IFERROR(
   _xlfn.PERCENTILE.INC(
      IF((tabDados[Descrição Padronizada]=B455)*(tabDados[Valor Unitário]&lt;&gt;""),
         tabDados[Valor Unitário],""
      ),
   D$1),
   _xlfn.MAXIFS(tabDados[Valor Unitário],tabDados[Descrição Padronizada],B455)
))</f>
        <v>---</v>
      </c>
      <c r="E455" s="16" t="str">
        <f>IF(OR(B455="",B455="---"),"---",
   IFERROR(AVERAGEIFS(tabDados[Valor Unitário],tabDados[Descrição Padronizada],B455,tabDados[Valor Unitário],"&gt;="&amp;C455,tabDados[Valor Unitário],"&lt;="&amp;D455),AVERAGE(C455,D455))
)</f>
        <v>---</v>
      </c>
      <c r="F455" s="12" t="str">
        <f t="array" ref="F455">IF(OR(B455="",B455="---"),"---",TRUNC(IFERROR(MODE(IF((tabDados[Descrição Padronizada]=B455)*(tabDados[Vida Útil (meses)]&lt;&gt;""),tabDados[Vida Útil (meses)],"-")),AVERAGEIFS(tabDados[Vida Útil (meses)],tabDados[Descrição Padronizada],B455))+0.5))</f>
        <v>---</v>
      </c>
      <c r="G455" s="13" t="str">
        <f>IF(OR(B455="",B455="---"),"---",TRUNC(IFERROR(AVERAGEIFS(tabDados[Manutenção (%)],tabDados[Descrição Padronizada],B455,tabDados[Manutenção (%)],"&gt;"&amp;0),0)*10000)/10000)</f>
        <v>---</v>
      </c>
      <c r="H455" s="24" t="str">
        <f>IF(OR(B455="---",B455=""),"---",COUNTIF(tabDados[[#All],[Descrição Padronizada]],B455))</f>
        <v>---</v>
      </c>
      <c r="I455" s="24" t="s">
        <v>20</v>
      </c>
    </row>
    <row r="456" spans="1:9" hidden="1" x14ac:dyDescent="0.35">
      <c r="A456" s="15">
        <v>454</v>
      </c>
      <c r="C456" s="16" t="str">
        <f t="array" ref="C456">IF(B456="","---",IFERROR(
   _xlfn.PERCENTILE.INC(
      IF((tabDados[Descrição Padronizada]=B456)*(tabDados[Valor Unitário]&lt;&gt;""),
         tabDados[Valor Unitário],""
      ),
   C$1),
   _xlfn.MINIFS(tabDados[Valor Unitário],tabDados[Descrição Padronizada],B456)
))</f>
        <v>---</v>
      </c>
      <c r="D456" s="16" t="str">
        <f t="array" ref="D456">IF(B456="","---",IFERROR(
   _xlfn.PERCENTILE.INC(
      IF((tabDados[Descrição Padronizada]=B456)*(tabDados[Valor Unitário]&lt;&gt;""),
         tabDados[Valor Unitário],""
      ),
   D$1),
   _xlfn.MAXIFS(tabDados[Valor Unitário],tabDados[Descrição Padronizada],B456)
))</f>
        <v>---</v>
      </c>
      <c r="E456" s="16" t="str">
        <f>IF(OR(B456="",B456="---"),"---",
   IFERROR(AVERAGEIFS(tabDados[Valor Unitário],tabDados[Descrição Padronizada],B456,tabDados[Valor Unitário],"&gt;="&amp;C456,tabDados[Valor Unitário],"&lt;="&amp;D456),AVERAGE(C456,D456))
)</f>
        <v>---</v>
      </c>
      <c r="F456" s="12" t="str">
        <f t="array" ref="F456">IF(OR(B456="",B456="---"),"---",TRUNC(IFERROR(MODE(IF((tabDados[Descrição Padronizada]=B456)*(tabDados[Vida Útil (meses)]&lt;&gt;""),tabDados[Vida Útil (meses)],"-")),AVERAGEIFS(tabDados[Vida Útil (meses)],tabDados[Descrição Padronizada],B456))+0.5))</f>
        <v>---</v>
      </c>
      <c r="G456" s="13" t="str">
        <f>IF(OR(B456="",B456="---"),"---",TRUNC(IFERROR(AVERAGEIFS(tabDados[Manutenção (%)],tabDados[Descrição Padronizada],B456,tabDados[Manutenção (%)],"&gt;"&amp;0),0)*10000)/10000)</f>
        <v>---</v>
      </c>
      <c r="H456" s="24" t="str">
        <f>IF(OR(B456="---",B456=""),"---",COUNTIF(tabDados[[#All],[Descrição Padronizada]],B456))</f>
        <v>---</v>
      </c>
      <c r="I456" s="24" t="s">
        <v>20</v>
      </c>
    </row>
    <row r="457" spans="1:9" hidden="1" x14ac:dyDescent="0.35">
      <c r="A457" s="15">
        <v>455</v>
      </c>
      <c r="C457" s="16" t="str">
        <f t="array" ref="C457">IF(B457="","---",IFERROR(
   _xlfn.PERCENTILE.INC(
      IF((tabDados[Descrição Padronizada]=B457)*(tabDados[Valor Unitário]&lt;&gt;""),
         tabDados[Valor Unitário],""
      ),
   C$1),
   _xlfn.MINIFS(tabDados[Valor Unitário],tabDados[Descrição Padronizada],B457)
))</f>
        <v>---</v>
      </c>
      <c r="D457" s="16" t="str">
        <f t="array" ref="D457">IF(B457="","---",IFERROR(
   _xlfn.PERCENTILE.INC(
      IF((tabDados[Descrição Padronizada]=B457)*(tabDados[Valor Unitário]&lt;&gt;""),
         tabDados[Valor Unitário],""
      ),
   D$1),
   _xlfn.MAXIFS(tabDados[Valor Unitário],tabDados[Descrição Padronizada],B457)
))</f>
        <v>---</v>
      </c>
      <c r="E457" s="16" t="str">
        <f>IF(OR(B457="",B457="---"),"---",
   IFERROR(AVERAGEIFS(tabDados[Valor Unitário],tabDados[Descrição Padronizada],B457,tabDados[Valor Unitário],"&gt;="&amp;C457,tabDados[Valor Unitário],"&lt;="&amp;D457),AVERAGE(C457,D457))
)</f>
        <v>---</v>
      </c>
      <c r="F457" s="12" t="str">
        <f t="array" ref="F457">IF(OR(B457="",B457="---"),"---",TRUNC(IFERROR(MODE(IF((tabDados[Descrição Padronizada]=B457)*(tabDados[Vida Útil (meses)]&lt;&gt;""),tabDados[Vida Útil (meses)],"-")),AVERAGEIFS(tabDados[Vida Útil (meses)],tabDados[Descrição Padronizada],B457))+0.5))</f>
        <v>---</v>
      </c>
      <c r="G457" s="13" t="str">
        <f>IF(OR(B457="",B457="---"),"---",TRUNC(IFERROR(AVERAGEIFS(tabDados[Manutenção (%)],tabDados[Descrição Padronizada],B457,tabDados[Manutenção (%)],"&gt;"&amp;0),0)*10000)/10000)</f>
        <v>---</v>
      </c>
      <c r="H457" s="24" t="str">
        <f>IF(OR(B457="---",B457=""),"---",COUNTIF(tabDados[[#All],[Descrição Padronizada]],B457))</f>
        <v>---</v>
      </c>
      <c r="I457" s="24" t="s">
        <v>20</v>
      </c>
    </row>
    <row r="458" spans="1:9" hidden="1" x14ac:dyDescent="0.35">
      <c r="A458" s="15">
        <v>456</v>
      </c>
      <c r="C458" s="16" t="str">
        <f t="array" ref="C458">IF(B458="","---",IFERROR(
   _xlfn.PERCENTILE.INC(
      IF((tabDados[Descrição Padronizada]=B458)*(tabDados[Valor Unitário]&lt;&gt;""),
         tabDados[Valor Unitário],""
      ),
   C$1),
   _xlfn.MINIFS(tabDados[Valor Unitário],tabDados[Descrição Padronizada],B458)
))</f>
        <v>---</v>
      </c>
      <c r="D458" s="16" t="str">
        <f t="array" ref="D458">IF(B458="","---",IFERROR(
   _xlfn.PERCENTILE.INC(
      IF((tabDados[Descrição Padronizada]=B458)*(tabDados[Valor Unitário]&lt;&gt;""),
         tabDados[Valor Unitário],""
      ),
   D$1),
   _xlfn.MAXIFS(tabDados[Valor Unitário],tabDados[Descrição Padronizada],B458)
))</f>
        <v>---</v>
      </c>
      <c r="E458" s="16" t="str">
        <f>IF(OR(B458="",B458="---"),"---",
   IFERROR(AVERAGEIFS(tabDados[Valor Unitário],tabDados[Descrição Padronizada],B458,tabDados[Valor Unitário],"&gt;="&amp;C458,tabDados[Valor Unitário],"&lt;="&amp;D458),AVERAGE(C458,D458))
)</f>
        <v>---</v>
      </c>
      <c r="F458" s="12" t="str">
        <f t="array" ref="F458">IF(OR(B458="",B458="---"),"---",TRUNC(IFERROR(MODE(IF((tabDados[Descrição Padronizada]=B458)*(tabDados[Vida Útil (meses)]&lt;&gt;""),tabDados[Vida Útil (meses)],"-")),AVERAGEIFS(tabDados[Vida Útil (meses)],tabDados[Descrição Padronizada],B458))+0.5))</f>
        <v>---</v>
      </c>
      <c r="G458" s="13" t="str">
        <f>IF(OR(B458="",B458="---"),"---",TRUNC(IFERROR(AVERAGEIFS(tabDados[Manutenção (%)],tabDados[Descrição Padronizada],B458,tabDados[Manutenção (%)],"&gt;"&amp;0),0)*10000)/10000)</f>
        <v>---</v>
      </c>
      <c r="H458" s="24" t="str">
        <f>IF(OR(B458="---",B458=""),"---",COUNTIF(tabDados[[#All],[Descrição Padronizada]],B458))</f>
        <v>---</v>
      </c>
      <c r="I458" s="24" t="s">
        <v>20</v>
      </c>
    </row>
    <row r="459" spans="1:9" hidden="1" x14ac:dyDescent="0.35">
      <c r="A459" s="15">
        <v>457</v>
      </c>
      <c r="C459" s="16" t="str">
        <f t="array" ref="C459">IF(B459="","---",IFERROR(
   _xlfn.PERCENTILE.INC(
      IF((tabDados[Descrição Padronizada]=B459)*(tabDados[Valor Unitário]&lt;&gt;""),
         tabDados[Valor Unitário],""
      ),
   C$1),
   _xlfn.MINIFS(tabDados[Valor Unitário],tabDados[Descrição Padronizada],B459)
))</f>
        <v>---</v>
      </c>
      <c r="D459" s="16" t="str">
        <f t="array" ref="D459">IF(B459="","---",IFERROR(
   _xlfn.PERCENTILE.INC(
      IF((tabDados[Descrição Padronizada]=B459)*(tabDados[Valor Unitário]&lt;&gt;""),
         tabDados[Valor Unitário],""
      ),
   D$1),
   _xlfn.MAXIFS(tabDados[Valor Unitário],tabDados[Descrição Padronizada],B459)
))</f>
        <v>---</v>
      </c>
      <c r="E459" s="16" t="str">
        <f>IF(OR(B459="",B459="---"),"---",
   IFERROR(AVERAGEIFS(tabDados[Valor Unitário],tabDados[Descrição Padronizada],B459,tabDados[Valor Unitário],"&gt;="&amp;C459,tabDados[Valor Unitário],"&lt;="&amp;D459),AVERAGE(C459,D459))
)</f>
        <v>---</v>
      </c>
      <c r="F459" s="12" t="str">
        <f t="array" ref="F459">IF(OR(B459="",B459="---"),"---",TRUNC(IFERROR(MODE(IF((tabDados[Descrição Padronizada]=B459)*(tabDados[Vida Útil (meses)]&lt;&gt;""),tabDados[Vida Útil (meses)],"-")),AVERAGEIFS(tabDados[Vida Útil (meses)],tabDados[Descrição Padronizada],B459))+0.5))</f>
        <v>---</v>
      </c>
      <c r="G459" s="13" t="str">
        <f>IF(OR(B459="",B459="---"),"---",TRUNC(IFERROR(AVERAGEIFS(tabDados[Manutenção (%)],tabDados[Descrição Padronizada],B459,tabDados[Manutenção (%)],"&gt;"&amp;0),0)*10000)/10000)</f>
        <v>---</v>
      </c>
      <c r="H459" s="24" t="str">
        <f>IF(OR(B459="---",B459=""),"---",COUNTIF(tabDados[[#All],[Descrição Padronizada]],B459))</f>
        <v>---</v>
      </c>
      <c r="I459" s="24" t="s">
        <v>20</v>
      </c>
    </row>
    <row r="460" spans="1:9" hidden="1" x14ac:dyDescent="0.35">
      <c r="A460" s="15">
        <v>458</v>
      </c>
      <c r="C460" s="16" t="str">
        <f t="array" ref="C460">IF(B460="","---",IFERROR(
   _xlfn.PERCENTILE.INC(
      IF((tabDados[Descrição Padronizada]=B460)*(tabDados[Valor Unitário]&lt;&gt;""),
         tabDados[Valor Unitário],""
      ),
   C$1),
   _xlfn.MINIFS(tabDados[Valor Unitário],tabDados[Descrição Padronizada],B460)
))</f>
        <v>---</v>
      </c>
      <c r="D460" s="16" t="str">
        <f t="array" ref="D460">IF(B460="","---",IFERROR(
   _xlfn.PERCENTILE.INC(
      IF((tabDados[Descrição Padronizada]=B460)*(tabDados[Valor Unitário]&lt;&gt;""),
         tabDados[Valor Unitário],""
      ),
   D$1),
   _xlfn.MAXIFS(tabDados[Valor Unitário],tabDados[Descrição Padronizada],B460)
))</f>
        <v>---</v>
      </c>
      <c r="E460" s="16" t="str">
        <f>IF(OR(B460="",B460="---"),"---",
   IFERROR(AVERAGEIFS(tabDados[Valor Unitário],tabDados[Descrição Padronizada],B460,tabDados[Valor Unitário],"&gt;="&amp;C460,tabDados[Valor Unitário],"&lt;="&amp;D460),AVERAGE(C460,D460))
)</f>
        <v>---</v>
      </c>
      <c r="F460" s="12" t="str">
        <f t="array" ref="F460">IF(OR(B460="",B460="---"),"---",TRUNC(IFERROR(MODE(IF((tabDados[Descrição Padronizada]=B460)*(tabDados[Vida Útil (meses)]&lt;&gt;""),tabDados[Vida Útil (meses)],"-")),AVERAGEIFS(tabDados[Vida Útil (meses)],tabDados[Descrição Padronizada],B460))+0.5))</f>
        <v>---</v>
      </c>
      <c r="G460" s="13" t="str">
        <f>IF(OR(B460="",B460="---"),"---",TRUNC(IFERROR(AVERAGEIFS(tabDados[Manutenção (%)],tabDados[Descrição Padronizada],B460,tabDados[Manutenção (%)],"&gt;"&amp;0),0)*10000)/10000)</f>
        <v>---</v>
      </c>
      <c r="H460" s="24" t="str">
        <f>IF(OR(B460="---",B460=""),"---",COUNTIF(tabDados[[#All],[Descrição Padronizada]],B460))</f>
        <v>---</v>
      </c>
      <c r="I460" s="24" t="s">
        <v>20</v>
      </c>
    </row>
    <row r="461" spans="1:9" hidden="1" x14ac:dyDescent="0.35">
      <c r="A461" s="15">
        <v>459</v>
      </c>
      <c r="C461" s="16" t="str">
        <f t="array" ref="C461">IF(B461="","---",IFERROR(
   _xlfn.PERCENTILE.INC(
      IF((tabDados[Descrição Padronizada]=B461)*(tabDados[Valor Unitário]&lt;&gt;""),
         tabDados[Valor Unitário],""
      ),
   C$1),
   _xlfn.MINIFS(tabDados[Valor Unitário],tabDados[Descrição Padronizada],B461)
))</f>
        <v>---</v>
      </c>
      <c r="D461" s="16" t="str">
        <f t="array" ref="D461">IF(B461="","---",IFERROR(
   _xlfn.PERCENTILE.INC(
      IF((tabDados[Descrição Padronizada]=B461)*(tabDados[Valor Unitário]&lt;&gt;""),
         tabDados[Valor Unitário],""
      ),
   D$1),
   _xlfn.MAXIFS(tabDados[Valor Unitário],tabDados[Descrição Padronizada],B461)
))</f>
        <v>---</v>
      </c>
      <c r="E461" s="16" t="str">
        <f>IF(OR(B461="",B461="---"),"---",
   IFERROR(AVERAGEIFS(tabDados[Valor Unitário],tabDados[Descrição Padronizada],B461,tabDados[Valor Unitário],"&gt;="&amp;C461,tabDados[Valor Unitário],"&lt;="&amp;D461),AVERAGE(C461,D461))
)</f>
        <v>---</v>
      </c>
      <c r="F461" s="12" t="str">
        <f t="array" ref="F461">IF(OR(B461="",B461="---"),"---",TRUNC(IFERROR(MODE(IF((tabDados[Descrição Padronizada]=B461)*(tabDados[Vida Útil (meses)]&lt;&gt;""),tabDados[Vida Útil (meses)],"-")),AVERAGEIFS(tabDados[Vida Útil (meses)],tabDados[Descrição Padronizada],B461))+0.5))</f>
        <v>---</v>
      </c>
      <c r="G461" s="13" t="str">
        <f>IF(OR(B461="",B461="---"),"---",TRUNC(IFERROR(AVERAGEIFS(tabDados[Manutenção (%)],tabDados[Descrição Padronizada],B461,tabDados[Manutenção (%)],"&gt;"&amp;0),0)*10000)/10000)</f>
        <v>---</v>
      </c>
      <c r="H461" s="24" t="str">
        <f>IF(OR(B461="---",B461=""),"---",COUNTIF(tabDados[[#All],[Descrição Padronizada]],B461))</f>
        <v>---</v>
      </c>
      <c r="I461" s="24" t="s">
        <v>20</v>
      </c>
    </row>
    <row r="462" spans="1:9" hidden="1" x14ac:dyDescent="0.35">
      <c r="A462" s="15">
        <v>460</v>
      </c>
      <c r="C462" s="16" t="str">
        <f t="array" ref="C462">IF(B462="","---",IFERROR(
   _xlfn.PERCENTILE.INC(
      IF((tabDados[Descrição Padronizada]=B462)*(tabDados[Valor Unitário]&lt;&gt;""),
         tabDados[Valor Unitário],""
      ),
   C$1),
   _xlfn.MINIFS(tabDados[Valor Unitário],tabDados[Descrição Padronizada],B462)
))</f>
        <v>---</v>
      </c>
      <c r="D462" s="16" t="str">
        <f t="array" ref="D462">IF(B462="","---",IFERROR(
   _xlfn.PERCENTILE.INC(
      IF((tabDados[Descrição Padronizada]=B462)*(tabDados[Valor Unitário]&lt;&gt;""),
         tabDados[Valor Unitário],""
      ),
   D$1),
   _xlfn.MAXIFS(tabDados[Valor Unitário],tabDados[Descrição Padronizada],B462)
))</f>
        <v>---</v>
      </c>
      <c r="E462" s="16" t="str">
        <f>IF(OR(B462="",B462="---"),"---",
   IFERROR(AVERAGEIFS(tabDados[Valor Unitário],tabDados[Descrição Padronizada],B462,tabDados[Valor Unitário],"&gt;="&amp;C462,tabDados[Valor Unitário],"&lt;="&amp;D462),AVERAGE(C462,D462))
)</f>
        <v>---</v>
      </c>
      <c r="F462" s="12" t="str">
        <f t="array" ref="F462">IF(OR(B462="",B462="---"),"---",TRUNC(IFERROR(MODE(IF((tabDados[Descrição Padronizada]=B462)*(tabDados[Vida Útil (meses)]&lt;&gt;""),tabDados[Vida Útil (meses)],"-")),AVERAGEIFS(tabDados[Vida Útil (meses)],tabDados[Descrição Padronizada],B462))+0.5))</f>
        <v>---</v>
      </c>
      <c r="G462" s="13" t="str">
        <f>IF(OR(B462="",B462="---"),"---",TRUNC(IFERROR(AVERAGEIFS(tabDados[Manutenção (%)],tabDados[Descrição Padronizada],B462,tabDados[Manutenção (%)],"&gt;"&amp;0),0)*10000)/10000)</f>
        <v>---</v>
      </c>
      <c r="H462" s="24" t="str">
        <f>IF(OR(B462="---",B462=""),"---",COUNTIF(tabDados[[#All],[Descrição Padronizada]],B462))</f>
        <v>---</v>
      </c>
      <c r="I462" s="24" t="s">
        <v>20</v>
      </c>
    </row>
    <row r="463" spans="1:9" hidden="1" x14ac:dyDescent="0.35">
      <c r="A463" s="15">
        <v>461</v>
      </c>
      <c r="C463" s="16" t="str">
        <f t="array" ref="C463">IF(B463="","---",IFERROR(
   _xlfn.PERCENTILE.INC(
      IF((tabDados[Descrição Padronizada]=B463)*(tabDados[Valor Unitário]&lt;&gt;""),
         tabDados[Valor Unitário],""
      ),
   C$1),
   _xlfn.MINIFS(tabDados[Valor Unitário],tabDados[Descrição Padronizada],B463)
))</f>
        <v>---</v>
      </c>
      <c r="D463" s="16" t="str">
        <f t="array" ref="D463">IF(B463="","---",IFERROR(
   _xlfn.PERCENTILE.INC(
      IF((tabDados[Descrição Padronizada]=B463)*(tabDados[Valor Unitário]&lt;&gt;""),
         tabDados[Valor Unitário],""
      ),
   D$1),
   _xlfn.MAXIFS(tabDados[Valor Unitário],tabDados[Descrição Padronizada],B463)
))</f>
        <v>---</v>
      </c>
      <c r="E463" s="16" t="str">
        <f>IF(OR(B463="",B463="---"),"---",
   IFERROR(AVERAGEIFS(tabDados[Valor Unitário],tabDados[Descrição Padronizada],B463,tabDados[Valor Unitário],"&gt;="&amp;C463,tabDados[Valor Unitário],"&lt;="&amp;D463),AVERAGE(C463,D463))
)</f>
        <v>---</v>
      </c>
      <c r="F463" s="12" t="str">
        <f t="array" ref="F463">IF(OR(B463="",B463="---"),"---",TRUNC(IFERROR(MODE(IF((tabDados[Descrição Padronizada]=B463)*(tabDados[Vida Útil (meses)]&lt;&gt;""),tabDados[Vida Útil (meses)],"-")),AVERAGEIFS(tabDados[Vida Útil (meses)],tabDados[Descrição Padronizada],B463))+0.5))</f>
        <v>---</v>
      </c>
      <c r="G463" s="13" t="str">
        <f>IF(OR(B463="",B463="---"),"---",TRUNC(IFERROR(AVERAGEIFS(tabDados[Manutenção (%)],tabDados[Descrição Padronizada],B463,tabDados[Manutenção (%)],"&gt;"&amp;0),0)*10000)/10000)</f>
        <v>---</v>
      </c>
      <c r="H463" s="24" t="str">
        <f>IF(OR(B463="---",B463=""),"---",COUNTIF(tabDados[[#All],[Descrição Padronizada]],B463))</f>
        <v>---</v>
      </c>
      <c r="I463" s="24" t="s">
        <v>20</v>
      </c>
    </row>
    <row r="464" spans="1:9" hidden="1" x14ac:dyDescent="0.35">
      <c r="A464" s="15">
        <v>462</v>
      </c>
      <c r="C464" s="16" t="str">
        <f t="array" ref="C464">IF(B464="","---",IFERROR(
   _xlfn.PERCENTILE.INC(
      IF((tabDados[Descrição Padronizada]=B464)*(tabDados[Valor Unitário]&lt;&gt;""),
         tabDados[Valor Unitário],""
      ),
   C$1),
   _xlfn.MINIFS(tabDados[Valor Unitário],tabDados[Descrição Padronizada],B464)
))</f>
        <v>---</v>
      </c>
      <c r="D464" s="16" t="str">
        <f t="array" ref="D464">IF(B464="","---",IFERROR(
   _xlfn.PERCENTILE.INC(
      IF((tabDados[Descrição Padronizada]=B464)*(tabDados[Valor Unitário]&lt;&gt;""),
         tabDados[Valor Unitário],""
      ),
   D$1),
   _xlfn.MAXIFS(tabDados[Valor Unitário],tabDados[Descrição Padronizada],B464)
))</f>
        <v>---</v>
      </c>
      <c r="E464" s="16" t="str">
        <f>IF(OR(B464="",B464="---"),"---",
   IFERROR(AVERAGEIFS(tabDados[Valor Unitário],tabDados[Descrição Padronizada],B464,tabDados[Valor Unitário],"&gt;="&amp;C464,tabDados[Valor Unitário],"&lt;="&amp;D464),AVERAGE(C464,D464))
)</f>
        <v>---</v>
      </c>
      <c r="F464" s="12" t="str">
        <f t="array" ref="F464">IF(OR(B464="",B464="---"),"---",TRUNC(IFERROR(MODE(IF((tabDados[Descrição Padronizada]=B464)*(tabDados[Vida Útil (meses)]&lt;&gt;""),tabDados[Vida Útil (meses)],"-")),AVERAGEIFS(tabDados[Vida Útil (meses)],tabDados[Descrição Padronizada],B464))+0.5))</f>
        <v>---</v>
      </c>
      <c r="G464" s="13" t="str">
        <f>IF(OR(B464="",B464="---"),"---",TRUNC(IFERROR(AVERAGEIFS(tabDados[Manutenção (%)],tabDados[Descrição Padronizada],B464,tabDados[Manutenção (%)],"&gt;"&amp;0),0)*10000)/10000)</f>
        <v>---</v>
      </c>
      <c r="H464" s="24" t="str">
        <f>IF(OR(B464="---",B464=""),"---",COUNTIF(tabDados[[#All],[Descrição Padronizada]],B464))</f>
        <v>---</v>
      </c>
      <c r="I464" s="24" t="s">
        <v>20</v>
      </c>
    </row>
    <row r="465" spans="1:9" hidden="1" x14ac:dyDescent="0.35">
      <c r="A465" s="15">
        <v>463</v>
      </c>
      <c r="C465" s="16" t="str">
        <f t="array" ref="C465">IF(B465="","---",IFERROR(
   _xlfn.PERCENTILE.INC(
      IF((tabDados[Descrição Padronizada]=B465)*(tabDados[Valor Unitário]&lt;&gt;""),
         tabDados[Valor Unitário],""
      ),
   C$1),
   _xlfn.MINIFS(tabDados[Valor Unitário],tabDados[Descrição Padronizada],B465)
))</f>
        <v>---</v>
      </c>
      <c r="D465" s="16" t="str">
        <f t="array" ref="D465">IF(B465="","---",IFERROR(
   _xlfn.PERCENTILE.INC(
      IF((tabDados[Descrição Padronizada]=B465)*(tabDados[Valor Unitário]&lt;&gt;""),
         tabDados[Valor Unitário],""
      ),
   D$1),
   _xlfn.MAXIFS(tabDados[Valor Unitário],tabDados[Descrição Padronizada],B465)
))</f>
        <v>---</v>
      </c>
      <c r="E465" s="16" t="str">
        <f>IF(OR(B465="",B465="---"),"---",
   IFERROR(AVERAGEIFS(tabDados[Valor Unitário],tabDados[Descrição Padronizada],B465,tabDados[Valor Unitário],"&gt;="&amp;C465,tabDados[Valor Unitário],"&lt;="&amp;D465),AVERAGE(C465,D465))
)</f>
        <v>---</v>
      </c>
      <c r="F465" s="12" t="str">
        <f t="array" ref="F465">IF(OR(B465="",B465="---"),"---",TRUNC(IFERROR(MODE(IF((tabDados[Descrição Padronizada]=B465)*(tabDados[Vida Útil (meses)]&lt;&gt;""),tabDados[Vida Útil (meses)],"-")),AVERAGEIFS(tabDados[Vida Útil (meses)],tabDados[Descrição Padronizada],B465))+0.5))</f>
        <v>---</v>
      </c>
      <c r="G465" s="13" t="str">
        <f>IF(OR(B465="",B465="---"),"---",TRUNC(IFERROR(AVERAGEIFS(tabDados[Manutenção (%)],tabDados[Descrição Padronizada],B465,tabDados[Manutenção (%)],"&gt;"&amp;0),0)*10000)/10000)</f>
        <v>---</v>
      </c>
      <c r="H465" s="24" t="str">
        <f>IF(OR(B465="---",B465=""),"---",COUNTIF(tabDados[[#All],[Descrição Padronizada]],B465))</f>
        <v>---</v>
      </c>
      <c r="I465" s="24" t="s">
        <v>20</v>
      </c>
    </row>
    <row r="466" spans="1:9" hidden="1" x14ac:dyDescent="0.35">
      <c r="A466" s="15">
        <v>464</v>
      </c>
      <c r="C466" s="16" t="str">
        <f t="array" ref="C466">IF(B466="","---",IFERROR(
   _xlfn.PERCENTILE.INC(
      IF((tabDados[Descrição Padronizada]=B466)*(tabDados[Valor Unitário]&lt;&gt;""),
         tabDados[Valor Unitário],""
      ),
   C$1),
   _xlfn.MINIFS(tabDados[Valor Unitário],tabDados[Descrição Padronizada],B466)
))</f>
        <v>---</v>
      </c>
      <c r="D466" s="16" t="str">
        <f t="array" ref="D466">IF(B466="","---",IFERROR(
   _xlfn.PERCENTILE.INC(
      IF((tabDados[Descrição Padronizada]=B466)*(tabDados[Valor Unitário]&lt;&gt;""),
         tabDados[Valor Unitário],""
      ),
   D$1),
   _xlfn.MAXIFS(tabDados[Valor Unitário],tabDados[Descrição Padronizada],B466)
))</f>
        <v>---</v>
      </c>
      <c r="E466" s="16" t="str">
        <f>IF(OR(B466="",B466="---"),"---",
   IFERROR(AVERAGEIFS(tabDados[Valor Unitário],tabDados[Descrição Padronizada],B466,tabDados[Valor Unitário],"&gt;="&amp;C466,tabDados[Valor Unitário],"&lt;="&amp;D466),AVERAGE(C466,D466))
)</f>
        <v>---</v>
      </c>
      <c r="F466" s="12" t="str">
        <f t="array" ref="F466">IF(OR(B466="",B466="---"),"---",TRUNC(IFERROR(MODE(IF((tabDados[Descrição Padronizada]=B466)*(tabDados[Vida Útil (meses)]&lt;&gt;""),tabDados[Vida Útil (meses)],"-")),AVERAGEIFS(tabDados[Vida Útil (meses)],tabDados[Descrição Padronizada],B466))+0.5))</f>
        <v>---</v>
      </c>
      <c r="G466" s="13" t="str">
        <f>IF(OR(B466="",B466="---"),"---",TRUNC(IFERROR(AVERAGEIFS(tabDados[Manutenção (%)],tabDados[Descrição Padronizada],B466,tabDados[Manutenção (%)],"&gt;"&amp;0),0)*10000)/10000)</f>
        <v>---</v>
      </c>
      <c r="H466" s="24" t="str">
        <f>IF(OR(B466="---",B466=""),"---",COUNTIF(tabDados[[#All],[Descrição Padronizada]],B466))</f>
        <v>---</v>
      </c>
      <c r="I466" s="24" t="s">
        <v>20</v>
      </c>
    </row>
    <row r="467" spans="1:9" hidden="1" x14ac:dyDescent="0.35">
      <c r="A467" s="15">
        <v>465</v>
      </c>
      <c r="C467" s="16" t="str">
        <f t="array" ref="C467">IF(B467="","---",IFERROR(
   _xlfn.PERCENTILE.INC(
      IF((tabDados[Descrição Padronizada]=B467)*(tabDados[Valor Unitário]&lt;&gt;""),
         tabDados[Valor Unitário],""
      ),
   C$1),
   _xlfn.MINIFS(tabDados[Valor Unitário],tabDados[Descrição Padronizada],B467)
))</f>
        <v>---</v>
      </c>
      <c r="D467" s="16" t="str">
        <f t="array" ref="D467">IF(B467="","---",IFERROR(
   _xlfn.PERCENTILE.INC(
      IF((tabDados[Descrição Padronizada]=B467)*(tabDados[Valor Unitário]&lt;&gt;""),
         tabDados[Valor Unitário],""
      ),
   D$1),
   _xlfn.MAXIFS(tabDados[Valor Unitário],tabDados[Descrição Padronizada],B467)
))</f>
        <v>---</v>
      </c>
      <c r="E467" s="16" t="str">
        <f>IF(OR(B467="",B467="---"),"---",
   IFERROR(AVERAGEIFS(tabDados[Valor Unitário],tabDados[Descrição Padronizada],B467,tabDados[Valor Unitário],"&gt;="&amp;C467,tabDados[Valor Unitário],"&lt;="&amp;D467),AVERAGE(C467,D467))
)</f>
        <v>---</v>
      </c>
      <c r="F467" s="12" t="str">
        <f t="array" ref="F467">IF(OR(B467="",B467="---"),"---",TRUNC(IFERROR(MODE(IF((tabDados[Descrição Padronizada]=B467)*(tabDados[Vida Útil (meses)]&lt;&gt;""),tabDados[Vida Útil (meses)],"-")),AVERAGEIFS(tabDados[Vida Útil (meses)],tabDados[Descrição Padronizada],B467))+0.5))</f>
        <v>---</v>
      </c>
      <c r="G467" s="13" t="str">
        <f>IF(OR(B467="",B467="---"),"---",TRUNC(IFERROR(AVERAGEIFS(tabDados[Manutenção (%)],tabDados[Descrição Padronizada],B467,tabDados[Manutenção (%)],"&gt;"&amp;0),0)*10000)/10000)</f>
        <v>---</v>
      </c>
      <c r="H467" s="24" t="str">
        <f>IF(OR(B467="---",B467=""),"---",COUNTIF(tabDados[[#All],[Descrição Padronizada]],B467))</f>
        <v>---</v>
      </c>
      <c r="I467" s="24" t="s">
        <v>20</v>
      </c>
    </row>
    <row r="468" spans="1:9" hidden="1" x14ac:dyDescent="0.35">
      <c r="A468" s="15">
        <v>466</v>
      </c>
      <c r="C468" s="16" t="str">
        <f t="array" ref="C468">IF(B468="","---",IFERROR(
   _xlfn.PERCENTILE.INC(
      IF((tabDados[Descrição Padronizada]=B468)*(tabDados[Valor Unitário]&lt;&gt;""),
         tabDados[Valor Unitário],""
      ),
   C$1),
   _xlfn.MINIFS(tabDados[Valor Unitário],tabDados[Descrição Padronizada],B468)
))</f>
        <v>---</v>
      </c>
      <c r="D468" s="16" t="str">
        <f t="array" ref="D468">IF(B468="","---",IFERROR(
   _xlfn.PERCENTILE.INC(
      IF((tabDados[Descrição Padronizada]=B468)*(tabDados[Valor Unitário]&lt;&gt;""),
         tabDados[Valor Unitário],""
      ),
   D$1),
   _xlfn.MAXIFS(tabDados[Valor Unitário],tabDados[Descrição Padronizada],B468)
))</f>
        <v>---</v>
      </c>
      <c r="E468" s="16" t="str">
        <f>IF(OR(B468="",B468="---"),"---",
   IFERROR(AVERAGEIFS(tabDados[Valor Unitário],tabDados[Descrição Padronizada],B468,tabDados[Valor Unitário],"&gt;="&amp;C468,tabDados[Valor Unitário],"&lt;="&amp;D468),AVERAGE(C468,D468))
)</f>
        <v>---</v>
      </c>
      <c r="F468" s="12" t="str">
        <f t="array" ref="F468">IF(OR(B468="",B468="---"),"---",TRUNC(IFERROR(MODE(IF((tabDados[Descrição Padronizada]=B468)*(tabDados[Vida Útil (meses)]&lt;&gt;""),tabDados[Vida Útil (meses)],"-")),AVERAGEIFS(tabDados[Vida Útil (meses)],tabDados[Descrição Padronizada],B468))+0.5))</f>
        <v>---</v>
      </c>
      <c r="G468" s="13" t="str">
        <f>IF(OR(B468="",B468="---"),"---",TRUNC(IFERROR(AVERAGEIFS(tabDados[Manutenção (%)],tabDados[Descrição Padronizada],B468,tabDados[Manutenção (%)],"&gt;"&amp;0),0)*10000)/10000)</f>
        <v>---</v>
      </c>
      <c r="H468" s="24" t="str">
        <f>IF(OR(B468="---",B468=""),"---",COUNTIF(tabDados[[#All],[Descrição Padronizada]],B468))</f>
        <v>---</v>
      </c>
      <c r="I468" s="24" t="s">
        <v>20</v>
      </c>
    </row>
    <row r="469" spans="1:9" hidden="1" x14ac:dyDescent="0.35">
      <c r="A469" s="15">
        <v>467</v>
      </c>
      <c r="C469" s="16" t="str">
        <f t="array" ref="C469">IF(B469="","---",IFERROR(
   _xlfn.PERCENTILE.INC(
      IF((tabDados[Descrição Padronizada]=B469)*(tabDados[Valor Unitário]&lt;&gt;""),
         tabDados[Valor Unitário],""
      ),
   C$1),
   _xlfn.MINIFS(tabDados[Valor Unitário],tabDados[Descrição Padronizada],B469)
))</f>
        <v>---</v>
      </c>
      <c r="D469" s="16" t="str">
        <f t="array" ref="D469">IF(B469="","---",IFERROR(
   _xlfn.PERCENTILE.INC(
      IF((tabDados[Descrição Padronizada]=B469)*(tabDados[Valor Unitário]&lt;&gt;""),
         tabDados[Valor Unitário],""
      ),
   D$1),
   _xlfn.MAXIFS(tabDados[Valor Unitário],tabDados[Descrição Padronizada],B469)
))</f>
        <v>---</v>
      </c>
      <c r="E469" s="16" t="str">
        <f>IF(OR(B469="",B469="---"),"---",
   IFERROR(AVERAGEIFS(tabDados[Valor Unitário],tabDados[Descrição Padronizada],B469,tabDados[Valor Unitário],"&gt;="&amp;C469,tabDados[Valor Unitário],"&lt;="&amp;D469),AVERAGE(C469,D469))
)</f>
        <v>---</v>
      </c>
      <c r="F469" s="12" t="str">
        <f t="array" ref="F469">IF(OR(B469="",B469="---"),"---",TRUNC(IFERROR(MODE(IF((tabDados[Descrição Padronizada]=B469)*(tabDados[Vida Útil (meses)]&lt;&gt;""),tabDados[Vida Útil (meses)],"-")),AVERAGEIFS(tabDados[Vida Útil (meses)],tabDados[Descrição Padronizada],B469))+0.5))</f>
        <v>---</v>
      </c>
      <c r="G469" s="13" t="str">
        <f>IF(OR(B469="",B469="---"),"---",TRUNC(IFERROR(AVERAGEIFS(tabDados[Manutenção (%)],tabDados[Descrição Padronizada],B469,tabDados[Manutenção (%)],"&gt;"&amp;0),0)*10000)/10000)</f>
        <v>---</v>
      </c>
      <c r="H469" s="24" t="str">
        <f>IF(OR(B469="---",B469=""),"---",COUNTIF(tabDados[[#All],[Descrição Padronizada]],B469))</f>
        <v>---</v>
      </c>
      <c r="I469" s="24" t="s">
        <v>20</v>
      </c>
    </row>
    <row r="470" spans="1:9" hidden="1" x14ac:dyDescent="0.35">
      <c r="A470" s="15">
        <v>468</v>
      </c>
      <c r="C470" s="16" t="str">
        <f t="array" ref="C470">IF(B470="","---",IFERROR(
   _xlfn.PERCENTILE.INC(
      IF((tabDados[Descrição Padronizada]=B470)*(tabDados[Valor Unitário]&lt;&gt;""),
         tabDados[Valor Unitário],""
      ),
   C$1),
   _xlfn.MINIFS(tabDados[Valor Unitário],tabDados[Descrição Padronizada],B470)
))</f>
        <v>---</v>
      </c>
      <c r="D470" s="16" t="str">
        <f t="array" ref="D470">IF(B470="","---",IFERROR(
   _xlfn.PERCENTILE.INC(
      IF((tabDados[Descrição Padronizada]=B470)*(tabDados[Valor Unitário]&lt;&gt;""),
         tabDados[Valor Unitário],""
      ),
   D$1),
   _xlfn.MAXIFS(tabDados[Valor Unitário],tabDados[Descrição Padronizada],B470)
))</f>
        <v>---</v>
      </c>
      <c r="E470" s="16" t="str">
        <f>IF(OR(B470="",B470="---"),"---",
   IFERROR(AVERAGEIFS(tabDados[Valor Unitário],tabDados[Descrição Padronizada],B470,tabDados[Valor Unitário],"&gt;="&amp;C470,tabDados[Valor Unitário],"&lt;="&amp;D470),AVERAGE(C470,D470))
)</f>
        <v>---</v>
      </c>
      <c r="F470" s="12" t="str">
        <f t="array" ref="F470">IF(OR(B470="",B470="---"),"---",TRUNC(IFERROR(MODE(IF((tabDados[Descrição Padronizada]=B470)*(tabDados[Vida Útil (meses)]&lt;&gt;""),tabDados[Vida Útil (meses)],"-")),AVERAGEIFS(tabDados[Vida Útil (meses)],tabDados[Descrição Padronizada],B470))+0.5))</f>
        <v>---</v>
      </c>
      <c r="G470" s="13" t="str">
        <f>IF(OR(B470="",B470="---"),"---",TRUNC(IFERROR(AVERAGEIFS(tabDados[Manutenção (%)],tabDados[Descrição Padronizada],B470,tabDados[Manutenção (%)],"&gt;"&amp;0),0)*10000)/10000)</f>
        <v>---</v>
      </c>
      <c r="H470" s="24" t="str">
        <f>IF(OR(B470="---",B470=""),"---",COUNTIF(tabDados[[#All],[Descrição Padronizada]],B470))</f>
        <v>---</v>
      </c>
      <c r="I470" s="24" t="s">
        <v>20</v>
      </c>
    </row>
    <row r="471" spans="1:9" hidden="1" x14ac:dyDescent="0.35">
      <c r="A471" s="15">
        <v>469</v>
      </c>
      <c r="C471" s="16" t="str">
        <f t="array" ref="C471">IF(B471="","---",IFERROR(
   _xlfn.PERCENTILE.INC(
      IF((tabDados[Descrição Padronizada]=B471)*(tabDados[Valor Unitário]&lt;&gt;""),
         tabDados[Valor Unitário],""
      ),
   C$1),
   _xlfn.MINIFS(tabDados[Valor Unitário],tabDados[Descrição Padronizada],B471)
))</f>
        <v>---</v>
      </c>
      <c r="D471" s="16" t="str">
        <f t="array" ref="D471">IF(B471="","---",IFERROR(
   _xlfn.PERCENTILE.INC(
      IF((tabDados[Descrição Padronizada]=B471)*(tabDados[Valor Unitário]&lt;&gt;""),
         tabDados[Valor Unitário],""
      ),
   D$1),
   _xlfn.MAXIFS(tabDados[Valor Unitário],tabDados[Descrição Padronizada],B471)
))</f>
        <v>---</v>
      </c>
      <c r="E471" s="16" t="str">
        <f>IF(OR(B471="",B471="---"),"---",
   IFERROR(AVERAGEIFS(tabDados[Valor Unitário],tabDados[Descrição Padronizada],B471,tabDados[Valor Unitário],"&gt;="&amp;C471,tabDados[Valor Unitário],"&lt;="&amp;D471),AVERAGE(C471,D471))
)</f>
        <v>---</v>
      </c>
      <c r="F471" s="12" t="str">
        <f t="array" ref="F471">IF(OR(B471="",B471="---"),"---",TRUNC(IFERROR(MODE(IF((tabDados[Descrição Padronizada]=B471)*(tabDados[Vida Útil (meses)]&lt;&gt;""),tabDados[Vida Útil (meses)],"-")),AVERAGEIFS(tabDados[Vida Útil (meses)],tabDados[Descrição Padronizada],B471))+0.5))</f>
        <v>---</v>
      </c>
      <c r="G471" s="13" t="str">
        <f>IF(OR(B471="",B471="---"),"---",TRUNC(IFERROR(AVERAGEIFS(tabDados[Manutenção (%)],tabDados[Descrição Padronizada],B471,tabDados[Manutenção (%)],"&gt;"&amp;0),0)*10000)/10000)</f>
        <v>---</v>
      </c>
      <c r="H471" s="24" t="str">
        <f>IF(OR(B471="---",B471=""),"---",COUNTIF(tabDados[[#All],[Descrição Padronizada]],B471))</f>
        <v>---</v>
      </c>
      <c r="I471" s="24" t="s">
        <v>20</v>
      </c>
    </row>
    <row r="472" spans="1:9" hidden="1" x14ac:dyDescent="0.35">
      <c r="A472" s="15">
        <v>470</v>
      </c>
      <c r="C472" s="16" t="str">
        <f t="array" ref="C472">IF(B472="","---",IFERROR(
   _xlfn.PERCENTILE.INC(
      IF((tabDados[Descrição Padronizada]=B472)*(tabDados[Valor Unitário]&lt;&gt;""),
         tabDados[Valor Unitário],""
      ),
   C$1),
   _xlfn.MINIFS(tabDados[Valor Unitário],tabDados[Descrição Padronizada],B472)
))</f>
        <v>---</v>
      </c>
      <c r="D472" s="16" t="str">
        <f t="array" ref="D472">IF(B472="","---",IFERROR(
   _xlfn.PERCENTILE.INC(
      IF((tabDados[Descrição Padronizada]=B472)*(tabDados[Valor Unitário]&lt;&gt;""),
         tabDados[Valor Unitário],""
      ),
   D$1),
   _xlfn.MAXIFS(tabDados[Valor Unitário],tabDados[Descrição Padronizada],B472)
))</f>
        <v>---</v>
      </c>
      <c r="E472" s="16" t="str">
        <f>IF(OR(B472="",B472="---"),"---",
   IFERROR(AVERAGEIFS(tabDados[Valor Unitário],tabDados[Descrição Padronizada],B472,tabDados[Valor Unitário],"&gt;="&amp;C472,tabDados[Valor Unitário],"&lt;="&amp;D472),AVERAGE(C472,D472))
)</f>
        <v>---</v>
      </c>
      <c r="F472" s="12" t="str">
        <f t="array" ref="F472">IF(OR(B472="",B472="---"),"---",TRUNC(IFERROR(MODE(IF((tabDados[Descrição Padronizada]=B472)*(tabDados[Vida Útil (meses)]&lt;&gt;""),tabDados[Vida Útil (meses)],"-")),AVERAGEIFS(tabDados[Vida Útil (meses)],tabDados[Descrição Padronizada],B472))+0.5))</f>
        <v>---</v>
      </c>
      <c r="G472" s="13" t="str">
        <f>IF(OR(B472="",B472="---"),"---",TRUNC(IFERROR(AVERAGEIFS(tabDados[Manutenção (%)],tabDados[Descrição Padronizada],B472,tabDados[Manutenção (%)],"&gt;"&amp;0),0)*10000)/10000)</f>
        <v>---</v>
      </c>
      <c r="H472" s="24" t="str">
        <f>IF(OR(B472="---",B472=""),"---",COUNTIF(tabDados[[#All],[Descrição Padronizada]],B472))</f>
        <v>---</v>
      </c>
      <c r="I472" s="24" t="s">
        <v>20</v>
      </c>
    </row>
    <row r="473" spans="1:9" hidden="1" x14ac:dyDescent="0.35">
      <c r="A473" s="15">
        <v>471</v>
      </c>
      <c r="C473" s="16" t="str">
        <f t="array" ref="C473">IF(B473="","---",IFERROR(
   _xlfn.PERCENTILE.INC(
      IF((tabDados[Descrição Padronizada]=B473)*(tabDados[Valor Unitário]&lt;&gt;""),
         tabDados[Valor Unitário],""
      ),
   C$1),
   _xlfn.MINIFS(tabDados[Valor Unitário],tabDados[Descrição Padronizada],B473)
))</f>
        <v>---</v>
      </c>
      <c r="D473" s="16" t="str">
        <f t="array" ref="D473">IF(B473="","---",IFERROR(
   _xlfn.PERCENTILE.INC(
      IF((tabDados[Descrição Padronizada]=B473)*(tabDados[Valor Unitário]&lt;&gt;""),
         tabDados[Valor Unitário],""
      ),
   D$1),
   _xlfn.MAXIFS(tabDados[Valor Unitário],tabDados[Descrição Padronizada],B473)
))</f>
        <v>---</v>
      </c>
      <c r="E473" s="16" t="str">
        <f>IF(OR(B473="",B473="---"),"---",
   IFERROR(AVERAGEIFS(tabDados[Valor Unitário],tabDados[Descrição Padronizada],B473,tabDados[Valor Unitário],"&gt;="&amp;C473,tabDados[Valor Unitário],"&lt;="&amp;D473),AVERAGE(C473,D473))
)</f>
        <v>---</v>
      </c>
      <c r="F473" s="12" t="str">
        <f t="array" ref="F473">IF(OR(B473="",B473="---"),"---",TRUNC(IFERROR(MODE(IF((tabDados[Descrição Padronizada]=B473)*(tabDados[Vida Útil (meses)]&lt;&gt;""),tabDados[Vida Útil (meses)],"-")),AVERAGEIFS(tabDados[Vida Útil (meses)],tabDados[Descrição Padronizada],B473))+0.5))</f>
        <v>---</v>
      </c>
      <c r="G473" s="13" t="str">
        <f>IF(OR(B473="",B473="---"),"---",TRUNC(IFERROR(AVERAGEIFS(tabDados[Manutenção (%)],tabDados[Descrição Padronizada],B473,tabDados[Manutenção (%)],"&gt;"&amp;0),0)*10000)/10000)</f>
        <v>---</v>
      </c>
      <c r="H473" s="24" t="str">
        <f>IF(OR(B473="---",B473=""),"---",COUNTIF(tabDados[[#All],[Descrição Padronizada]],B473))</f>
        <v>---</v>
      </c>
      <c r="I473" s="24" t="s">
        <v>20</v>
      </c>
    </row>
    <row r="474" spans="1:9" hidden="1" x14ac:dyDescent="0.35">
      <c r="A474" s="15">
        <v>472</v>
      </c>
      <c r="C474" s="16" t="str">
        <f t="array" ref="C474">IF(B474="","---",IFERROR(
   _xlfn.PERCENTILE.INC(
      IF((tabDados[Descrição Padronizada]=B474)*(tabDados[Valor Unitário]&lt;&gt;""),
         tabDados[Valor Unitário],""
      ),
   C$1),
   _xlfn.MINIFS(tabDados[Valor Unitário],tabDados[Descrição Padronizada],B474)
))</f>
        <v>---</v>
      </c>
      <c r="D474" s="16" t="str">
        <f t="array" ref="D474">IF(B474="","---",IFERROR(
   _xlfn.PERCENTILE.INC(
      IF((tabDados[Descrição Padronizada]=B474)*(tabDados[Valor Unitário]&lt;&gt;""),
         tabDados[Valor Unitário],""
      ),
   D$1),
   _xlfn.MAXIFS(tabDados[Valor Unitário],tabDados[Descrição Padronizada],B474)
))</f>
        <v>---</v>
      </c>
      <c r="E474" s="16" t="str">
        <f>IF(OR(B474="",B474="---"),"---",
   IFERROR(AVERAGEIFS(tabDados[Valor Unitário],tabDados[Descrição Padronizada],B474,tabDados[Valor Unitário],"&gt;="&amp;C474,tabDados[Valor Unitário],"&lt;="&amp;D474),AVERAGE(C474,D474))
)</f>
        <v>---</v>
      </c>
      <c r="F474" s="12" t="str">
        <f t="array" ref="F474">IF(OR(B474="",B474="---"),"---",TRUNC(IFERROR(MODE(IF((tabDados[Descrição Padronizada]=B474)*(tabDados[Vida Útil (meses)]&lt;&gt;""),tabDados[Vida Útil (meses)],"-")),AVERAGEIFS(tabDados[Vida Útil (meses)],tabDados[Descrição Padronizada],B474))+0.5))</f>
        <v>---</v>
      </c>
      <c r="G474" s="13" t="str">
        <f>IF(OR(B474="",B474="---"),"---",TRUNC(IFERROR(AVERAGEIFS(tabDados[Manutenção (%)],tabDados[Descrição Padronizada],B474,tabDados[Manutenção (%)],"&gt;"&amp;0),0)*10000)/10000)</f>
        <v>---</v>
      </c>
      <c r="H474" s="24" t="str">
        <f>IF(OR(B474="---",B474=""),"---",COUNTIF(tabDados[[#All],[Descrição Padronizada]],B474))</f>
        <v>---</v>
      </c>
      <c r="I474" s="24" t="s">
        <v>20</v>
      </c>
    </row>
    <row r="475" spans="1:9" hidden="1" x14ac:dyDescent="0.35">
      <c r="A475" s="15">
        <v>473</v>
      </c>
      <c r="C475" s="16" t="str">
        <f t="array" ref="C475">IF(B475="","---",IFERROR(
   _xlfn.PERCENTILE.INC(
      IF((tabDados[Descrição Padronizada]=B475)*(tabDados[Valor Unitário]&lt;&gt;""),
         tabDados[Valor Unitário],""
      ),
   C$1),
   _xlfn.MINIFS(tabDados[Valor Unitário],tabDados[Descrição Padronizada],B475)
))</f>
        <v>---</v>
      </c>
      <c r="D475" s="16" t="str">
        <f t="array" ref="D475">IF(B475="","---",IFERROR(
   _xlfn.PERCENTILE.INC(
      IF((tabDados[Descrição Padronizada]=B475)*(tabDados[Valor Unitário]&lt;&gt;""),
         tabDados[Valor Unitário],""
      ),
   D$1),
   _xlfn.MAXIFS(tabDados[Valor Unitário],tabDados[Descrição Padronizada],B475)
))</f>
        <v>---</v>
      </c>
      <c r="E475" s="16" t="str">
        <f>IF(OR(B475="",B475="---"),"---",
   IFERROR(AVERAGEIFS(tabDados[Valor Unitário],tabDados[Descrição Padronizada],B475,tabDados[Valor Unitário],"&gt;="&amp;C475,tabDados[Valor Unitário],"&lt;="&amp;D475),AVERAGE(C475,D475))
)</f>
        <v>---</v>
      </c>
      <c r="F475" s="12" t="str">
        <f t="array" ref="F475">IF(OR(B475="",B475="---"),"---",TRUNC(IFERROR(MODE(IF((tabDados[Descrição Padronizada]=B475)*(tabDados[Vida Útil (meses)]&lt;&gt;""),tabDados[Vida Útil (meses)],"-")),AVERAGEIFS(tabDados[Vida Útil (meses)],tabDados[Descrição Padronizada],B475))+0.5))</f>
        <v>---</v>
      </c>
      <c r="G475" s="13" t="str">
        <f>IF(OR(B475="",B475="---"),"---",TRUNC(IFERROR(AVERAGEIFS(tabDados[Manutenção (%)],tabDados[Descrição Padronizada],B475,tabDados[Manutenção (%)],"&gt;"&amp;0),0)*10000)/10000)</f>
        <v>---</v>
      </c>
      <c r="H475" s="24" t="str">
        <f>IF(OR(B475="---",B475=""),"---",COUNTIF(tabDados[[#All],[Descrição Padronizada]],B475))</f>
        <v>---</v>
      </c>
      <c r="I475" s="24" t="s">
        <v>20</v>
      </c>
    </row>
    <row r="476" spans="1:9" hidden="1" x14ac:dyDescent="0.35">
      <c r="A476" s="15">
        <v>474</v>
      </c>
      <c r="C476" s="16" t="str">
        <f t="array" ref="C476">IF(B476="","---",IFERROR(
   _xlfn.PERCENTILE.INC(
      IF((tabDados[Descrição Padronizada]=B476)*(tabDados[Valor Unitário]&lt;&gt;""),
         tabDados[Valor Unitário],""
      ),
   C$1),
   _xlfn.MINIFS(tabDados[Valor Unitário],tabDados[Descrição Padronizada],B476)
))</f>
        <v>---</v>
      </c>
      <c r="D476" s="16" t="str">
        <f t="array" ref="D476">IF(B476="","---",IFERROR(
   _xlfn.PERCENTILE.INC(
      IF((tabDados[Descrição Padronizada]=B476)*(tabDados[Valor Unitário]&lt;&gt;""),
         tabDados[Valor Unitário],""
      ),
   D$1),
   _xlfn.MAXIFS(tabDados[Valor Unitário],tabDados[Descrição Padronizada],B476)
))</f>
        <v>---</v>
      </c>
      <c r="E476" s="16" t="str">
        <f>IF(OR(B476="",B476="---"),"---",
   IFERROR(AVERAGEIFS(tabDados[Valor Unitário],tabDados[Descrição Padronizada],B476,tabDados[Valor Unitário],"&gt;="&amp;C476,tabDados[Valor Unitário],"&lt;="&amp;D476),AVERAGE(C476,D476))
)</f>
        <v>---</v>
      </c>
      <c r="F476" s="12" t="str">
        <f t="array" ref="F476">IF(OR(B476="",B476="---"),"---",TRUNC(IFERROR(MODE(IF((tabDados[Descrição Padronizada]=B476)*(tabDados[Vida Útil (meses)]&lt;&gt;""),tabDados[Vida Útil (meses)],"-")),AVERAGEIFS(tabDados[Vida Útil (meses)],tabDados[Descrição Padronizada],B476))+0.5))</f>
        <v>---</v>
      </c>
      <c r="G476" s="13" t="str">
        <f>IF(OR(B476="",B476="---"),"---",TRUNC(IFERROR(AVERAGEIFS(tabDados[Manutenção (%)],tabDados[Descrição Padronizada],B476,tabDados[Manutenção (%)],"&gt;"&amp;0),0)*10000)/10000)</f>
        <v>---</v>
      </c>
      <c r="H476" s="24" t="str">
        <f>IF(OR(B476="---",B476=""),"---",COUNTIF(tabDados[[#All],[Descrição Padronizada]],B476))</f>
        <v>---</v>
      </c>
      <c r="I476" s="24" t="s">
        <v>20</v>
      </c>
    </row>
    <row r="477" spans="1:9" hidden="1" x14ac:dyDescent="0.35">
      <c r="A477" s="15">
        <v>475</v>
      </c>
      <c r="C477" s="16" t="str">
        <f t="array" ref="C477">IF(B477="","---",IFERROR(
   _xlfn.PERCENTILE.INC(
      IF((tabDados[Descrição Padronizada]=B477)*(tabDados[Valor Unitário]&lt;&gt;""),
         tabDados[Valor Unitário],""
      ),
   C$1),
   _xlfn.MINIFS(tabDados[Valor Unitário],tabDados[Descrição Padronizada],B477)
))</f>
        <v>---</v>
      </c>
      <c r="D477" s="16" t="str">
        <f t="array" ref="D477">IF(B477="","---",IFERROR(
   _xlfn.PERCENTILE.INC(
      IF((tabDados[Descrição Padronizada]=B477)*(tabDados[Valor Unitário]&lt;&gt;""),
         tabDados[Valor Unitário],""
      ),
   D$1),
   _xlfn.MAXIFS(tabDados[Valor Unitário],tabDados[Descrição Padronizada],B477)
))</f>
        <v>---</v>
      </c>
      <c r="E477" s="16" t="str">
        <f>IF(OR(B477="",B477="---"),"---",
   IFERROR(AVERAGEIFS(tabDados[Valor Unitário],tabDados[Descrição Padronizada],B477,tabDados[Valor Unitário],"&gt;="&amp;C477,tabDados[Valor Unitário],"&lt;="&amp;D477),AVERAGE(C477,D477))
)</f>
        <v>---</v>
      </c>
      <c r="F477" s="12" t="str">
        <f t="array" ref="F477">IF(OR(B477="",B477="---"),"---",TRUNC(IFERROR(MODE(IF((tabDados[Descrição Padronizada]=B477)*(tabDados[Vida Útil (meses)]&lt;&gt;""),tabDados[Vida Útil (meses)],"-")),AVERAGEIFS(tabDados[Vida Útil (meses)],tabDados[Descrição Padronizada],B477))+0.5))</f>
        <v>---</v>
      </c>
      <c r="G477" s="13" t="str">
        <f>IF(OR(B477="",B477="---"),"---",TRUNC(IFERROR(AVERAGEIFS(tabDados[Manutenção (%)],tabDados[Descrição Padronizada],B477,tabDados[Manutenção (%)],"&gt;"&amp;0),0)*10000)/10000)</f>
        <v>---</v>
      </c>
      <c r="H477" s="24" t="str">
        <f>IF(OR(B477="---",B477=""),"---",COUNTIF(tabDados[[#All],[Descrição Padronizada]],B477))</f>
        <v>---</v>
      </c>
      <c r="I477" s="24" t="s">
        <v>20</v>
      </c>
    </row>
    <row r="478" spans="1:9" hidden="1" x14ac:dyDescent="0.35">
      <c r="A478" s="15">
        <v>476</v>
      </c>
      <c r="C478" s="16" t="str">
        <f t="array" ref="C478">IF(B478="","---",IFERROR(
   _xlfn.PERCENTILE.INC(
      IF((tabDados[Descrição Padronizada]=B478)*(tabDados[Valor Unitário]&lt;&gt;""),
         tabDados[Valor Unitário],""
      ),
   C$1),
   _xlfn.MINIFS(tabDados[Valor Unitário],tabDados[Descrição Padronizada],B478)
))</f>
        <v>---</v>
      </c>
      <c r="D478" s="16" t="str">
        <f t="array" ref="D478">IF(B478="","---",IFERROR(
   _xlfn.PERCENTILE.INC(
      IF((tabDados[Descrição Padronizada]=B478)*(tabDados[Valor Unitário]&lt;&gt;""),
         tabDados[Valor Unitário],""
      ),
   D$1),
   _xlfn.MAXIFS(tabDados[Valor Unitário],tabDados[Descrição Padronizada],B478)
))</f>
        <v>---</v>
      </c>
      <c r="E478" s="16" t="str">
        <f>IF(OR(B478="",B478="---"),"---",
   IFERROR(AVERAGEIFS(tabDados[Valor Unitário],tabDados[Descrição Padronizada],B478,tabDados[Valor Unitário],"&gt;="&amp;C478,tabDados[Valor Unitário],"&lt;="&amp;D478),AVERAGE(C478,D478))
)</f>
        <v>---</v>
      </c>
      <c r="F478" s="12" t="str">
        <f t="array" ref="F478">IF(OR(B478="",B478="---"),"---",TRUNC(IFERROR(MODE(IF((tabDados[Descrição Padronizada]=B478)*(tabDados[Vida Útil (meses)]&lt;&gt;""),tabDados[Vida Útil (meses)],"-")),AVERAGEIFS(tabDados[Vida Útil (meses)],tabDados[Descrição Padronizada],B478))+0.5))</f>
        <v>---</v>
      </c>
      <c r="G478" s="13" t="str">
        <f>IF(OR(B478="",B478="---"),"---",TRUNC(IFERROR(AVERAGEIFS(tabDados[Manutenção (%)],tabDados[Descrição Padronizada],B478,tabDados[Manutenção (%)],"&gt;"&amp;0),0)*10000)/10000)</f>
        <v>---</v>
      </c>
      <c r="H478" s="24" t="str">
        <f>IF(OR(B478="---",B478=""),"---",COUNTIF(tabDados[[#All],[Descrição Padronizada]],B478))</f>
        <v>---</v>
      </c>
      <c r="I478" s="24" t="s">
        <v>20</v>
      </c>
    </row>
    <row r="479" spans="1:9" hidden="1" x14ac:dyDescent="0.35">
      <c r="A479" s="15">
        <v>477</v>
      </c>
      <c r="C479" s="16" t="str">
        <f t="array" ref="C479">IF(B479="","---",IFERROR(
   _xlfn.PERCENTILE.INC(
      IF((tabDados[Descrição Padronizada]=B479)*(tabDados[Valor Unitário]&lt;&gt;""),
         tabDados[Valor Unitário],""
      ),
   C$1),
   _xlfn.MINIFS(tabDados[Valor Unitário],tabDados[Descrição Padronizada],B479)
))</f>
        <v>---</v>
      </c>
      <c r="D479" s="16" t="str">
        <f t="array" ref="D479">IF(B479="","---",IFERROR(
   _xlfn.PERCENTILE.INC(
      IF((tabDados[Descrição Padronizada]=B479)*(tabDados[Valor Unitário]&lt;&gt;""),
         tabDados[Valor Unitário],""
      ),
   D$1),
   _xlfn.MAXIFS(tabDados[Valor Unitário],tabDados[Descrição Padronizada],B479)
))</f>
        <v>---</v>
      </c>
      <c r="E479" s="16" t="str">
        <f>IF(OR(B479="",B479="---"),"---",
   IFERROR(AVERAGEIFS(tabDados[Valor Unitário],tabDados[Descrição Padronizada],B479,tabDados[Valor Unitário],"&gt;="&amp;C479,tabDados[Valor Unitário],"&lt;="&amp;D479),AVERAGE(C479,D479))
)</f>
        <v>---</v>
      </c>
      <c r="F479" s="12" t="str">
        <f t="array" ref="F479">IF(OR(B479="",B479="---"),"---",TRUNC(IFERROR(MODE(IF((tabDados[Descrição Padronizada]=B479)*(tabDados[Vida Útil (meses)]&lt;&gt;""),tabDados[Vida Útil (meses)],"-")),AVERAGEIFS(tabDados[Vida Útil (meses)],tabDados[Descrição Padronizada],B479))+0.5))</f>
        <v>---</v>
      </c>
      <c r="G479" s="13" t="str">
        <f>IF(OR(B479="",B479="---"),"---",TRUNC(IFERROR(AVERAGEIFS(tabDados[Manutenção (%)],tabDados[Descrição Padronizada],B479,tabDados[Manutenção (%)],"&gt;"&amp;0),0)*10000)/10000)</f>
        <v>---</v>
      </c>
      <c r="H479" s="24" t="str">
        <f>IF(OR(B479="---",B479=""),"---",COUNTIF(tabDados[[#All],[Descrição Padronizada]],B479))</f>
        <v>---</v>
      </c>
      <c r="I479" s="24" t="s">
        <v>20</v>
      </c>
    </row>
    <row r="480" spans="1:9" hidden="1" x14ac:dyDescent="0.35">
      <c r="A480" s="15">
        <v>478</v>
      </c>
      <c r="C480" s="16" t="str">
        <f t="array" ref="C480">IF(B480="","---",IFERROR(
   _xlfn.PERCENTILE.INC(
      IF((tabDados[Descrição Padronizada]=B480)*(tabDados[Valor Unitário]&lt;&gt;""),
         tabDados[Valor Unitário],""
      ),
   C$1),
   _xlfn.MINIFS(tabDados[Valor Unitário],tabDados[Descrição Padronizada],B480)
))</f>
        <v>---</v>
      </c>
      <c r="D480" s="16" t="str">
        <f t="array" ref="D480">IF(B480="","---",IFERROR(
   _xlfn.PERCENTILE.INC(
      IF((tabDados[Descrição Padronizada]=B480)*(tabDados[Valor Unitário]&lt;&gt;""),
         tabDados[Valor Unitário],""
      ),
   D$1),
   _xlfn.MAXIFS(tabDados[Valor Unitário],tabDados[Descrição Padronizada],B480)
))</f>
        <v>---</v>
      </c>
      <c r="E480" s="16" t="str">
        <f>IF(OR(B480="",B480="---"),"---",
   IFERROR(AVERAGEIFS(tabDados[Valor Unitário],tabDados[Descrição Padronizada],B480,tabDados[Valor Unitário],"&gt;="&amp;C480,tabDados[Valor Unitário],"&lt;="&amp;D480),AVERAGE(C480,D480))
)</f>
        <v>---</v>
      </c>
      <c r="F480" s="12" t="str">
        <f t="array" ref="F480">IF(OR(B480="",B480="---"),"---",TRUNC(IFERROR(MODE(IF((tabDados[Descrição Padronizada]=B480)*(tabDados[Vida Útil (meses)]&lt;&gt;""),tabDados[Vida Útil (meses)],"-")),AVERAGEIFS(tabDados[Vida Útil (meses)],tabDados[Descrição Padronizada],B480))+0.5))</f>
        <v>---</v>
      </c>
      <c r="G480" s="13" t="str">
        <f>IF(OR(B480="",B480="---"),"---",TRUNC(IFERROR(AVERAGEIFS(tabDados[Manutenção (%)],tabDados[Descrição Padronizada],B480,tabDados[Manutenção (%)],"&gt;"&amp;0),0)*10000)/10000)</f>
        <v>---</v>
      </c>
      <c r="H480" s="24" t="str">
        <f>IF(OR(B480="---",B480=""),"---",COUNTIF(tabDados[[#All],[Descrição Padronizada]],B480))</f>
        <v>---</v>
      </c>
      <c r="I480" s="24" t="s">
        <v>20</v>
      </c>
    </row>
    <row r="481" spans="1:9" hidden="1" x14ac:dyDescent="0.35">
      <c r="A481" s="15">
        <v>479</v>
      </c>
      <c r="C481" s="16" t="str">
        <f t="array" ref="C481">IF(B481="","---",IFERROR(
   _xlfn.PERCENTILE.INC(
      IF((tabDados[Descrição Padronizada]=B481)*(tabDados[Valor Unitário]&lt;&gt;""),
         tabDados[Valor Unitário],""
      ),
   C$1),
   _xlfn.MINIFS(tabDados[Valor Unitário],tabDados[Descrição Padronizada],B481)
))</f>
        <v>---</v>
      </c>
      <c r="D481" s="16" t="str">
        <f t="array" ref="D481">IF(B481="","---",IFERROR(
   _xlfn.PERCENTILE.INC(
      IF((tabDados[Descrição Padronizada]=B481)*(tabDados[Valor Unitário]&lt;&gt;""),
         tabDados[Valor Unitário],""
      ),
   D$1),
   _xlfn.MAXIFS(tabDados[Valor Unitário],tabDados[Descrição Padronizada],B481)
))</f>
        <v>---</v>
      </c>
      <c r="E481" s="16" t="str">
        <f>IF(OR(B481="",B481="---"),"---",
   IFERROR(AVERAGEIFS(tabDados[Valor Unitário],tabDados[Descrição Padronizada],B481,tabDados[Valor Unitário],"&gt;="&amp;C481,tabDados[Valor Unitário],"&lt;="&amp;D481),AVERAGE(C481,D481))
)</f>
        <v>---</v>
      </c>
      <c r="F481" s="12" t="str">
        <f t="array" ref="F481">IF(OR(B481="",B481="---"),"---",TRUNC(IFERROR(MODE(IF((tabDados[Descrição Padronizada]=B481)*(tabDados[Vida Útil (meses)]&lt;&gt;""),tabDados[Vida Útil (meses)],"-")),AVERAGEIFS(tabDados[Vida Útil (meses)],tabDados[Descrição Padronizada],B481))+0.5))</f>
        <v>---</v>
      </c>
      <c r="G481" s="13" t="str">
        <f>IF(OR(B481="",B481="---"),"---",TRUNC(IFERROR(AVERAGEIFS(tabDados[Manutenção (%)],tabDados[Descrição Padronizada],B481,tabDados[Manutenção (%)],"&gt;"&amp;0),0)*10000)/10000)</f>
        <v>---</v>
      </c>
      <c r="H481" s="24" t="str">
        <f>IF(OR(B481="---",B481=""),"---",COUNTIF(tabDados[[#All],[Descrição Padronizada]],B481))</f>
        <v>---</v>
      </c>
      <c r="I481" s="24" t="s">
        <v>20</v>
      </c>
    </row>
    <row r="482" spans="1:9" hidden="1" x14ac:dyDescent="0.35">
      <c r="A482" s="15">
        <v>480</v>
      </c>
      <c r="C482" s="16" t="str">
        <f t="array" ref="C482">IF(B482="","---",IFERROR(
   _xlfn.PERCENTILE.INC(
      IF((tabDados[Descrição Padronizada]=B482)*(tabDados[Valor Unitário]&lt;&gt;""),
         tabDados[Valor Unitário],""
      ),
   C$1),
   _xlfn.MINIFS(tabDados[Valor Unitário],tabDados[Descrição Padronizada],B482)
))</f>
        <v>---</v>
      </c>
      <c r="D482" s="16" t="str">
        <f t="array" ref="D482">IF(B482="","---",IFERROR(
   _xlfn.PERCENTILE.INC(
      IF((tabDados[Descrição Padronizada]=B482)*(tabDados[Valor Unitário]&lt;&gt;""),
         tabDados[Valor Unitário],""
      ),
   D$1),
   _xlfn.MAXIFS(tabDados[Valor Unitário],tabDados[Descrição Padronizada],B482)
))</f>
        <v>---</v>
      </c>
      <c r="E482" s="16" t="str">
        <f>IF(OR(B482="",B482="---"),"---",
   IFERROR(AVERAGEIFS(tabDados[Valor Unitário],tabDados[Descrição Padronizada],B482,tabDados[Valor Unitário],"&gt;="&amp;C482,tabDados[Valor Unitário],"&lt;="&amp;D482),AVERAGE(C482,D482))
)</f>
        <v>---</v>
      </c>
      <c r="F482" s="12" t="str">
        <f t="array" ref="F482">IF(OR(B482="",B482="---"),"---",TRUNC(IFERROR(MODE(IF((tabDados[Descrição Padronizada]=B482)*(tabDados[Vida Útil (meses)]&lt;&gt;""),tabDados[Vida Útil (meses)],"-")),AVERAGEIFS(tabDados[Vida Útil (meses)],tabDados[Descrição Padronizada],B482))+0.5))</f>
        <v>---</v>
      </c>
      <c r="G482" s="13" t="str">
        <f>IF(OR(B482="",B482="---"),"---",TRUNC(IFERROR(AVERAGEIFS(tabDados[Manutenção (%)],tabDados[Descrição Padronizada],B482,tabDados[Manutenção (%)],"&gt;"&amp;0),0)*10000)/10000)</f>
        <v>---</v>
      </c>
      <c r="H482" s="24" t="str">
        <f>IF(OR(B482="---",B482=""),"---",COUNTIF(tabDados[[#All],[Descrição Padronizada]],B482))</f>
        <v>---</v>
      </c>
      <c r="I482" s="24" t="s">
        <v>20</v>
      </c>
    </row>
    <row r="483" spans="1:9" hidden="1" x14ac:dyDescent="0.35">
      <c r="A483" s="15">
        <v>481</v>
      </c>
      <c r="C483" s="16" t="str">
        <f t="array" ref="C483">IF(B483="","---",IFERROR(
   _xlfn.PERCENTILE.INC(
      IF((tabDados[Descrição Padronizada]=B483)*(tabDados[Valor Unitário]&lt;&gt;""),
         tabDados[Valor Unitário],""
      ),
   C$1),
   _xlfn.MINIFS(tabDados[Valor Unitário],tabDados[Descrição Padronizada],B483)
))</f>
        <v>---</v>
      </c>
      <c r="D483" s="16" t="str">
        <f t="array" ref="D483">IF(B483="","---",IFERROR(
   _xlfn.PERCENTILE.INC(
      IF((tabDados[Descrição Padronizada]=B483)*(tabDados[Valor Unitário]&lt;&gt;""),
         tabDados[Valor Unitário],""
      ),
   D$1),
   _xlfn.MAXIFS(tabDados[Valor Unitário],tabDados[Descrição Padronizada],B483)
))</f>
        <v>---</v>
      </c>
      <c r="E483" s="16" t="str">
        <f>IF(OR(B483="",B483="---"),"---",
   IFERROR(AVERAGEIFS(tabDados[Valor Unitário],tabDados[Descrição Padronizada],B483,tabDados[Valor Unitário],"&gt;="&amp;C483,tabDados[Valor Unitário],"&lt;="&amp;D483),AVERAGE(C483,D483))
)</f>
        <v>---</v>
      </c>
      <c r="F483" s="12" t="str">
        <f t="array" ref="F483">IF(OR(B483="",B483="---"),"---",TRUNC(IFERROR(MODE(IF((tabDados[Descrição Padronizada]=B483)*(tabDados[Vida Útil (meses)]&lt;&gt;""),tabDados[Vida Útil (meses)],"-")),AVERAGEIFS(tabDados[Vida Útil (meses)],tabDados[Descrição Padronizada],B483))+0.5))</f>
        <v>---</v>
      </c>
      <c r="G483" s="13" t="str">
        <f>IF(OR(B483="",B483="---"),"---",TRUNC(IFERROR(AVERAGEIFS(tabDados[Manutenção (%)],tabDados[Descrição Padronizada],B483,tabDados[Manutenção (%)],"&gt;"&amp;0),0)*10000)/10000)</f>
        <v>---</v>
      </c>
      <c r="H483" s="24" t="str">
        <f>IF(OR(B483="---",B483=""),"---",COUNTIF(tabDados[[#All],[Descrição Padronizada]],B483))</f>
        <v>---</v>
      </c>
      <c r="I483" s="24" t="s">
        <v>20</v>
      </c>
    </row>
    <row r="484" spans="1:9" hidden="1" x14ac:dyDescent="0.35">
      <c r="A484" s="15">
        <v>482</v>
      </c>
      <c r="C484" s="16" t="str">
        <f t="array" ref="C484">IF(B484="","---",IFERROR(
   _xlfn.PERCENTILE.INC(
      IF((tabDados[Descrição Padronizada]=B484)*(tabDados[Valor Unitário]&lt;&gt;""),
         tabDados[Valor Unitário],""
      ),
   C$1),
   _xlfn.MINIFS(tabDados[Valor Unitário],tabDados[Descrição Padronizada],B484)
))</f>
        <v>---</v>
      </c>
      <c r="D484" s="16" t="str">
        <f t="array" ref="D484">IF(B484="","---",IFERROR(
   _xlfn.PERCENTILE.INC(
      IF((tabDados[Descrição Padronizada]=B484)*(tabDados[Valor Unitário]&lt;&gt;""),
         tabDados[Valor Unitário],""
      ),
   D$1),
   _xlfn.MAXIFS(tabDados[Valor Unitário],tabDados[Descrição Padronizada],B484)
))</f>
        <v>---</v>
      </c>
      <c r="E484" s="16" t="str">
        <f>IF(OR(B484="",B484="---"),"---",
   IFERROR(AVERAGEIFS(tabDados[Valor Unitário],tabDados[Descrição Padronizada],B484,tabDados[Valor Unitário],"&gt;="&amp;C484,tabDados[Valor Unitário],"&lt;="&amp;D484),AVERAGE(C484,D484))
)</f>
        <v>---</v>
      </c>
      <c r="F484" s="12" t="str">
        <f t="array" ref="F484">IF(OR(B484="",B484="---"),"---",TRUNC(IFERROR(MODE(IF((tabDados[Descrição Padronizada]=B484)*(tabDados[Vida Útil (meses)]&lt;&gt;""),tabDados[Vida Útil (meses)],"-")),AVERAGEIFS(tabDados[Vida Útil (meses)],tabDados[Descrição Padronizada],B484))+0.5))</f>
        <v>---</v>
      </c>
      <c r="G484" s="13" t="str">
        <f>IF(OR(B484="",B484="---"),"---",TRUNC(IFERROR(AVERAGEIFS(tabDados[Manutenção (%)],tabDados[Descrição Padronizada],B484,tabDados[Manutenção (%)],"&gt;"&amp;0),0)*10000)/10000)</f>
        <v>---</v>
      </c>
      <c r="H484" s="24" t="str">
        <f>IF(OR(B484="---",B484=""),"---",COUNTIF(tabDados[[#All],[Descrição Padronizada]],B484))</f>
        <v>---</v>
      </c>
      <c r="I484" s="24" t="s">
        <v>20</v>
      </c>
    </row>
    <row r="485" spans="1:9" hidden="1" x14ac:dyDescent="0.35">
      <c r="A485" s="15">
        <v>483</v>
      </c>
      <c r="C485" s="16" t="str">
        <f t="array" ref="C485">IF(B485="","---",IFERROR(
   _xlfn.PERCENTILE.INC(
      IF((tabDados[Descrição Padronizada]=B485)*(tabDados[Valor Unitário]&lt;&gt;""),
         tabDados[Valor Unitário],""
      ),
   C$1),
   _xlfn.MINIFS(tabDados[Valor Unitário],tabDados[Descrição Padronizada],B485)
))</f>
        <v>---</v>
      </c>
      <c r="D485" s="16" t="str">
        <f t="array" ref="D485">IF(B485="","---",IFERROR(
   _xlfn.PERCENTILE.INC(
      IF((tabDados[Descrição Padronizada]=B485)*(tabDados[Valor Unitário]&lt;&gt;""),
         tabDados[Valor Unitário],""
      ),
   D$1),
   _xlfn.MAXIFS(tabDados[Valor Unitário],tabDados[Descrição Padronizada],B485)
))</f>
        <v>---</v>
      </c>
      <c r="E485" s="16" t="str">
        <f>IF(OR(B485="",B485="---"),"---",
   IFERROR(AVERAGEIFS(tabDados[Valor Unitário],tabDados[Descrição Padronizada],B485,tabDados[Valor Unitário],"&gt;="&amp;C485,tabDados[Valor Unitário],"&lt;="&amp;D485),AVERAGE(C485,D485))
)</f>
        <v>---</v>
      </c>
      <c r="F485" s="12" t="str">
        <f t="array" ref="F485">IF(OR(B485="",B485="---"),"---",TRUNC(IFERROR(MODE(IF((tabDados[Descrição Padronizada]=B485)*(tabDados[Vida Útil (meses)]&lt;&gt;""),tabDados[Vida Útil (meses)],"-")),AVERAGEIFS(tabDados[Vida Útil (meses)],tabDados[Descrição Padronizada],B485))+0.5))</f>
        <v>---</v>
      </c>
      <c r="G485" s="13" t="str">
        <f>IF(OR(B485="",B485="---"),"---",TRUNC(IFERROR(AVERAGEIFS(tabDados[Manutenção (%)],tabDados[Descrição Padronizada],B485,tabDados[Manutenção (%)],"&gt;"&amp;0),0)*10000)/10000)</f>
        <v>---</v>
      </c>
      <c r="H485" s="24" t="str">
        <f>IF(OR(B485="---",B485=""),"---",COUNTIF(tabDados[[#All],[Descrição Padronizada]],B485))</f>
        <v>---</v>
      </c>
      <c r="I485" s="24" t="s">
        <v>20</v>
      </c>
    </row>
    <row r="486" spans="1:9" hidden="1" x14ac:dyDescent="0.35">
      <c r="A486" s="15">
        <v>484</v>
      </c>
      <c r="C486" s="16" t="str">
        <f t="array" ref="C486">IF(B486="","---",IFERROR(
   _xlfn.PERCENTILE.INC(
      IF((tabDados[Descrição Padronizada]=B486)*(tabDados[Valor Unitário]&lt;&gt;""),
         tabDados[Valor Unitário],""
      ),
   C$1),
   _xlfn.MINIFS(tabDados[Valor Unitário],tabDados[Descrição Padronizada],B486)
))</f>
        <v>---</v>
      </c>
      <c r="D486" s="16" t="str">
        <f t="array" ref="D486">IF(B486="","---",IFERROR(
   _xlfn.PERCENTILE.INC(
      IF((tabDados[Descrição Padronizada]=B486)*(tabDados[Valor Unitário]&lt;&gt;""),
         tabDados[Valor Unitário],""
      ),
   D$1),
   _xlfn.MAXIFS(tabDados[Valor Unitário],tabDados[Descrição Padronizada],B486)
))</f>
        <v>---</v>
      </c>
      <c r="E486" s="16" t="str">
        <f>IF(OR(B486="",B486="---"),"---",
   IFERROR(AVERAGEIFS(tabDados[Valor Unitário],tabDados[Descrição Padronizada],B486,tabDados[Valor Unitário],"&gt;="&amp;C486,tabDados[Valor Unitário],"&lt;="&amp;D486),AVERAGE(C486,D486))
)</f>
        <v>---</v>
      </c>
      <c r="F486" s="12" t="str">
        <f t="array" ref="F486">IF(OR(B486="",B486="---"),"---",TRUNC(IFERROR(MODE(IF((tabDados[Descrição Padronizada]=B486)*(tabDados[Vida Útil (meses)]&lt;&gt;""),tabDados[Vida Útil (meses)],"-")),AVERAGEIFS(tabDados[Vida Útil (meses)],tabDados[Descrição Padronizada],B486))+0.5))</f>
        <v>---</v>
      </c>
      <c r="G486" s="13" t="str">
        <f>IF(OR(B486="",B486="---"),"---",TRUNC(IFERROR(AVERAGEIFS(tabDados[Manutenção (%)],tabDados[Descrição Padronizada],B486,tabDados[Manutenção (%)],"&gt;"&amp;0),0)*10000)/10000)</f>
        <v>---</v>
      </c>
      <c r="H486" s="24" t="str">
        <f>IF(OR(B486="---",B486=""),"---",COUNTIF(tabDados[[#All],[Descrição Padronizada]],B486))</f>
        <v>---</v>
      </c>
      <c r="I486" s="24" t="s">
        <v>20</v>
      </c>
    </row>
    <row r="487" spans="1:9" hidden="1" x14ac:dyDescent="0.35">
      <c r="A487" s="15">
        <v>485</v>
      </c>
      <c r="C487" s="16" t="str">
        <f t="array" ref="C487">IF(B487="","---",IFERROR(
   _xlfn.PERCENTILE.INC(
      IF((tabDados[Descrição Padronizada]=B487)*(tabDados[Valor Unitário]&lt;&gt;""),
         tabDados[Valor Unitário],""
      ),
   C$1),
   _xlfn.MINIFS(tabDados[Valor Unitário],tabDados[Descrição Padronizada],B487)
))</f>
        <v>---</v>
      </c>
      <c r="D487" s="16" t="str">
        <f t="array" ref="D487">IF(B487="","---",IFERROR(
   _xlfn.PERCENTILE.INC(
      IF((tabDados[Descrição Padronizada]=B487)*(tabDados[Valor Unitário]&lt;&gt;""),
         tabDados[Valor Unitário],""
      ),
   D$1),
   _xlfn.MAXIFS(tabDados[Valor Unitário],tabDados[Descrição Padronizada],B487)
))</f>
        <v>---</v>
      </c>
      <c r="E487" s="16" t="str">
        <f>IF(OR(B487="",B487="---"),"---",
   IFERROR(AVERAGEIFS(tabDados[Valor Unitário],tabDados[Descrição Padronizada],B487,tabDados[Valor Unitário],"&gt;="&amp;C487,tabDados[Valor Unitário],"&lt;="&amp;D487),AVERAGE(C487,D487))
)</f>
        <v>---</v>
      </c>
      <c r="F487" s="12" t="str">
        <f t="array" ref="F487">IF(OR(B487="",B487="---"),"---",TRUNC(IFERROR(MODE(IF((tabDados[Descrição Padronizada]=B487)*(tabDados[Vida Útil (meses)]&lt;&gt;""),tabDados[Vida Útil (meses)],"-")),AVERAGEIFS(tabDados[Vida Útil (meses)],tabDados[Descrição Padronizada],B487))+0.5))</f>
        <v>---</v>
      </c>
      <c r="G487" s="13" t="str">
        <f>IF(OR(B487="",B487="---"),"---",TRUNC(IFERROR(AVERAGEIFS(tabDados[Manutenção (%)],tabDados[Descrição Padronizada],B487,tabDados[Manutenção (%)],"&gt;"&amp;0),0)*10000)/10000)</f>
        <v>---</v>
      </c>
      <c r="H487" s="24" t="str">
        <f>IF(OR(B487="---",B487=""),"---",COUNTIF(tabDados[[#All],[Descrição Padronizada]],B487))</f>
        <v>---</v>
      </c>
      <c r="I487" s="24" t="s">
        <v>20</v>
      </c>
    </row>
    <row r="488" spans="1:9" hidden="1" x14ac:dyDescent="0.35">
      <c r="A488" s="15">
        <v>486</v>
      </c>
      <c r="C488" s="16" t="str">
        <f t="array" ref="C488">IF(B488="","---",IFERROR(
   _xlfn.PERCENTILE.INC(
      IF((tabDados[Descrição Padronizada]=B488)*(tabDados[Valor Unitário]&lt;&gt;""),
         tabDados[Valor Unitário],""
      ),
   C$1),
   _xlfn.MINIFS(tabDados[Valor Unitário],tabDados[Descrição Padronizada],B488)
))</f>
        <v>---</v>
      </c>
      <c r="D488" s="16" t="str">
        <f t="array" ref="D488">IF(B488="","---",IFERROR(
   _xlfn.PERCENTILE.INC(
      IF((tabDados[Descrição Padronizada]=B488)*(tabDados[Valor Unitário]&lt;&gt;""),
         tabDados[Valor Unitário],""
      ),
   D$1),
   _xlfn.MAXIFS(tabDados[Valor Unitário],tabDados[Descrição Padronizada],B488)
))</f>
        <v>---</v>
      </c>
      <c r="E488" s="16" t="str">
        <f>IF(OR(B488="",B488="---"),"---",
   IFERROR(AVERAGEIFS(tabDados[Valor Unitário],tabDados[Descrição Padronizada],B488,tabDados[Valor Unitário],"&gt;="&amp;C488,tabDados[Valor Unitário],"&lt;="&amp;D488),AVERAGE(C488,D488))
)</f>
        <v>---</v>
      </c>
      <c r="F488" s="12" t="str">
        <f t="array" ref="F488">IF(OR(B488="",B488="---"),"---",TRUNC(IFERROR(MODE(IF((tabDados[Descrição Padronizada]=B488)*(tabDados[Vida Útil (meses)]&lt;&gt;""),tabDados[Vida Útil (meses)],"-")),AVERAGEIFS(tabDados[Vida Útil (meses)],tabDados[Descrição Padronizada],B488))+0.5))</f>
        <v>---</v>
      </c>
      <c r="G488" s="13" t="str">
        <f>IF(OR(B488="",B488="---"),"---",TRUNC(IFERROR(AVERAGEIFS(tabDados[Manutenção (%)],tabDados[Descrição Padronizada],B488,tabDados[Manutenção (%)],"&gt;"&amp;0),0)*10000)/10000)</f>
        <v>---</v>
      </c>
      <c r="H488" s="24" t="str">
        <f>IF(OR(B488="---",B488=""),"---",COUNTIF(tabDados[[#All],[Descrição Padronizada]],B488))</f>
        <v>---</v>
      </c>
      <c r="I488" s="24" t="s">
        <v>20</v>
      </c>
    </row>
    <row r="489" spans="1:9" hidden="1" x14ac:dyDescent="0.35">
      <c r="A489" s="15">
        <v>487</v>
      </c>
      <c r="C489" s="16" t="str">
        <f t="array" ref="C489">IF(B489="","---",IFERROR(
   _xlfn.PERCENTILE.INC(
      IF((tabDados[Descrição Padronizada]=B489)*(tabDados[Valor Unitário]&lt;&gt;""),
         tabDados[Valor Unitário],""
      ),
   C$1),
   _xlfn.MINIFS(tabDados[Valor Unitário],tabDados[Descrição Padronizada],B489)
))</f>
        <v>---</v>
      </c>
      <c r="D489" s="16" t="str">
        <f t="array" ref="D489">IF(B489="","---",IFERROR(
   _xlfn.PERCENTILE.INC(
      IF((tabDados[Descrição Padronizada]=B489)*(tabDados[Valor Unitário]&lt;&gt;""),
         tabDados[Valor Unitário],""
      ),
   D$1),
   _xlfn.MAXIFS(tabDados[Valor Unitário],tabDados[Descrição Padronizada],B489)
))</f>
        <v>---</v>
      </c>
      <c r="E489" s="16" t="str">
        <f>IF(OR(B489="",B489="---"),"---",
   IFERROR(AVERAGEIFS(tabDados[Valor Unitário],tabDados[Descrição Padronizada],B489,tabDados[Valor Unitário],"&gt;="&amp;C489,tabDados[Valor Unitário],"&lt;="&amp;D489),AVERAGE(C489,D489))
)</f>
        <v>---</v>
      </c>
      <c r="F489" s="12" t="str">
        <f t="array" ref="F489">IF(OR(B489="",B489="---"),"---",TRUNC(IFERROR(MODE(IF((tabDados[Descrição Padronizada]=B489)*(tabDados[Vida Útil (meses)]&lt;&gt;""),tabDados[Vida Útil (meses)],"-")),AVERAGEIFS(tabDados[Vida Útil (meses)],tabDados[Descrição Padronizada],B489))+0.5))</f>
        <v>---</v>
      </c>
      <c r="G489" s="13" t="str">
        <f>IF(OR(B489="",B489="---"),"---",TRUNC(IFERROR(AVERAGEIFS(tabDados[Manutenção (%)],tabDados[Descrição Padronizada],B489,tabDados[Manutenção (%)],"&gt;"&amp;0),0)*10000)/10000)</f>
        <v>---</v>
      </c>
      <c r="H489" s="24" t="str">
        <f>IF(OR(B489="---",B489=""),"---",COUNTIF(tabDados[[#All],[Descrição Padronizada]],B489))</f>
        <v>---</v>
      </c>
      <c r="I489" s="24" t="s">
        <v>20</v>
      </c>
    </row>
    <row r="490" spans="1:9" hidden="1" x14ac:dyDescent="0.35">
      <c r="A490" s="15">
        <v>488</v>
      </c>
      <c r="C490" s="16" t="str">
        <f t="array" ref="C490">IF(B490="","---",IFERROR(
   _xlfn.PERCENTILE.INC(
      IF((tabDados[Descrição Padronizada]=B490)*(tabDados[Valor Unitário]&lt;&gt;""),
         tabDados[Valor Unitário],""
      ),
   C$1),
   _xlfn.MINIFS(tabDados[Valor Unitário],tabDados[Descrição Padronizada],B490)
))</f>
        <v>---</v>
      </c>
      <c r="D490" s="16" t="str">
        <f t="array" ref="D490">IF(B490="","---",IFERROR(
   _xlfn.PERCENTILE.INC(
      IF((tabDados[Descrição Padronizada]=B490)*(tabDados[Valor Unitário]&lt;&gt;""),
         tabDados[Valor Unitário],""
      ),
   D$1),
   _xlfn.MAXIFS(tabDados[Valor Unitário],tabDados[Descrição Padronizada],B490)
))</f>
        <v>---</v>
      </c>
      <c r="E490" s="16" t="str">
        <f>IF(OR(B490="",B490="---"),"---",
   IFERROR(AVERAGEIFS(tabDados[Valor Unitário],tabDados[Descrição Padronizada],B490,tabDados[Valor Unitário],"&gt;="&amp;C490,tabDados[Valor Unitário],"&lt;="&amp;D490),AVERAGE(C490,D490))
)</f>
        <v>---</v>
      </c>
      <c r="F490" s="12" t="str">
        <f t="array" ref="F490">IF(OR(B490="",B490="---"),"---",TRUNC(IFERROR(MODE(IF((tabDados[Descrição Padronizada]=B490)*(tabDados[Vida Útil (meses)]&lt;&gt;""),tabDados[Vida Útil (meses)],"-")),AVERAGEIFS(tabDados[Vida Útil (meses)],tabDados[Descrição Padronizada],B490))+0.5))</f>
        <v>---</v>
      </c>
      <c r="G490" s="13" t="str">
        <f>IF(OR(B490="",B490="---"),"---",TRUNC(IFERROR(AVERAGEIFS(tabDados[Manutenção (%)],tabDados[Descrição Padronizada],B490,tabDados[Manutenção (%)],"&gt;"&amp;0),0)*10000)/10000)</f>
        <v>---</v>
      </c>
      <c r="H490" s="24" t="str">
        <f>IF(OR(B490="---",B490=""),"---",COUNTIF(tabDados[[#All],[Descrição Padronizada]],B490))</f>
        <v>---</v>
      </c>
      <c r="I490" s="24" t="s">
        <v>20</v>
      </c>
    </row>
    <row r="491" spans="1:9" hidden="1" x14ac:dyDescent="0.35">
      <c r="A491" s="15">
        <v>489</v>
      </c>
      <c r="C491" s="16" t="str">
        <f t="array" ref="C491">IF(B491="","---",IFERROR(
   _xlfn.PERCENTILE.INC(
      IF((tabDados[Descrição Padronizada]=B491)*(tabDados[Valor Unitário]&lt;&gt;""),
         tabDados[Valor Unitário],""
      ),
   C$1),
   _xlfn.MINIFS(tabDados[Valor Unitário],tabDados[Descrição Padronizada],B491)
))</f>
        <v>---</v>
      </c>
      <c r="D491" s="16" t="str">
        <f t="array" ref="D491">IF(B491="","---",IFERROR(
   _xlfn.PERCENTILE.INC(
      IF((tabDados[Descrição Padronizada]=B491)*(tabDados[Valor Unitário]&lt;&gt;""),
         tabDados[Valor Unitário],""
      ),
   D$1),
   _xlfn.MAXIFS(tabDados[Valor Unitário],tabDados[Descrição Padronizada],B491)
))</f>
        <v>---</v>
      </c>
      <c r="E491" s="16" t="str">
        <f>IF(OR(B491="",B491="---"),"---",
   IFERROR(AVERAGEIFS(tabDados[Valor Unitário],tabDados[Descrição Padronizada],B491,tabDados[Valor Unitário],"&gt;="&amp;C491,tabDados[Valor Unitário],"&lt;="&amp;D491),AVERAGE(C491,D491))
)</f>
        <v>---</v>
      </c>
      <c r="F491" s="12" t="str">
        <f t="array" ref="F491">IF(OR(B491="",B491="---"),"---",TRUNC(IFERROR(MODE(IF((tabDados[Descrição Padronizada]=B491)*(tabDados[Vida Útil (meses)]&lt;&gt;""),tabDados[Vida Útil (meses)],"-")),AVERAGEIFS(tabDados[Vida Útil (meses)],tabDados[Descrição Padronizada],B491))+0.5))</f>
        <v>---</v>
      </c>
      <c r="G491" s="13" t="str">
        <f>IF(OR(B491="",B491="---"),"---",TRUNC(IFERROR(AVERAGEIFS(tabDados[Manutenção (%)],tabDados[Descrição Padronizada],B491,tabDados[Manutenção (%)],"&gt;"&amp;0),0)*10000)/10000)</f>
        <v>---</v>
      </c>
      <c r="H491" s="24" t="str">
        <f>IF(OR(B491="---",B491=""),"---",COUNTIF(tabDados[[#All],[Descrição Padronizada]],B491))</f>
        <v>---</v>
      </c>
      <c r="I491" s="24" t="s">
        <v>20</v>
      </c>
    </row>
    <row r="492" spans="1:9" hidden="1" x14ac:dyDescent="0.35">
      <c r="A492" s="15">
        <v>490</v>
      </c>
      <c r="C492" s="16" t="str">
        <f t="array" ref="C492">IF(B492="","---",IFERROR(
   _xlfn.PERCENTILE.INC(
      IF((tabDados[Descrição Padronizada]=B492)*(tabDados[Valor Unitário]&lt;&gt;""),
         tabDados[Valor Unitário],""
      ),
   C$1),
   _xlfn.MINIFS(tabDados[Valor Unitário],tabDados[Descrição Padronizada],B492)
))</f>
        <v>---</v>
      </c>
      <c r="D492" s="16" t="str">
        <f t="array" ref="D492">IF(B492="","---",IFERROR(
   _xlfn.PERCENTILE.INC(
      IF((tabDados[Descrição Padronizada]=B492)*(tabDados[Valor Unitário]&lt;&gt;""),
         tabDados[Valor Unitário],""
      ),
   D$1),
   _xlfn.MAXIFS(tabDados[Valor Unitário],tabDados[Descrição Padronizada],B492)
))</f>
        <v>---</v>
      </c>
      <c r="E492" s="16" t="str">
        <f>IF(OR(B492="",B492="---"),"---",
   IFERROR(AVERAGEIFS(tabDados[Valor Unitário],tabDados[Descrição Padronizada],B492,tabDados[Valor Unitário],"&gt;="&amp;C492,tabDados[Valor Unitário],"&lt;="&amp;D492),AVERAGE(C492,D492))
)</f>
        <v>---</v>
      </c>
      <c r="F492" s="12" t="str">
        <f t="array" ref="F492">IF(OR(B492="",B492="---"),"---",TRUNC(IFERROR(MODE(IF((tabDados[Descrição Padronizada]=B492)*(tabDados[Vida Útil (meses)]&lt;&gt;""),tabDados[Vida Útil (meses)],"-")),AVERAGEIFS(tabDados[Vida Útil (meses)],tabDados[Descrição Padronizada],B492))+0.5))</f>
        <v>---</v>
      </c>
      <c r="G492" s="13" t="str">
        <f>IF(OR(B492="",B492="---"),"---",TRUNC(IFERROR(AVERAGEIFS(tabDados[Manutenção (%)],tabDados[Descrição Padronizada],B492,tabDados[Manutenção (%)],"&gt;"&amp;0),0)*10000)/10000)</f>
        <v>---</v>
      </c>
      <c r="H492" s="24" t="str">
        <f>IF(OR(B492="---",B492=""),"---",COUNTIF(tabDados[[#All],[Descrição Padronizada]],B492))</f>
        <v>---</v>
      </c>
      <c r="I492" s="24" t="s">
        <v>20</v>
      </c>
    </row>
    <row r="493" spans="1:9" hidden="1" x14ac:dyDescent="0.35">
      <c r="A493" s="15">
        <v>491</v>
      </c>
      <c r="C493" s="16" t="str">
        <f t="array" ref="C493">IF(B493="","---",IFERROR(
   _xlfn.PERCENTILE.INC(
      IF((tabDados[Descrição Padronizada]=B493)*(tabDados[Valor Unitário]&lt;&gt;""),
         tabDados[Valor Unitário],""
      ),
   C$1),
   _xlfn.MINIFS(tabDados[Valor Unitário],tabDados[Descrição Padronizada],B493)
))</f>
        <v>---</v>
      </c>
      <c r="D493" s="16" t="str">
        <f t="array" ref="D493">IF(B493="","---",IFERROR(
   _xlfn.PERCENTILE.INC(
      IF((tabDados[Descrição Padronizada]=B493)*(tabDados[Valor Unitário]&lt;&gt;""),
         tabDados[Valor Unitário],""
      ),
   D$1),
   _xlfn.MAXIFS(tabDados[Valor Unitário],tabDados[Descrição Padronizada],B493)
))</f>
        <v>---</v>
      </c>
      <c r="E493" s="16" t="str">
        <f>IF(OR(B493="",B493="---"),"---",
   IFERROR(AVERAGEIFS(tabDados[Valor Unitário],tabDados[Descrição Padronizada],B493,tabDados[Valor Unitário],"&gt;="&amp;C493,tabDados[Valor Unitário],"&lt;="&amp;D493),AVERAGE(C493,D493))
)</f>
        <v>---</v>
      </c>
      <c r="F493" s="12" t="str">
        <f t="array" ref="F493">IF(OR(B493="",B493="---"),"---",TRUNC(IFERROR(MODE(IF((tabDados[Descrição Padronizada]=B493)*(tabDados[Vida Útil (meses)]&lt;&gt;""),tabDados[Vida Útil (meses)],"-")),AVERAGEIFS(tabDados[Vida Útil (meses)],tabDados[Descrição Padronizada],B493))+0.5))</f>
        <v>---</v>
      </c>
      <c r="G493" s="13" t="str">
        <f>IF(OR(B493="",B493="---"),"---",TRUNC(IFERROR(AVERAGEIFS(tabDados[Manutenção (%)],tabDados[Descrição Padronizada],B493,tabDados[Manutenção (%)],"&gt;"&amp;0),0)*10000)/10000)</f>
        <v>---</v>
      </c>
      <c r="H493" s="24" t="str">
        <f>IF(OR(B493="---",B493=""),"---",COUNTIF(tabDados[[#All],[Descrição Padronizada]],B493))</f>
        <v>---</v>
      </c>
      <c r="I493" s="24" t="s">
        <v>20</v>
      </c>
    </row>
    <row r="494" spans="1:9" hidden="1" x14ac:dyDescent="0.35">
      <c r="A494" s="15">
        <v>492</v>
      </c>
      <c r="C494" s="16" t="str">
        <f t="array" ref="C494">IF(B494="","---",IFERROR(
   _xlfn.PERCENTILE.INC(
      IF((tabDados[Descrição Padronizada]=B494)*(tabDados[Valor Unitário]&lt;&gt;""),
         tabDados[Valor Unitário],""
      ),
   C$1),
   _xlfn.MINIFS(tabDados[Valor Unitário],tabDados[Descrição Padronizada],B494)
))</f>
        <v>---</v>
      </c>
      <c r="D494" s="16" t="str">
        <f t="array" ref="D494">IF(B494="","---",IFERROR(
   _xlfn.PERCENTILE.INC(
      IF((tabDados[Descrição Padronizada]=B494)*(tabDados[Valor Unitário]&lt;&gt;""),
         tabDados[Valor Unitário],""
      ),
   D$1),
   _xlfn.MAXIFS(tabDados[Valor Unitário],tabDados[Descrição Padronizada],B494)
))</f>
        <v>---</v>
      </c>
      <c r="E494" s="16" t="str">
        <f>IF(OR(B494="",B494="---"),"---",
   IFERROR(AVERAGEIFS(tabDados[Valor Unitário],tabDados[Descrição Padronizada],B494,tabDados[Valor Unitário],"&gt;="&amp;C494,tabDados[Valor Unitário],"&lt;="&amp;D494),AVERAGE(C494,D494))
)</f>
        <v>---</v>
      </c>
      <c r="F494" s="12" t="str">
        <f t="array" ref="F494">IF(OR(B494="",B494="---"),"---",TRUNC(IFERROR(MODE(IF((tabDados[Descrição Padronizada]=B494)*(tabDados[Vida Útil (meses)]&lt;&gt;""),tabDados[Vida Útil (meses)],"-")),AVERAGEIFS(tabDados[Vida Útil (meses)],tabDados[Descrição Padronizada],B494))+0.5))</f>
        <v>---</v>
      </c>
      <c r="G494" s="13" t="str">
        <f>IF(OR(B494="",B494="---"),"---",TRUNC(IFERROR(AVERAGEIFS(tabDados[Manutenção (%)],tabDados[Descrição Padronizada],B494,tabDados[Manutenção (%)],"&gt;"&amp;0),0)*10000)/10000)</f>
        <v>---</v>
      </c>
      <c r="H494" s="24" t="str">
        <f>IF(OR(B494="---",B494=""),"---",COUNTIF(tabDados[[#All],[Descrição Padronizada]],B494))</f>
        <v>---</v>
      </c>
      <c r="I494" s="24" t="s">
        <v>20</v>
      </c>
    </row>
    <row r="495" spans="1:9" hidden="1" x14ac:dyDescent="0.35">
      <c r="A495" s="15">
        <v>493</v>
      </c>
      <c r="C495" s="16" t="str">
        <f t="array" ref="C495">IF(B495="","---",IFERROR(
   _xlfn.PERCENTILE.INC(
      IF((tabDados[Descrição Padronizada]=B495)*(tabDados[Valor Unitário]&lt;&gt;""),
         tabDados[Valor Unitário],""
      ),
   C$1),
   _xlfn.MINIFS(tabDados[Valor Unitário],tabDados[Descrição Padronizada],B495)
))</f>
        <v>---</v>
      </c>
      <c r="D495" s="16" t="str">
        <f t="array" ref="D495">IF(B495="","---",IFERROR(
   _xlfn.PERCENTILE.INC(
      IF((tabDados[Descrição Padronizada]=B495)*(tabDados[Valor Unitário]&lt;&gt;""),
         tabDados[Valor Unitário],""
      ),
   D$1),
   _xlfn.MAXIFS(tabDados[Valor Unitário],tabDados[Descrição Padronizada],B495)
))</f>
        <v>---</v>
      </c>
      <c r="E495" s="16" t="str">
        <f>IF(OR(B495="",B495="---"),"---",
   IFERROR(AVERAGEIFS(tabDados[Valor Unitário],tabDados[Descrição Padronizada],B495,tabDados[Valor Unitário],"&gt;="&amp;C495,tabDados[Valor Unitário],"&lt;="&amp;D495),AVERAGE(C495,D495))
)</f>
        <v>---</v>
      </c>
      <c r="F495" s="12" t="str">
        <f t="array" ref="F495">IF(OR(B495="",B495="---"),"---",TRUNC(IFERROR(MODE(IF((tabDados[Descrição Padronizada]=B495)*(tabDados[Vida Útil (meses)]&lt;&gt;""),tabDados[Vida Útil (meses)],"-")),AVERAGEIFS(tabDados[Vida Útil (meses)],tabDados[Descrição Padronizada],B495))+0.5))</f>
        <v>---</v>
      </c>
      <c r="G495" s="13" t="str">
        <f>IF(OR(B495="",B495="---"),"---",TRUNC(IFERROR(AVERAGEIFS(tabDados[Manutenção (%)],tabDados[Descrição Padronizada],B495,tabDados[Manutenção (%)],"&gt;"&amp;0),0)*10000)/10000)</f>
        <v>---</v>
      </c>
      <c r="H495" s="24" t="str">
        <f>IF(OR(B495="---",B495=""),"---",COUNTIF(tabDados[[#All],[Descrição Padronizada]],B495))</f>
        <v>---</v>
      </c>
      <c r="I495" s="24" t="s">
        <v>20</v>
      </c>
    </row>
    <row r="496" spans="1:9" hidden="1" x14ac:dyDescent="0.35">
      <c r="A496" s="15">
        <v>494</v>
      </c>
      <c r="C496" s="16" t="str">
        <f t="array" ref="C496">IF(B496="","---",IFERROR(
   _xlfn.PERCENTILE.INC(
      IF((tabDados[Descrição Padronizada]=B496)*(tabDados[Valor Unitário]&lt;&gt;""),
         tabDados[Valor Unitário],""
      ),
   C$1),
   _xlfn.MINIFS(tabDados[Valor Unitário],tabDados[Descrição Padronizada],B496)
))</f>
        <v>---</v>
      </c>
      <c r="D496" s="16" t="str">
        <f t="array" ref="D496">IF(B496="","---",IFERROR(
   _xlfn.PERCENTILE.INC(
      IF((tabDados[Descrição Padronizada]=B496)*(tabDados[Valor Unitário]&lt;&gt;""),
         tabDados[Valor Unitário],""
      ),
   D$1),
   _xlfn.MAXIFS(tabDados[Valor Unitário],tabDados[Descrição Padronizada],B496)
))</f>
        <v>---</v>
      </c>
      <c r="E496" s="16" t="str">
        <f>IF(OR(B496="",B496="---"),"---",
   IFERROR(AVERAGEIFS(tabDados[Valor Unitário],tabDados[Descrição Padronizada],B496,tabDados[Valor Unitário],"&gt;="&amp;C496,tabDados[Valor Unitário],"&lt;="&amp;D496),AVERAGE(C496,D496))
)</f>
        <v>---</v>
      </c>
      <c r="F496" s="12" t="str">
        <f t="array" ref="F496">IF(OR(B496="",B496="---"),"---",TRUNC(IFERROR(MODE(IF((tabDados[Descrição Padronizada]=B496)*(tabDados[Vida Útil (meses)]&lt;&gt;""),tabDados[Vida Útil (meses)],"-")),AVERAGEIFS(tabDados[Vida Útil (meses)],tabDados[Descrição Padronizada],B496))+0.5))</f>
        <v>---</v>
      </c>
      <c r="G496" s="13" t="str">
        <f>IF(OR(B496="",B496="---"),"---",TRUNC(IFERROR(AVERAGEIFS(tabDados[Manutenção (%)],tabDados[Descrição Padronizada],B496,tabDados[Manutenção (%)],"&gt;"&amp;0),0)*10000)/10000)</f>
        <v>---</v>
      </c>
      <c r="H496" s="24" t="str">
        <f>IF(OR(B496="---",B496=""),"---",COUNTIF(tabDados[[#All],[Descrição Padronizada]],B496))</f>
        <v>---</v>
      </c>
      <c r="I496" s="24" t="s">
        <v>20</v>
      </c>
    </row>
    <row r="497" spans="1:9" hidden="1" x14ac:dyDescent="0.35">
      <c r="A497" s="15">
        <v>495</v>
      </c>
      <c r="C497" s="16" t="str">
        <f t="array" ref="C497">IF(B497="","---",IFERROR(
   _xlfn.PERCENTILE.INC(
      IF((tabDados[Descrição Padronizada]=B497)*(tabDados[Valor Unitário]&lt;&gt;""),
         tabDados[Valor Unitário],""
      ),
   C$1),
   _xlfn.MINIFS(tabDados[Valor Unitário],tabDados[Descrição Padronizada],B497)
))</f>
        <v>---</v>
      </c>
      <c r="D497" s="16" t="str">
        <f t="array" ref="D497">IF(B497="","---",IFERROR(
   _xlfn.PERCENTILE.INC(
      IF((tabDados[Descrição Padronizada]=B497)*(tabDados[Valor Unitário]&lt;&gt;""),
         tabDados[Valor Unitário],""
      ),
   D$1),
   _xlfn.MAXIFS(tabDados[Valor Unitário],tabDados[Descrição Padronizada],B497)
))</f>
        <v>---</v>
      </c>
      <c r="E497" s="16" t="str">
        <f>IF(OR(B497="",B497="---"),"---",
   IFERROR(AVERAGEIFS(tabDados[Valor Unitário],tabDados[Descrição Padronizada],B497,tabDados[Valor Unitário],"&gt;="&amp;C497,tabDados[Valor Unitário],"&lt;="&amp;D497),AVERAGE(C497,D497))
)</f>
        <v>---</v>
      </c>
      <c r="F497" s="12" t="str">
        <f t="array" ref="F497">IF(OR(B497="",B497="---"),"---",TRUNC(IFERROR(MODE(IF((tabDados[Descrição Padronizada]=B497)*(tabDados[Vida Útil (meses)]&lt;&gt;""),tabDados[Vida Útil (meses)],"-")),AVERAGEIFS(tabDados[Vida Útil (meses)],tabDados[Descrição Padronizada],B497))+0.5))</f>
        <v>---</v>
      </c>
      <c r="G497" s="13" t="str">
        <f>IF(OR(B497="",B497="---"),"---",TRUNC(IFERROR(AVERAGEIFS(tabDados[Manutenção (%)],tabDados[Descrição Padronizada],B497,tabDados[Manutenção (%)],"&gt;"&amp;0),0)*10000)/10000)</f>
        <v>---</v>
      </c>
      <c r="H497" s="24" t="str">
        <f>IF(OR(B497="---",B497=""),"---",COUNTIF(tabDados[[#All],[Descrição Padronizada]],B497))</f>
        <v>---</v>
      </c>
      <c r="I497" s="24" t="s">
        <v>20</v>
      </c>
    </row>
    <row r="498" spans="1:9" hidden="1" x14ac:dyDescent="0.35">
      <c r="A498" s="15">
        <v>496</v>
      </c>
      <c r="C498" s="16" t="str">
        <f t="array" ref="C498">IF(B498="","---",IFERROR(
   _xlfn.PERCENTILE.INC(
      IF((tabDados[Descrição Padronizada]=B498)*(tabDados[Valor Unitário]&lt;&gt;""),
         tabDados[Valor Unitário],""
      ),
   C$1),
   _xlfn.MINIFS(tabDados[Valor Unitário],tabDados[Descrição Padronizada],B498)
))</f>
        <v>---</v>
      </c>
      <c r="D498" s="16" t="str">
        <f t="array" ref="D498">IF(B498="","---",IFERROR(
   _xlfn.PERCENTILE.INC(
      IF((tabDados[Descrição Padronizada]=B498)*(tabDados[Valor Unitário]&lt;&gt;""),
         tabDados[Valor Unitário],""
      ),
   D$1),
   _xlfn.MAXIFS(tabDados[Valor Unitário],tabDados[Descrição Padronizada],B498)
))</f>
        <v>---</v>
      </c>
      <c r="E498" s="16" t="str">
        <f>IF(OR(B498="",B498="---"),"---",
   IFERROR(AVERAGEIFS(tabDados[Valor Unitário],tabDados[Descrição Padronizada],B498,tabDados[Valor Unitário],"&gt;="&amp;C498,tabDados[Valor Unitário],"&lt;="&amp;D498),AVERAGE(C498,D498))
)</f>
        <v>---</v>
      </c>
      <c r="F498" s="12" t="str">
        <f t="array" ref="F498">IF(OR(B498="",B498="---"),"---",TRUNC(IFERROR(MODE(IF((tabDados[Descrição Padronizada]=B498)*(tabDados[Vida Útil (meses)]&lt;&gt;""),tabDados[Vida Útil (meses)],"-")),AVERAGEIFS(tabDados[Vida Útil (meses)],tabDados[Descrição Padronizada],B498))+0.5))</f>
        <v>---</v>
      </c>
      <c r="G498" s="13" t="str">
        <f>IF(OR(B498="",B498="---"),"---",TRUNC(IFERROR(AVERAGEIFS(tabDados[Manutenção (%)],tabDados[Descrição Padronizada],B498,tabDados[Manutenção (%)],"&gt;"&amp;0),0)*10000)/10000)</f>
        <v>---</v>
      </c>
      <c r="H498" s="24" t="str">
        <f>IF(OR(B498="---",B498=""),"---",COUNTIF(tabDados[[#All],[Descrição Padronizada]],B498))</f>
        <v>---</v>
      </c>
      <c r="I498" s="24" t="s">
        <v>20</v>
      </c>
    </row>
    <row r="499" spans="1:9" hidden="1" x14ac:dyDescent="0.35">
      <c r="A499" s="15">
        <v>497</v>
      </c>
      <c r="C499" s="16" t="str">
        <f t="array" ref="C499">IF(B499="","---",IFERROR(
   _xlfn.PERCENTILE.INC(
      IF((tabDados[Descrição Padronizada]=B499)*(tabDados[Valor Unitário]&lt;&gt;""),
         tabDados[Valor Unitário],""
      ),
   C$1),
   _xlfn.MINIFS(tabDados[Valor Unitário],tabDados[Descrição Padronizada],B499)
))</f>
        <v>---</v>
      </c>
      <c r="D499" s="16" t="str">
        <f t="array" ref="D499">IF(B499="","---",IFERROR(
   _xlfn.PERCENTILE.INC(
      IF((tabDados[Descrição Padronizada]=B499)*(tabDados[Valor Unitário]&lt;&gt;""),
         tabDados[Valor Unitário],""
      ),
   D$1),
   _xlfn.MAXIFS(tabDados[Valor Unitário],tabDados[Descrição Padronizada],B499)
))</f>
        <v>---</v>
      </c>
      <c r="E499" s="16" t="str">
        <f>IF(OR(B499="",B499="---"),"---",
   IFERROR(AVERAGEIFS(tabDados[Valor Unitário],tabDados[Descrição Padronizada],B499,tabDados[Valor Unitário],"&gt;="&amp;C499,tabDados[Valor Unitário],"&lt;="&amp;D499),AVERAGE(C499,D499))
)</f>
        <v>---</v>
      </c>
      <c r="F499" s="12" t="str">
        <f t="array" ref="F499">IF(OR(B499="",B499="---"),"---",TRUNC(IFERROR(MODE(IF((tabDados[Descrição Padronizada]=B499)*(tabDados[Vida Útil (meses)]&lt;&gt;""),tabDados[Vida Útil (meses)],"-")),AVERAGEIFS(tabDados[Vida Útil (meses)],tabDados[Descrição Padronizada],B499))+0.5))</f>
        <v>---</v>
      </c>
      <c r="G499" s="13" t="str">
        <f>IF(OR(B499="",B499="---"),"---",TRUNC(IFERROR(AVERAGEIFS(tabDados[Manutenção (%)],tabDados[Descrição Padronizada],B499,tabDados[Manutenção (%)],"&gt;"&amp;0),0)*10000)/10000)</f>
        <v>---</v>
      </c>
      <c r="H499" s="24" t="str">
        <f>IF(OR(B499="---",B499=""),"---",COUNTIF(tabDados[[#All],[Descrição Padronizada]],B499))</f>
        <v>---</v>
      </c>
      <c r="I499" s="24" t="s">
        <v>20</v>
      </c>
    </row>
    <row r="500" spans="1:9" hidden="1" x14ac:dyDescent="0.35">
      <c r="A500" s="15">
        <v>498</v>
      </c>
      <c r="C500" s="16" t="str">
        <f t="array" ref="C500">IF(B500="","---",IFERROR(
   _xlfn.PERCENTILE.INC(
      IF((tabDados[Descrição Padronizada]=B500)*(tabDados[Valor Unitário]&lt;&gt;""),
         tabDados[Valor Unitário],""
      ),
   C$1),
   _xlfn.MINIFS(tabDados[Valor Unitário],tabDados[Descrição Padronizada],B500)
))</f>
        <v>---</v>
      </c>
      <c r="D500" s="16" t="str">
        <f t="array" ref="D500">IF(B500="","---",IFERROR(
   _xlfn.PERCENTILE.INC(
      IF((tabDados[Descrição Padronizada]=B500)*(tabDados[Valor Unitário]&lt;&gt;""),
         tabDados[Valor Unitário],""
      ),
   D$1),
   _xlfn.MAXIFS(tabDados[Valor Unitário],tabDados[Descrição Padronizada],B500)
))</f>
        <v>---</v>
      </c>
      <c r="E500" s="16" t="str">
        <f>IF(OR(B500="",B500="---"),"---",
   IFERROR(AVERAGEIFS(tabDados[Valor Unitário],tabDados[Descrição Padronizada],B500,tabDados[Valor Unitário],"&gt;="&amp;C500,tabDados[Valor Unitário],"&lt;="&amp;D500),AVERAGE(C500,D500))
)</f>
        <v>---</v>
      </c>
      <c r="F500" s="12" t="str">
        <f t="array" ref="F500">IF(OR(B500="",B500="---"),"---",TRUNC(IFERROR(MODE(IF((tabDados[Descrição Padronizada]=B500)*(tabDados[Vida Útil (meses)]&lt;&gt;""),tabDados[Vida Útil (meses)],"-")),AVERAGEIFS(tabDados[Vida Útil (meses)],tabDados[Descrição Padronizada],B500))+0.5))</f>
        <v>---</v>
      </c>
      <c r="G500" s="13" t="str">
        <f>IF(OR(B500="",B500="---"),"---",TRUNC(IFERROR(AVERAGEIFS(tabDados[Manutenção (%)],tabDados[Descrição Padronizada],B500,tabDados[Manutenção (%)],"&gt;"&amp;0),0)*10000)/10000)</f>
        <v>---</v>
      </c>
      <c r="H500" s="24" t="str">
        <f>IF(OR(B500="---",B500=""),"---",COUNTIF(tabDados[[#All],[Descrição Padronizada]],B500))</f>
        <v>---</v>
      </c>
      <c r="I500" s="24" t="s">
        <v>20</v>
      </c>
    </row>
    <row r="501" spans="1:9" hidden="1" x14ac:dyDescent="0.35">
      <c r="A501" s="15">
        <v>499</v>
      </c>
      <c r="C501" s="16" t="str">
        <f t="array" ref="C501">IF(B501="","---",IFERROR(
   _xlfn.PERCENTILE.INC(
      IF((tabDados[Descrição Padronizada]=B501)*(tabDados[Valor Unitário]&lt;&gt;""),
         tabDados[Valor Unitário],""
      ),
   C$1),
   _xlfn.MINIFS(tabDados[Valor Unitário],tabDados[Descrição Padronizada],B501)
))</f>
        <v>---</v>
      </c>
      <c r="D501" s="16" t="str">
        <f t="array" ref="D501">IF(B501="","---",IFERROR(
   _xlfn.PERCENTILE.INC(
      IF((tabDados[Descrição Padronizada]=B501)*(tabDados[Valor Unitário]&lt;&gt;""),
         tabDados[Valor Unitário],""
      ),
   D$1),
   _xlfn.MAXIFS(tabDados[Valor Unitário],tabDados[Descrição Padronizada],B501)
))</f>
        <v>---</v>
      </c>
      <c r="E501" s="16" t="str">
        <f>IF(OR(B501="",B501="---"),"---",
   IFERROR(AVERAGEIFS(tabDados[Valor Unitário],tabDados[Descrição Padronizada],B501,tabDados[Valor Unitário],"&gt;="&amp;C501,tabDados[Valor Unitário],"&lt;="&amp;D501),AVERAGE(C501,D501))
)</f>
        <v>---</v>
      </c>
      <c r="F501" s="12" t="str">
        <f t="array" ref="F501">IF(OR(B501="",B501="---"),"---",TRUNC(IFERROR(MODE(IF((tabDados[Descrição Padronizada]=B501)*(tabDados[Vida Útil (meses)]&lt;&gt;""),tabDados[Vida Útil (meses)],"-")),AVERAGEIFS(tabDados[Vida Útil (meses)],tabDados[Descrição Padronizada],B501))+0.5))</f>
        <v>---</v>
      </c>
      <c r="G501" s="13" t="str">
        <f>IF(OR(B501="",B501="---"),"---",TRUNC(IFERROR(AVERAGEIFS(tabDados[Manutenção (%)],tabDados[Descrição Padronizada],B501,tabDados[Manutenção (%)],"&gt;"&amp;0),0)*10000)/10000)</f>
        <v>---</v>
      </c>
      <c r="H501" s="24" t="str">
        <f>IF(OR(B501="---",B501=""),"---",COUNTIF(tabDados[[#All],[Descrição Padronizada]],B501))</f>
        <v>---</v>
      </c>
      <c r="I501" s="24" t="s">
        <v>20</v>
      </c>
    </row>
    <row r="502" spans="1:9" ht="13.5" hidden="1" customHeight="1" thickBot="1" x14ac:dyDescent="0.4">
      <c r="A502" s="18">
        <v>500</v>
      </c>
      <c r="B502" s="19"/>
      <c r="C502" s="20" t="str">
        <f t="array" ref="C502">IF(B502="","---",IFERROR(
   _xlfn.PERCENTILE.INC(
      IF((tabDados[Descrição Padronizada]=B502)*(tabDados[Valor Unitário]&lt;&gt;""),
         tabDados[Valor Unitário],""
      ),
   C$1),
   _xlfn.MINIFS(tabDados[Valor Unitário],tabDados[Descrição Padronizada],B502)
))</f>
        <v>---</v>
      </c>
      <c r="D502" s="20" t="str">
        <f t="array" ref="D502">IF(B502="","---",IFERROR(
   _xlfn.PERCENTILE.INC(
      IF((tabDados[Descrição Padronizada]=B502)*(tabDados[Valor Unitário]&lt;&gt;""),
         tabDados[Valor Unitário],""
      ),
   D$1),
   _xlfn.MAXIFS(tabDados[Valor Unitário],tabDados[Descrição Padronizada],B502)
))</f>
        <v>---</v>
      </c>
      <c r="E502" s="20" t="str">
        <f>IF(OR(B502="",B502="---"),"---",
   IFERROR(AVERAGEIFS(tabDados[Valor Unitário],tabDados[Descrição Padronizada],B502,tabDados[Valor Unitário],"&gt;="&amp;C502,tabDados[Valor Unitário],"&lt;="&amp;D502),AVERAGE(C502,D502))
)</f>
        <v>---</v>
      </c>
      <c r="F502" s="21" t="str">
        <f t="array" ref="F502">IF(OR(B502="",B502="---"),"---",TRUNC(IFERROR(MODE(IF((tabDados[Descrição Padronizada]=B502)*(tabDados[Vida Útil (meses)]&lt;&gt;""),tabDados[Vida Útil (meses)],"-")),AVERAGEIFS(tabDados[Vida Útil (meses)],tabDados[Descrição Padronizada],B502))+0.5))</f>
        <v>---</v>
      </c>
      <c r="G502" s="22" t="str">
        <f>IF(OR(B502="",B502="---"),"---",TRUNC(IFERROR(AVERAGEIFS(tabDados[Manutenção (%)],tabDados[Descrição Padronizada],B502,tabDados[Manutenção (%)],"&gt;"&amp;0),0)*10000)/10000)</f>
        <v>---</v>
      </c>
      <c r="H502" s="46" t="str">
        <f>IF(OR(B502="---",B502=""),"---",COUNTIF(tabDados[[#All],[Descrição Padronizada]],B502))</f>
        <v>---</v>
      </c>
      <c r="I502" s="46" t="s">
        <v>20</v>
      </c>
    </row>
    <row r="503" spans="1:9" x14ac:dyDescent="0.35">
      <c r="A503" s="15"/>
    </row>
  </sheetData>
  <autoFilter ref="A2:I502" xr:uid="{00000000-0009-0000-0000-000001000000}">
    <filterColumn colId="8">
      <filters>
        <filter val="Priorit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A1:D601"/>
  <sheetViews>
    <sheetView showGridLines="0" topLeftCell="A556" workbookViewId="0">
      <selection activeCell="D12" sqref="D12"/>
    </sheetView>
  </sheetViews>
  <sheetFormatPr defaultRowHeight="14.5" x14ac:dyDescent="0.35"/>
  <cols>
    <col min="1" max="1" width="3.81640625" bestFit="1" customWidth="1"/>
    <col min="2" max="2" width="55.7265625" bestFit="1" customWidth="1"/>
    <col min="4" max="4" width="39.1796875" bestFit="1" customWidth="1"/>
  </cols>
  <sheetData>
    <row r="1" spans="1:4" x14ac:dyDescent="0.35">
      <c r="A1" s="54" t="s">
        <v>11</v>
      </c>
      <c r="B1" s="52" t="s">
        <v>21</v>
      </c>
      <c r="C1" s="54" t="s">
        <v>22</v>
      </c>
      <c r="D1" s="52" t="s">
        <v>12</v>
      </c>
    </row>
    <row r="2" spans="1:4" x14ac:dyDescent="0.35">
      <c r="A2" s="53">
        <v>1</v>
      </c>
      <c r="B2" t="s">
        <v>23</v>
      </c>
      <c r="C2">
        <v>65.760000000000005</v>
      </c>
      <c r="D2" t="s">
        <v>24</v>
      </c>
    </row>
    <row r="3" spans="1:4" x14ac:dyDescent="0.35">
      <c r="A3" s="53">
        <v>2</v>
      </c>
      <c r="B3" t="s">
        <v>25</v>
      </c>
      <c r="C3">
        <v>113.4</v>
      </c>
      <c r="D3" t="s">
        <v>24</v>
      </c>
    </row>
    <row r="4" spans="1:4" x14ac:dyDescent="0.35">
      <c r="A4" s="53">
        <v>3</v>
      </c>
      <c r="B4" t="s">
        <v>26</v>
      </c>
      <c r="C4">
        <v>99.65</v>
      </c>
      <c r="D4" t="s">
        <v>24</v>
      </c>
    </row>
    <row r="5" spans="1:4" x14ac:dyDescent="0.35">
      <c r="A5" s="53">
        <v>4</v>
      </c>
      <c r="B5" t="s">
        <v>27</v>
      </c>
      <c r="C5">
        <v>257.89999999999998</v>
      </c>
      <c r="D5" t="s">
        <v>24</v>
      </c>
    </row>
    <row r="6" spans="1:4" x14ac:dyDescent="0.35">
      <c r="A6" s="53">
        <v>5</v>
      </c>
      <c r="B6" t="s">
        <v>28</v>
      </c>
      <c r="C6">
        <v>26.95</v>
      </c>
      <c r="D6" t="s">
        <v>24</v>
      </c>
    </row>
    <row r="7" spans="1:4" x14ac:dyDescent="0.35">
      <c r="A7" s="53">
        <v>6</v>
      </c>
      <c r="B7" t="s">
        <v>29</v>
      </c>
      <c r="C7">
        <v>380.49</v>
      </c>
      <c r="D7" t="s">
        <v>24</v>
      </c>
    </row>
    <row r="8" spans="1:4" x14ac:dyDescent="0.35">
      <c r="A8" s="53">
        <v>7</v>
      </c>
      <c r="B8" t="s">
        <v>30</v>
      </c>
      <c r="C8">
        <v>449.9</v>
      </c>
      <c r="D8" t="s">
        <v>24</v>
      </c>
    </row>
    <row r="9" spans="1:4" x14ac:dyDescent="0.35">
      <c r="A9" s="53">
        <v>8</v>
      </c>
      <c r="B9" t="s">
        <v>31</v>
      </c>
      <c r="C9">
        <v>149</v>
      </c>
      <c r="D9" t="s">
        <v>24</v>
      </c>
    </row>
    <row r="10" spans="1:4" x14ac:dyDescent="0.35">
      <c r="A10" s="53">
        <v>9</v>
      </c>
      <c r="B10" t="s">
        <v>32</v>
      </c>
      <c r="C10">
        <v>105.9</v>
      </c>
      <c r="D10" t="s">
        <v>24</v>
      </c>
    </row>
    <row r="11" spans="1:4" x14ac:dyDescent="0.35">
      <c r="A11" s="53">
        <v>10</v>
      </c>
      <c r="B11" t="s">
        <v>33</v>
      </c>
      <c r="C11">
        <v>132.87</v>
      </c>
      <c r="D11" t="s">
        <v>24</v>
      </c>
    </row>
    <row r="12" spans="1:4" x14ac:dyDescent="0.35">
      <c r="A12" s="53">
        <v>11</v>
      </c>
      <c r="B12" t="s">
        <v>34</v>
      </c>
      <c r="C12">
        <v>579.37</v>
      </c>
      <c r="D12" t="s">
        <v>35</v>
      </c>
    </row>
    <row r="13" spans="1:4" x14ac:dyDescent="0.35">
      <c r="A13" s="53">
        <v>12</v>
      </c>
      <c r="B13" t="s">
        <v>36</v>
      </c>
      <c r="C13">
        <v>693.31</v>
      </c>
      <c r="D13" t="s">
        <v>35</v>
      </c>
    </row>
    <row r="14" spans="1:4" x14ac:dyDescent="0.35">
      <c r="A14" s="53">
        <v>13</v>
      </c>
      <c r="B14" t="s">
        <v>37</v>
      </c>
      <c r="C14">
        <v>740</v>
      </c>
      <c r="D14" t="s">
        <v>35</v>
      </c>
    </row>
    <row r="15" spans="1:4" x14ac:dyDescent="0.35">
      <c r="A15" s="53">
        <v>14</v>
      </c>
      <c r="B15" t="s">
        <v>38</v>
      </c>
      <c r="C15">
        <v>1281.5</v>
      </c>
      <c r="D15" t="s">
        <v>35</v>
      </c>
    </row>
    <row r="16" spans="1:4" x14ac:dyDescent="0.35">
      <c r="A16" s="53">
        <v>15</v>
      </c>
      <c r="B16" t="s">
        <v>39</v>
      </c>
      <c r="C16">
        <v>1165</v>
      </c>
      <c r="D16" t="s">
        <v>35</v>
      </c>
    </row>
    <row r="17" spans="1:4" x14ac:dyDescent="0.35">
      <c r="A17" s="53">
        <v>16</v>
      </c>
      <c r="B17" t="s">
        <v>40</v>
      </c>
      <c r="C17">
        <v>1009.8</v>
      </c>
      <c r="D17" t="s">
        <v>35</v>
      </c>
    </row>
    <row r="18" spans="1:4" x14ac:dyDescent="0.35">
      <c r="A18" s="53">
        <v>17</v>
      </c>
      <c r="B18" t="s">
        <v>41</v>
      </c>
      <c r="C18">
        <v>1350</v>
      </c>
      <c r="D18" t="s">
        <v>35</v>
      </c>
    </row>
    <row r="19" spans="1:4" x14ac:dyDescent="0.35">
      <c r="A19" s="53">
        <v>18</v>
      </c>
      <c r="B19" t="s">
        <v>42</v>
      </c>
      <c r="C19">
        <v>1300.6099999999999</v>
      </c>
      <c r="D19" t="s">
        <v>35</v>
      </c>
    </row>
    <row r="20" spans="1:4" x14ac:dyDescent="0.35">
      <c r="A20" s="53">
        <v>19</v>
      </c>
      <c r="B20" t="s">
        <v>43</v>
      </c>
      <c r="C20">
        <v>979.99</v>
      </c>
      <c r="D20" t="s">
        <v>35</v>
      </c>
    </row>
    <row r="21" spans="1:4" x14ac:dyDescent="0.35">
      <c r="A21" s="53">
        <v>20</v>
      </c>
      <c r="B21" t="s">
        <v>44</v>
      </c>
      <c r="C21">
        <v>589.9</v>
      </c>
      <c r="D21" t="s">
        <v>35</v>
      </c>
    </row>
    <row r="22" spans="1:4" x14ac:dyDescent="0.35">
      <c r="A22" s="53">
        <v>21</v>
      </c>
      <c r="D22" t="s">
        <v>45</v>
      </c>
    </row>
    <row r="23" spans="1:4" x14ac:dyDescent="0.35">
      <c r="A23" s="53">
        <v>22</v>
      </c>
      <c r="D23" t="s">
        <v>45</v>
      </c>
    </row>
    <row r="24" spans="1:4" x14ac:dyDescent="0.35">
      <c r="A24" s="53">
        <v>23</v>
      </c>
      <c r="D24" t="s">
        <v>45</v>
      </c>
    </row>
    <row r="25" spans="1:4" x14ac:dyDescent="0.35">
      <c r="A25" s="53">
        <v>24</v>
      </c>
      <c r="D25" t="s">
        <v>45</v>
      </c>
    </row>
    <row r="26" spans="1:4" x14ac:dyDescent="0.35">
      <c r="A26" s="53">
        <v>25</v>
      </c>
      <c r="D26" t="s">
        <v>45</v>
      </c>
    </row>
    <row r="27" spans="1:4" x14ac:dyDescent="0.35">
      <c r="A27" s="53">
        <v>26</v>
      </c>
      <c r="D27" t="s">
        <v>45</v>
      </c>
    </row>
    <row r="28" spans="1:4" x14ac:dyDescent="0.35">
      <c r="A28" s="53">
        <v>27</v>
      </c>
      <c r="D28" t="s">
        <v>45</v>
      </c>
    </row>
    <row r="29" spans="1:4" x14ac:dyDescent="0.35">
      <c r="A29" s="53">
        <v>28</v>
      </c>
      <c r="D29" t="s">
        <v>45</v>
      </c>
    </row>
    <row r="30" spans="1:4" x14ac:dyDescent="0.35">
      <c r="A30" s="53">
        <v>29</v>
      </c>
      <c r="D30" t="s">
        <v>45</v>
      </c>
    </row>
    <row r="31" spans="1:4" x14ac:dyDescent="0.35">
      <c r="A31" s="53">
        <v>30</v>
      </c>
      <c r="D31" t="s">
        <v>45</v>
      </c>
    </row>
    <row r="32" spans="1:4" x14ac:dyDescent="0.35">
      <c r="A32" s="53">
        <v>31</v>
      </c>
      <c r="D32" t="s">
        <v>46</v>
      </c>
    </row>
    <row r="33" spans="1:4" x14ac:dyDescent="0.35">
      <c r="A33" s="53">
        <v>32</v>
      </c>
      <c r="D33" t="s">
        <v>46</v>
      </c>
    </row>
    <row r="34" spans="1:4" x14ac:dyDescent="0.35">
      <c r="A34" s="53">
        <v>33</v>
      </c>
      <c r="D34" t="s">
        <v>46</v>
      </c>
    </row>
    <row r="35" spans="1:4" x14ac:dyDescent="0.35">
      <c r="A35" s="53">
        <v>34</v>
      </c>
      <c r="D35" t="s">
        <v>46</v>
      </c>
    </row>
    <row r="36" spans="1:4" x14ac:dyDescent="0.35">
      <c r="A36" s="53">
        <v>35</v>
      </c>
      <c r="D36" t="s">
        <v>46</v>
      </c>
    </row>
    <row r="37" spans="1:4" x14ac:dyDescent="0.35">
      <c r="A37" s="53">
        <v>36</v>
      </c>
      <c r="D37" t="s">
        <v>46</v>
      </c>
    </row>
    <row r="38" spans="1:4" x14ac:dyDescent="0.35">
      <c r="A38" s="53">
        <v>37</v>
      </c>
      <c r="D38" t="s">
        <v>46</v>
      </c>
    </row>
    <row r="39" spans="1:4" x14ac:dyDescent="0.35">
      <c r="A39" s="53">
        <v>38</v>
      </c>
      <c r="D39" t="s">
        <v>46</v>
      </c>
    </row>
    <row r="40" spans="1:4" x14ac:dyDescent="0.35">
      <c r="A40" s="53">
        <v>39</v>
      </c>
      <c r="D40" t="s">
        <v>46</v>
      </c>
    </row>
    <row r="41" spans="1:4" x14ac:dyDescent="0.35">
      <c r="A41" s="53">
        <v>40</v>
      </c>
      <c r="D41" t="s">
        <v>46</v>
      </c>
    </row>
    <row r="42" spans="1:4" x14ac:dyDescent="0.35">
      <c r="A42" s="53">
        <v>41</v>
      </c>
      <c r="B42" t="s">
        <v>47</v>
      </c>
      <c r="C42">
        <v>512.20000000000005</v>
      </c>
      <c r="D42" t="s">
        <v>48</v>
      </c>
    </row>
    <row r="43" spans="1:4" x14ac:dyDescent="0.35">
      <c r="A43" s="53">
        <v>42</v>
      </c>
      <c r="B43" t="s">
        <v>49</v>
      </c>
      <c r="C43">
        <v>215.91</v>
      </c>
      <c r="D43" t="s">
        <v>48</v>
      </c>
    </row>
    <row r="44" spans="1:4" x14ac:dyDescent="0.35">
      <c r="A44" s="53">
        <v>43</v>
      </c>
      <c r="B44" t="s">
        <v>50</v>
      </c>
      <c r="C44">
        <v>249</v>
      </c>
      <c r="D44" t="s">
        <v>48</v>
      </c>
    </row>
    <row r="45" spans="1:4" x14ac:dyDescent="0.35">
      <c r="A45" s="53">
        <v>44</v>
      </c>
      <c r="B45" t="s">
        <v>51</v>
      </c>
      <c r="C45">
        <v>418.72</v>
      </c>
      <c r="D45" t="s">
        <v>48</v>
      </c>
    </row>
    <row r="46" spans="1:4" x14ac:dyDescent="0.35">
      <c r="A46" s="53">
        <v>45</v>
      </c>
      <c r="B46" t="s">
        <v>52</v>
      </c>
      <c r="C46">
        <v>118.75</v>
      </c>
      <c r="D46" t="s">
        <v>48</v>
      </c>
    </row>
    <row r="47" spans="1:4" x14ac:dyDescent="0.35">
      <c r="A47" s="53">
        <v>46</v>
      </c>
      <c r="B47" t="s">
        <v>53</v>
      </c>
      <c r="C47">
        <v>588</v>
      </c>
      <c r="D47" t="s">
        <v>48</v>
      </c>
    </row>
    <row r="48" spans="1:4" x14ac:dyDescent="0.35">
      <c r="A48" s="53">
        <v>47</v>
      </c>
      <c r="B48" t="s">
        <v>54</v>
      </c>
      <c r="C48">
        <v>113.4</v>
      </c>
      <c r="D48" t="s">
        <v>48</v>
      </c>
    </row>
    <row r="49" spans="1:4" x14ac:dyDescent="0.35">
      <c r="A49" s="53">
        <v>48</v>
      </c>
      <c r="B49" t="s">
        <v>55</v>
      </c>
      <c r="C49">
        <v>232.19</v>
      </c>
      <c r="D49" t="s">
        <v>48</v>
      </c>
    </row>
    <row r="50" spans="1:4" x14ac:dyDescent="0.35">
      <c r="A50" s="53">
        <v>49</v>
      </c>
      <c r="B50" t="s">
        <v>56</v>
      </c>
      <c r="C50">
        <v>250.9</v>
      </c>
      <c r="D50" t="s">
        <v>48</v>
      </c>
    </row>
    <row r="51" spans="1:4" x14ac:dyDescent="0.35">
      <c r="A51" s="53">
        <v>50</v>
      </c>
      <c r="B51" t="s">
        <v>57</v>
      </c>
      <c r="C51">
        <v>599</v>
      </c>
      <c r="D51" t="s">
        <v>48</v>
      </c>
    </row>
    <row r="52" spans="1:4" x14ac:dyDescent="0.35">
      <c r="A52" s="53">
        <v>51</v>
      </c>
      <c r="B52" t="s">
        <v>58</v>
      </c>
      <c r="C52">
        <v>158.77000000000001</v>
      </c>
      <c r="D52" t="s">
        <v>59</v>
      </c>
    </row>
    <row r="53" spans="1:4" x14ac:dyDescent="0.35">
      <c r="A53" s="53">
        <v>52</v>
      </c>
      <c r="B53" t="s">
        <v>60</v>
      </c>
      <c r="C53">
        <v>39.9</v>
      </c>
      <c r="D53" t="s">
        <v>59</v>
      </c>
    </row>
    <row r="54" spans="1:4" x14ac:dyDescent="0.35">
      <c r="A54" s="53">
        <v>53</v>
      </c>
      <c r="B54" t="s">
        <v>61</v>
      </c>
      <c r="C54">
        <v>220.9</v>
      </c>
      <c r="D54" t="s">
        <v>59</v>
      </c>
    </row>
    <row r="55" spans="1:4" x14ac:dyDescent="0.35">
      <c r="A55" s="53">
        <v>54</v>
      </c>
      <c r="B55" t="s">
        <v>62</v>
      </c>
      <c r="C55">
        <v>209.9</v>
      </c>
      <c r="D55" t="s">
        <v>59</v>
      </c>
    </row>
    <row r="56" spans="1:4" x14ac:dyDescent="0.35">
      <c r="A56" s="53">
        <v>55</v>
      </c>
      <c r="B56" t="s">
        <v>63</v>
      </c>
      <c r="C56">
        <v>359.9</v>
      </c>
      <c r="D56" t="s">
        <v>59</v>
      </c>
    </row>
    <row r="57" spans="1:4" x14ac:dyDescent="0.35">
      <c r="A57" s="53">
        <v>56</v>
      </c>
      <c r="B57" t="s">
        <v>64</v>
      </c>
      <c r="C57">
        <v>265.86</v>
      </c>
      <c r="D57" t="s">
        <v>59</v>
      </c>
    </row>
    <row r="58" spans="1:4" x14ac:dyDescent="0.35">
      <c r="A58" s="53">
        <v>57</v>
      </c>
      <c r="B58" t="s">
        <v>65</v>
      </c>
      <c r="C58">
        <v>45.9</v>
      </c>
      <c r="D58" t="s">
        <v>59</v>
      </c>
    </row>
    <row r="59" spans="1:4" x14ac:dyDescent="0.35">
      <c r="A59" s="53">
        <v>58</v>
      </c>
      <c r="B59" t="s">
        <v>66</v>
      </c>
      <c r="C59">
        <v>119.9</v>
      </c>
      <c r="D59" t="s">
        <v>59</v>
      </c>
    </row>
    <row r="60" spans="1:4" x14ac:dyDescent="0.35">
      <c r="A60" s="53">
        <v>59</v>
      </c>
      <c r="B60" t="s">
        <v>67</v>
      </c>
      <c r="C60">
        <v>164.5</v>
      </c>
      <c r="D60" t="s">
        <v>59</v>
      </c>
    </row>
    <row r="61" spans="1:4" x14ac:dyDescent="0.35">
      <c r="A61" s="53">
        <v>60</v>
      </c>
      <c r="B61" t="s">
        <v>68</v>
      </c>
      <c r="C61">
        <v>66.900000000000006</v>
      </c>
      <c r="D61" t="s">
        <v>59</v>
      </c>
    </row>
    <row r="62" spans="1:4" x14ac:dyDescent="0.35">
      <c r="A62" s="53">
        <v>61</v>
      </c>
      <c r="D62" t="s">
        <v>69</v>
      </c>
    </row>
    <row r="63" spans="1:4" x14ac:dyDescent="0.35">
      <c r="A63" s="53">
        <v>62</v>
      </c>
      <c r="D63" t="s">
        <v>69</v>
      </c>
    </row>
    <row r="64" spans="1:4" x14ac:dyDescent="0.35">
      <c r="A64" s="53">
        <v>63</v>
      </c>
      <c r="D64" t="s">
        <v>69</v>
      </c>
    </row>
    <row r="65" spans="1:4" x14ac:dyDescent="0.35">
      <c r="A65" s="53">
        <v>64</v>
      </c>
      <c r="D65" t="s">
        <v>69</v>
      </c>
    </row>
    <row r="66" spans="1:4" x14ac:dyDescent="0.35">
      <c r="A66" s="53">
        <v>65</v>
      </c>
      <c r="D66" t="s">
        <v>69</v>
      </c>
    </row>
    <row r="67" spans="1:4" x14ac:dyDescent="0.35">
      <c r="A67" s="53">
        <v>66</v>
      </c>
      <c r="D67" t="s">
        <v>69</v>
      </c>
    </row>
    <row r="68" spans="1:4" x14ac:dyDescent="0.35">
      <c r="A68" s="53">
        <v>67</v>
      </c>
      <c r="D68" t="s">
        <v>69</v>
      </c>
    </row>
    <row r="69" spans="1:4" x14ac:dyDescent="0.35">
      <c r="A69" s="53">
        <v>68</v>
      </c>
      <c r="D69" t="s">
        <v>69</v>
      </c>
    </row>
    <row r="70" spans="1:4" x14ac:dyDescent="0.35">
      <c r="A70" s="53">
        <v>69</v>
      </c>
      <c r="D70" t="s">
        <v>69</v>
      </c>
    </row>
    <row r="71" spans="1:4" x14ac:dyDescent="0.35">
      <c r="A71" s="53">
        <v>70</v>
      </c>
      <c r="D71" t="s">
        <v>69</v>
      </c>
    </row>
    <row r="72" spans="1:4" x14ac:dyDescent="0.35">
      <c r="A72" s="53">
        <v>71</v>
      </c>
      <c r="B72" t="s">
        <v>70</v>
      </c>
      <c r="C72">
        <v>360.64</v>
      </c>
      <c r="D72" t="s">
        <v>71</v>
      </c>
    </row>
    <row r="73" spans="1:4" x14ac:dyDescent="0.35">
      <c r="A73" s="53">
        <v>72</v>
      </c>
      <c r="B73" t="s">
        <v>72</v>
      </c>
      <c r="C73">
        <v>299.89999999999998</v>
      </c>
      <c r="D73" t="s">
        <v>71</v>
      </c>
    </row>
    <row r="74" spans="1:4" x14ac:dyDescent="0.35">
      <c r="A74" s="53">
        <v>73</v>
      </c>
      <c r="B74" t="s">
        <v>73</v>
      </c>
      <c r="C74">
        <v>395.9</v>
      </c>
      <c r="D74" t="s">
        <v>71</v>
      </c>
    </row>
    <row r="75" spans="1:4" x14ac:dyDescent="0.35">
      <c r="A75" s="53">
        <v>74</v>
      </c>
      <c r="B75" t="s">
        <v>74</v>
      </c>
      <c r="C75">
        <v>390.04</v>
      </c>
      <c r="D75" t="s">
        <v>71</v>
      </c>
    </row>
    <row r="76" spans="1:4" x14ac:dyDescent="0.35">
      <c r="A76" s="53">
        <v>75</v>
      </c>
      <c r="B76" t="s">
        <v>75</v>
      </c>
      <c r="C76">
        <v>400.9</v>
      </c>
      <c r="D76" t="s">
        <v>71</v>
      </c>
    </row>
    <row r="77" spans="1:4" x14ac:dyDescent="0.35">
      <c r="A77" s="53">
        <v>76</v>
      </c>
      <c r="B77" t="s">
        <v>76</v>
      </c>
      <c r="C77">
        <v>299.89999999999998</v>
      </c>
      <c r="D77" t="s">
        <v>71</v>
      </c>
    </row>
    <row r="78" spans="1:4" x14ac:dyDescent="0.35">
      <c r="A78" s="53">
        <v>77</v>
      </c>
      <c r="B78" t="s">
        <v>77</v>
      </c>
      <c r="C78">
        <v>374.9</v>
      </c>
      <c r="D78" t="s">
        <v>71</v>
      </c>
    </row>
    <row r="79" spans="1:4" x14ac:dyDescent="0.35">
      <c r="A79" s="53">
        <v>78</v>
      </c>
      <c r="B79" t="s">
        <v>78</v>
      </c>
      <c r="C79">
        <v>319.89999999999998</v>
      </c>
      <c r="D79" t="s">
        <v>71</v>
      </c>
    </row>
    <row r="80" spans="1:4" x14ac:dyDescent="0.35">
      <c r="A80" s="53">
        <v>79</v>
      </c>
      <c r="B80" t="s">
        <v>79</v>
      </c>
      <c r="C80">
        <v>299.89999999999998</v>
      </c>
      <c r="D80" t="s">
        <v>71</v>
      </c>
    </row>
    <row r="81" spans="1:4" x14ac:dyDescent="0.35">
      <c r="A81" s="53">
        <v>80</v>
      </c>
      <c r="B81" t="s">
        <v>80</v>
      </c>
      <c r="C81">
        <v>394.9</v>
      </c>
      <c r="D81" t="s">
        <v>71</v>
      </c>
    </row>
    <row r="82" spans="1:4" x14ac:dyDescent="0.35">
      <c r="A82" s="53">
        <v>81</v>
      </c>
      <c r="B82" t="s">
        <v>81</v>
      </c>
      <c r="C82">
        <v>1589.9</v>
      </c>
      <c r="D82" t="s">
        <v>82</v>
      </c>
    </row>
    <row r="83" spans="1:4" x14ac:dyDescent="0.35">
      <c r="A83" s="53">
        <v>82</v>
      </c>
      <c r="B83" t="s">
        <v>83</v>
      </c>
      <c r="C83">
        <v>1499</v>
      </c>
      <c r="D83" t="s">
        <v>82</v>
      </c>
    </row>
    <row r="84" spans="1:4" x14ac:dyDescent="0.35">
      <c r="A84" s="53">
        <v>83</v>
      </c>
      <c r="B84" t="s">
        <v>84</v>
      </c>
      <c r="C84">
        <v>1890</v>
      </c>
      <c r="D84" t="s">
        <v>82</v>
      </c>
    </row>
    <row r="85" spans="1:4" x14ac:dyDescent="0.35">
      <c r="A85" s="53">
        <v>84</v>
      </c>
      <c r="B85" t="s">
        <v>81</v>
      </c>
      <c r="C85">
        <v>1504.97</v>
      </c>
      <c r="D85" t="s">
        <v>82</v>
      </c>
    </row>
    <row r="86" spans="1:4" x14ac:dyDescent="0.35">
      <c r="A86" s="53">
        <v>85</v>
      </c>
      <c r="B86" t="s">
        <v>85</v>
      </c>
      <c r="C86">
        <v>3200</v>
      </c>
      <c r="D86" t="s">
        <v>82</v>
      </c>
    </row>
    <row r="87" spans="1:4" x14ac:dyDescent="0.35">
      <c r="A87" s="53">
        <v>86</v>
      </c>
      <c r="B87" t="s">
        <v>86</v>
      </c>
      <c r="C87">
        <v>1990</v>
      </c>
      <c r="D87" t="s">
        <v>82</v>
      </c>
    </row>
    <row r="88" spans="1:4" x14ac:dyDescent="0.35">
      <c r="A88" s="53">
        <v>87</v>
      </c>
      <c r="B88" t="s">
        <v>87</v>
      </c>
      <c r="C88">
        <v>1646.4</v>
      </c>
      <c r="D88" t="s">
        <v>82</v>
      </c>
    </row>
    <row r="89" spans="1:4" x14ac:dyDescent="0.35">
      <c r="A89" s="53">
        <v>88</v>
      </c>
      <c r="B89" t="s">
        <v>88</v>
      </c>
      <c r="C89">
        <v>2500</v>
      </c>
      <c r="D89" t="s">
        <v>82</v>
      </c>
    </row>
    <row r="90" spans="1:4" x14ac:dyDescent="0.35">
      <c r="A90" s="53">
        <v>89</v>
      </c>
      <c r="B90" t="s">
        <v>89</v>
      </c>
      <c r="C90">
        <v>1599</v>
      </c>
      <c r="D90" t="s">
        <v>82</v>
      </c>
    </row>
    <row r="91" spans="1:4" x14ac:dyDescent="0.35">
      <c r="A91" s="53">
        <v>90</v>
      </c>
      <c r="B91" t="s">
        <v>90</v>
      </c>
      <c r="C91">
        <v>1433.31</v>
      </c>
      <c r="D91" t="s">
        <v>82</v>
      </c>
    </row>
    <row r="92" spans="1:4" x14ac:dyDescent="0.35">
      <c r="A92" s="53">
        <v>91</v>
      </c>
      <c r="B92" t="s">
        <v>91</v>
      </c>
      <c r="C92">
        <v>1288.2</v>
      </c>
      <c r="D92" t="s">
        <v>92</v>
      </c>
    </row>
    <row r="93" spans="1:4" x14ac:dyDescent="0.35">
      <c r="A93" s="53">
        <v>92</v>
      </c>
      <c r="B93" t="s">
        <v>93</v>
      </c>
      <c r="C93">
        <v>559</v>
      </c>
      <c r="D93" t="s">
        <v>92</v>
      </c>
    </row>
    <row r="94" spans="1:4" x14ac:dyDescent="0.35">
      <c r="A94" s="53">
        <v>93</v>
      </c>
      <c r="B94" t="s">
        <v>94</v>
      </c>
      <c r="C94">
        <v>784.58</v>
      </c>
      <c r="D94" t="s">
        <v>92</v>
      </c>
    </row>
    <row r="95" spans="1:4" x14ac:dyDescent="0.35">
      <c r="A95" s="53">
        <v>94</v>
      </c>
      <c r="B95" t="s">
        <v>95</v>
      </c>
      <c r="C95">
        <v>1328.27</v>
      </c>
      <c r="D95" t="s">
        <v>92</v>
      </c>
    </row>
    <row r="96" spans="1:4" x14ac:dyDescent="0.35">
      <c r="A96" s="53">
        <v>95</v>
      </c>
      <c r="B96" t="s">
        <v>96</v>
      </c>
      <c r="C96">
        <v>782.9</v>
      </c>
      <c r="D96" t="s">
        <v>92</v>
      </c>
    </row>
    <row r="97" spans="1:4" x14ac:dyDescent="0.35">
      <c r="A97" s="53">
        <v>96</v>
      </c>
      <c r="B97" t="s">
        <v>97</v>
      </c>
      <c r="C97">
        <v>1999</v>
      </c>
      <c r="D97" t="s">
        <v>92</v>
      </c>
    </row>
    <row r="98" spans="1:4" x14ac:dyDescent="0.35">
      <c r="A98" s="53">
        <v>97</v>
      </c>
      <c r="B98" t="s">
        <v>98</v>
      </c>
      <c r="C98">
        <v>590</v>
      </c>
      <c r="D98" t="s">
        <v>92</v>
      </c>
    </row>
    <row r="99" spans="1:4" x14ac:dyDescent="0.35">
      <c r="A99" s="53">
        <v>98</v>
      </c>
      <c r="B99" t="s">
        <v>99</v>
      </c>
      <c r="C99">
        <v>642.85</v>
      </c>
      <c r="D99" t="s">
        <v>92</v>
      </c>
    </row>
    <row r="100" spans="1:4" x14ac:dyDescent="0.35">
      <c r="A100" s="53">
        <v>99</v>
      </c>
      <c r="B100" t="s">
        <v>100</v>
      </c>
      <c r="C100">
        <v>1865.75</v>
      </c>
      <c r="D100" t="s">
        <v>92</v>
      </c>
    </row>
    <row r="101" spans="1:4" x14ac:dyDescent="0.35">
      <c r="A101" s="53">
        <v>100</v>
      </c>
      <c r="B101" t="s">
        <v>101</v>
      </c>
      <c r="C101">
        <v>643.9</v>
      </c>
      <c r="D101" t="s">
        <v>92</v>
      </c>
    </row>
    <row r="102" spans="1:4" x14ac:dyDescent="0.35">
      <c r="A102" s="53">
        <v>101</v>
      </c>
      <c r="D102" t="s">
        <v>102</v>
      </c>
    </row>
    <row r="103" spans="1:4" x14ac:dyDescent="0.35">
      <c r="A103" s="53">
        <v>102</v>
      </c>
      <c r="D103" t="s">
        <v>102</v>
      </c>
    </row>
    <row r="104" spans="1:4" x14ac:dyDescent="0.35">
      <c r="A104" s="53">
        <v>103</v>
      </c>
      <c r="D104" t="s">
        <v>102</v>
      </c>
    </row>
    <row r="105" spans="1:4" x14ac:dyDescent="0.35">
      <c r="A105" s="53">
        <v>104</v>
      </c>
      <c r="D105" t="s">
        <v>102</v>
      </c>
    </row>
    <row r="106" spans="1:4" x14ac:dyDescent="0.35">
      <c r="A106" s="53">
        <v>105</v>
      </c>
      <c r="D106" t="s">
        <v>102</v>
      </c>
    </row>
    <row r="107" spans="1:4" x14ac:dyDescent="0.35">
      <c r="A107" s="53">
        <v>106</v>
      </c>
      <c r="D107" t="s">
        <v>102</v>
      </c>
    </row>
    <row r="108" spans="1:4" x14ac:dyDescent="0.35">
      <c r="A108" s="53">
        <v>107</v>
      </c>
      <c r="D108" t="s">
        <v>102</v>
      </c>
    </row>
    <row r="109" spans="1:4" x14ac:dyDescent="0.35">
      <c r="A109" s="53">
        <v>108</v>
      </c>
      <c r="D109" t="s">
        <v>102</v>
      </c>
    </row>
    <row r="110" spans="1:4" x14ac:dyDescent="0.35">
      <c r="A110" s="53">
        <v>109</v>
      </c>
      <c r="D110" t="s">
        <v>102</v>
      </c>
    </row>
    <row r="111" spans="1:4" x14ac:dyDescent="0.35">
      <c r="A111" s="53">
        <v>110</v>
      </c>
      <c r="D111" t="s">
        <v>102</v>
      </c>
    </row>
    <row r="112" spans="1:4" x14ac:dyDescent="0.35">
      <c r="A112" s="53">
        <v>111</v>
      </c>
      <c r="B112" t="s">
        <v>103</v>
      </c>
      <c r="C112">
        <v>35.74</v>
      </c>
      <c r="D112" t="s">
        <v>104</v>
      </c>
    </row>
    <row r="113" spans="1:4" x14ac:dyDescent="0.35">
      <c r="A113" s="53">
        <v>112</v>
      </c>
      <c r="B113" t="s">
        <v>105</v>
      </c>
      <c r="C113">
        <v>45.87</v>
      </c>
      <c r="D113" t="s">
        <v>104</v>
      </c>
    </row>
    <row r="114" spans="1:4" x14ac:dyDescent="0.35">
      <c r="A114" s="53">
        <v>113</v>
      </c>
      <c r="B114" t="s">
        <v>106</v>
      </c>
      <c r="C114">
        <v>48.99</v>
      </c>
      <c r="D114" t="s">
        <v>104</v>
      </c>
    </row>
    <row r="115" spans="1:4" x14ac:dyDescent="0.35">
      <c r="A115" s="53">
        <v>114</v>
      </c>
      <c r="B115" t="s">
        <v>107</v>
      </c>
      <c r="C115">
        <v>50.9</v>
      </c>
      <c r="D115" t="s">
        <v>104</v>
      </c>
    </row>
    <row r="116" spans="1:4" x14ac:dyDescent="0.35">
      <c r="A116" s="53">
        <v>115</v>
      </c>
      <c r="B116" t="s">
        <v>108</v>
      </c>
      <c r="C116">
        <v>45.89</v>
      </c>
      <c r="D116" t="s">
        <v>104</v>
      </c>
    </row>
    <row r="117" spans="1:4" x14ac:dyDescent="0.35">
      <c r="A117" s="53">
        <v>116</v>
      </c>
      <c r="B117" t="s">
        <v>109</v>
      </c>
      <c r="C117">
        <v>409</v>
      </c>
      <c r="D117" t="s">
        <v>104</v>
      </c>
    </row>
    <row r="118" spans="1:4" x14ac:dyDescent="0.35">
      <c r="A118" s="53">
        <v>117</v>
      </c>
      <c r="B118" t="s">
        <v>110</v>
      </c>
      <c r="C118">
        <v>56.9</v>
      </c>
      <c r="D118" t="s">
        <v>104</v>
      </c>
    </row>
    <row r="119" spans="1:4" x14ac:dyDescent="0.35">
      <c r="A119" s="53">
        <v>118</v>
      </c>
      <c r="B119" t="s">
        <v>111</v>
      </c>
      <c r="C119">
        <v>43.67</v>
      </c>
      <c r="D119" t="s">
        <v>104</v>
      </c>
    </row>
    <row r="120" spans="1:4" x14ac:dyDescent="0.35">
      <c r="A120" s="53">
        <v>119</v>
      </c>
      <c r="B120" t="s">
        <v>112</v>
      </c>
      <c r="C120">
        <v>49.48</v>
      </c>
      <c r="D120" t="s">
        <v>104</v>
      </c>
    </row>
    <row r="121" spans="1:4" x14ac:dyDescent="0.35">
      <c r="A121" s="53">
        <v>120</v>
      </c>
      <c r="B121" t="s">
        <v>113</v>
      </c>
      <c r="C121">
        <v>55.18</v>
      </c>
      <c r="D121" t="s">
        <v>104</v>
      </c>
    </row>
    <row r="122" spans="1:4" x14ac:dyDescent="0.35">
      <c r="A122" s="53">
        <v>121</v>
      </c>
      <c r="B122" t="s">
        <v>114</v>
      </c>
      <c r="C122">
        <v>55.93</v>
      </c>
      <c r="D122" t="s">
        <v>115</v>
      </c>
    </row>
    <row r="123" spans="1:4" x14ac:dyDescent="0.35">
      <c r="A123" s="53">
        <v>122</v>
      </c>
      <c r="B123" t="s">
        <v>116</v>
      </c>
      <c r="C123">
        <v>59.9</v>
      </c>
      <c r="D123" t="s">
        <v>115</v>
      </c>
    </row>
    <row r="124" spans="1:4" x14ac:dyDescent="0.35">
      <c r="A124" s="53">
        <v>123</v>
      </c>
      <c r="B124" t="s">
        <v>117</v>
      </c>
      <c r="C124">
        <v>66.900000000000006</v>
      </c>
      <c r="D124" t="s">
        <v>115</v>
      </c>
    </row>
    <row r="125" spans="1:4" x14ac:dyDescent="0.35">
      <c r="A125" s="53">
        <v>124</v>
      </c>
      <c r="B125" t="s">
        <v>118</v>
      </c>
      <c r="C125">
        <v>69</v>
      </c>
      <c r="D125" t="s">
        <v>115</v>
      </c>
    </row>
    <row r="126" spans="1:4" x14ac:dyDescent="0.35">
      <c r="A126" s="53">
        <v>125</v>
      </c>
      <c r="B126" t="s">
        <v>119</v>
      </c>
      <c r="C126">
        <v>47.94</v>
      </c>
      <c r="D126" t="s">
        <v>115</v>
      </c>
    </row>
    <row r="127" spans="1:4" x14ac:dyDescent="0.35">
      <c r="A127" s="53">
        <v>126</v>
      </c>
      <c r="B127" t="s">
        <v>120</v>
      </c>
      <c r="C127">
        <v>49.9</v>
      </c>
      <c r="D127" t="s">
        <v>115</v>
      </c>
    </row>
    <row r="128" spans="1:4" x14ac:dyDescent="0.35">
      <c r="A128" s="53">
        <v>127</v>
      </c>
      <c r="B128" t="s">
        <v>120</v>
      </c>
      <c r="C128">
        <v>59.24</v>
      </c>
      <c r="D128" t="s">
        <v>115</v>
      </c>
    </row>
    <row r="129" spans="1:4" x14ac:dyDescent="0.35">
      <c r="A129" s="53">
        <v>128</v>
      </c>
      <c r="B129" t="s">
        <v>121</v>
      </c>
      <c r="C129">
        <v>55.95</v>
      </c>
      <c r="D129" t="s">
        <v>115</v>
      </c>
    </row>
    <row r="130" spans="1:4" x14ac:dyDescent="0.35">
      <c r="A130" s="53">
        <v>129</v>
      </c>
      <c r="B130" t="s">
        <v>122</v>
      </c>
      <c r="C130">
        <v>69.989999999999995</v>
      </c>
      <c r="D130" t="s">
        <v>115</v>
      </c>
    </row>
    <row r="131" spans="1:4" x14ac:dyDescent="0.35">
      <c r="A131" s="53">
        <v>130</v>
      </c>
      <c r="B131" t="s">
        <v>123</v>
      </c>
      <c r="C131">
        <v>41.79</v>
      </c>
      <c r="D131" t="s">
        <v>115</v>
      </c>
    </row>
    <row r="132" spans="1:4" x14ac:dyDescent="0.35">
      <c r="A132" s="53">
        <v>131</v>
      </c>
      <c r="B132" t="s">
        <v>124</v>
      </c>
      <c r="C132">
        <v>10.95</v>
      </c>
      <c r="D132" t="s">
        <v>125</v>
      </c>
    </row>
    <row r="133" spans="1:4" x14ac:dyDescent="0.35">
      <c r="A133" s="53">
        <v>132</v>
      </c>
      <c r="B133" t="s">
        <v>126</v>
      </c>
      <c r="C133">
        <v>34.99</v>
      </c>
      <c r="D133" t="s">
        <v>125</v>
      </c>
    </row>
    <row r="134" spans="1:4" x14ac:dyDescent="0.35">
      <c r="A134" s="53">
        <v>133</v>
      </c>
      <c r="B134" t="s">
        <v>127</v>
      </c>
      <c r="C134">
        <v>23.29</v>
      </c>
      <c r="D134" t="s">
        <v>125</v>
      </c>
    </row>
    <row r="135" spans="1:4" x14ac:dyDescent="0.35">
      <c r="A135" s="53">
        <v>134</v>
      </c>
      <c r="B135" t="s">
        <v>128</v>
      </c>
      <c r="C135">
        <v>39</v>
      </c>
      <c r="D135" t="s">
        <v>125</v>
      </c>
    </row>
    <row r="136" spans="1:4" x14ac:dyDescent="0.35">
      <c r="A136" s="53">
        <v>135</v>
      </c>
      <c r="B136" t="s">
        <v>129</v>
      </c>
      <c r="C136">
        <v>42.96</v>
      </c>
      <c r="D136" t="s">
        <v>125</v>
      </c>
    </row>
    <row r="137" spans="1:4" x14ac:dyDescent="0.35">
      <c r="A137" s="53">
        <v>136</v>
      </c>
      <c r="B137" t="s">
        <v>130</v>
      </c>
      <c r="C137">
        <v>39</v>
      </c>
      <c r="D137" t="s">
        <v>125</v>
      </c>
    </row>
    <row r="138" spans="1:4" x14ac:dyDescent="0.35">
      <c r="A138" s="53">
        <v>137</v>
      </c>
      <c r="B138" t="s">
        <v>131</v>
      </c>
      <c r="C138">
        <v>35</v>
      </c>
      <c r="D138" t="s">
        <v>125</v>
      </c>
    </row>
    <row r="139" spans="1:4" x14ac:dyDescent="0.35">
      <c r="A139" s="53">
        <v>138</v>
      </c>
      <c r="B139" t="s">
        <v>132</v>
      </c>
      <c r="C139">
        <v>28.2</v>
      </c>
      <c r="D139" t="s">
        <v>125</v>
      </c>
    </row>
    <row r="140" spans="1:4" x14ac:dyDescent="0.35">
      <c r="A140" s="53">
        <v>139</v>
      </c>
      <c r="B140" t="s">
        <v>133</v>
      </c>
      <c r="C140">
        <v>33.46</v>
      </c>
      <c r="D140" t="s">
        <v>125</v>
      </c>
    </row>
    <row r="141" spans="1:4" x14ac:dyDescent="0.35">
      <c r="A141" s="53">
        <v>140</v>
      </c>
      <c r="B141" t="s">
        <v>134</v>
      </c>
      <c r="C141">
        <v>39</v>
      </c>
      <c r="D141" t="s">
        <v>125</v>
      </c>
    </row>
    <row r="142" spans="1:4" x14ac:dyDescent="0.35">
      <c r="A142" s="53">
        <v>141</v>
      </c>
      <c r="B142" t="s">
        <v>135</v>
      </c>
      <c r="C142">
        <v>25.11</v>
      </c>
      <c r="D142" t="s">
        <v>136</v>
      </c>
    </row>
    <row r="143" spans="1:4" x14ac:dyDescent="0.35">
      <c r="A143" s="53">
        <v>142</v>
      </c>
      <c r="B143" t="s">
        <v>137</v>
      </c>
      <c r="C143">
        <v>22.99</v>
      </c>
      <c r="D143" t="s">
        <v>136</v>
      </c>
    </row>
    <row r="144" spans="1:4" x14ac:dyDescent="0.35">
      <c r="A144" s="53">
        <v>143</v>
      </c>
      <c r="B144" t="s">
        <v>138</v>
      </c>
      <c r="C144">
        <v>29.06</v>
      </c>
      <c r="D144" t="s">
        <v>136</v>
      </c>
    </row>
    <row r="145" spans="1:4" x14ac:dyDescent="0.35">
      <c r="A145" s="53">
        <v>144</v>
      </c>
      <c r="B145" t="s">
        <v>139</v>
      </c>
      <c r="C145">
        <v>20.5</v>
      </c>
      <c r="D145" t="s">
        <v>136</v>
      </c>
    </row>
    <row r="146" spans="1:4" x14ac:dyDescent="0.35">
      <c r="A146" s="53">
        <v>145</v>
      </c>
      <c r="B146" t="s">
        <v>140</v>
      </c>
      <c r="C146">
        <v>36.549999999999997</v>
      </c>
      <c r="D146" t="s">
        <v>136</v>
      </c>
    </row>
    <row r="147" spans="1:4" x14ac:dyDescent="0.35">
      <c r="A147" s="53">
        <v>146</v>
      </c>
      <c r="B147" t="s">
        <v>141</v>
      </c>
      <c r="C147">
        <v>26.49</v>
      </c>
      <c r="D147" t="s">
        <v>136</v>
      </c>
    </row>
    <row r="148" spans="1:4" x14ac:dyDescent="0.35">
      <c r="A148" s="53">
        <v>147</v>
      </c>
      <c r="B148" t="s">
        <v>142</v>
      </c>
      <c r="C148">
        <v>18.489999999999998</v>
      </c>
      <c r="D148" t="s">
        <v>136</v>
      </c>
    </row>
    <row r="149" spans="1:4" x14ac:dyDescent="0.35">
      <c r="A149" s="53">
        <v>148</v>
      </c>
      <c r="B149" t="s">
        <v>143</v>
      </c>
      <c r="C149">
        <v>23</v>
      </c>
      <c r="D149" t="s">
        <v>136</v>
      </c>
    </row>
    <row r="150" spans="1:4" x14ac:dyDescent="0.35">
      <c r="A150" s="53">
        <v>149</v>
      </c>
      <c r="B150" t="s">
        <v>144</v>
      </c>
      <c r="C150">
        <v>40.4</v>
      </c>
      <c r="D150" t="s">
        <v>136</v>
      </c>
    </row>
    <row r="151" spans="1:4" x14ac:dyDescent="0.35">
      <c r="A151" s="53">
        <v>150</v>
      </c>
      <c r="B151" t="s">
        <v>145</v>
      </c>
      <c r="C151">
        <v>20.58</v>
      </c>
      <c r="D151" t="s">
        <v>136</v>
      </c>
    </row>
    <row r="152" spans="1:4" x14ac:dyDescent="0.35">
      <c r="A152" s="53">
        <v>151</v>
      </c>
      <c r="B152" t="s">
        <v>146</v>
      </c>
      <c r="C152">
        <v>1689</v>
      </c>
      <c r="D152" t="s">
        <v>147</v>
      </c>
    </row>
    <row r="153" spans="1:4" x14ac:dyDescent="0.35">
      <c r="A153" s="53">
        <v>152</v>
      </c>
      <c r="B153" t="s">
        <v>148</v>
      </c>
      <c r="C153">
        <v>2353.83</v>
      </c>
      <c r="D153" t="s">
        <v>147</v>
      </c>
    </row>
    <row r="154" spans="1:4" x14ac:dyDescent="0.35">
      <c r="A154" s="53">
        <v>153</v>
      </c>
      <c r="B154" t="s">
        <v>149</v>
      </c>
      <c r="C154">
        <v>2449</v>
      </c>
      <c r="D154" t="s">
        <v>147</v>
      </c>
    </row>
    <row r="155" spans="1:4" x14ac:dyDescent="0.35">
      <c r="A155" s="53">
        <v>154</v>
      </c>
      <c r="B155" t="s">
        <v>150</v>
      </c>
      <c r="C155">
        <v>1679.04</v>
      </c>
      <c r="D155" t="s">
        <v>147</v>
      </c>
    </row>
    <row r="156" spans="1:4" x14ac:dyDescent="0.35">
      <c r="A156" s="53">
        <v>155</v>
      </c>
      <c r="B156" t="s">
        <v>151</v>
      </c>
      <c r="C156">
        <v>2581.08</v>
      </c>
      <c r="D156" t="s">
        <v>147</v>
      </c>
    </row>
    <row r="157" spans="1:4" x14ac:dyDescent="0.35">
      <c r="A157" s="53">
        <v>156</v>
      </c>
      <c r="B157" t="s">
        <v>152</v>
      </c>
      <c r="C157">
        <v>4580.8999999999996</v>
      </c>
      <c r="D157" t="s">
        <v>147</v>
      </c>
    </row>
    <row r="158" spans="1:4" x14ac:dyDescent="0.35">
      <c r="A158" s="53">
        <v>157</v>
      </c>
      <c r="B158" t="s">
        <v>153</v>
      </c>
      <c r="C158">
        <v>2139</v>
      </c>
      <c r="D158" t="s">
        <v>147</v>
      </c>
    </row>
    <row r="159" spans="1:4" x14ac:dyDescent="0.35">
      <c r="A159" s="53">
        <v>158</v>
      </c>
      <c r="B159" t="s">
        <v>154</v>
      </c>
      <c r="C159">
        <v>2992.5</v>
      </c>
      <c r="D159" t="s">
        <v>147</v>
      </c>
    </row>
    <row r="160" spans="1:4" x14ac:dyDescent="0.35">
      <c r="A160" s="53">
        <v>159</v>
      </c>
      <c r="B160" t="s">
        <v>155</v>
      </c>
      <c r="C160">
        <v>2782.08</v>
      </c>
      <c r="D160" t="s">
        <v>147</v>
      </c>
    </row>
    <row r="161" spans="1:4" x14ac:dyDescent="0.35">
      <c r="A161" s="53">
        <v>160</v>
      </c>
      <c r="B161" t="s">
        <v>156</v>
      </c>
      <c r="C161">
        <v>2669.9</v>
      </c>
      <c r="D161" t="s">
        <v>147</v>
      </c>
    </row>
    <row r="162" spans="1:4" x14ac:dyDescent="0.35">
      <c r="A162" s="53">
        <v>161</v>
      </c>
      <c r="B162" t="s">
        <v>157</v>
      </c>
      <c r="C162">
        <v>2599</v>
      </c>
      <c r="D162" t="s">
        <v>158</v>
      </c>
    </row>
    <row r="163" spans="1:4" x14ac:dyDescent="0.35">
      <c r="A163" s="53">
        <v>162</v>
      </c>
      <c r="B163" t="s">
        <v>159</v>
      </c>
      <c r="C163">
        <v>3750</v>
      </c>
      <c r="D163" t="s">
        <v>158</v>
      </c>
    </row>
    <row r="164" spans="1:4" x14ac:dyDescent="0.35">
      <c r="A164" s="53">
        <v>163</v>
      </c>
      <c r="B164" t="s">
        <v>160</v>
      </c>
      <c r="C164">
        <v>3398.15</v>
      </c>
      <c r="D164" t="s">
        <v>158</v>
      </c>
    </row>
    <row r="165" spans="1:4" x14ac:dyDescent="0.35">
      <c r="A165" s="53">
        <v>164</v>
      </c>
      <c r="B165" t="s">
        <v>161</v>
      </c>
      <c r="C165">
        <v>5877.9</v>
      </c>
      <c r="D165" t="s">
        <v>158</v>
      </c>
    </row>
    <row r="166" spans="1:4" x14ac:dyDescent="0.35">
      <c r="A166" s="53">
        <v>165</v>
      </c>
      <c r="B166" t="s">
        <v>162</v>
      </c>
      <c r="C166">
        <v>4180.3</v>
      </c>
      <c r="D166" t="s">
        <v>158</v>
      </c>
    </row>
    <row r="167" spans="1:4" x14ac:dyDescent="0.35">
      <c r="A167" s="53">
        <v>166</v>
      </c>
      <c r="B167" t="s">
        <v>163</v>
      </c>
      <c r="C167">
        <v>3512.31</v>
      </c>
      <c r="D167" t="s">
        <v>158</v>
      </c>
    </row>
    <row r="168" spans="1:4" x14ac:dyDescent="0.35">
      <c r="A168" s="53">
        <v>167</v>
      </c>
      <c r="B168" t="s">
        <v>164</v>
      </c>
      <c r="C168">
        <v>3420</v>
      </c>
      <c r="D168" t="s">
        <v>158</v>
      </c>
    </row>
    <row r="169" spans="1:4" x14ac:dyDescent="0.35">
      <c r="A169" s="53">
        <v>168</v>
      </c>
      <c r="B169" t="s">
        <v>165</v>
      </c>
      <c r="C169">
        <v>2650</v>
      </c>
      <c r="D169" t="s">
        <v>158</v>
      </c>
    </row>
    <row r="170" spans="1:4" x14ac:dyDescent="0.35">
      <c r="A170" s="53">
        <v>169</v>
      </c>
      <c r="B170" t="s">
        <v>166</v>
      </c>
      <c r="C170">
        <v>4339.78</v>
      </c>
      <c r="D170" t="s">
        <v>158</v>
      </c>
    </row>
    <row r="171" spans="1:4" x14ac:dyDescent="0.35">
      <c r="A171" s="53">
        <v>170</v>
      </c>
      <c r="B171" t="s">
        <v>167</v>
      </c>
      <c r="C171">
        <v>3003.66</v>
      </c>
      <c r="D171" t="s">
        <v>158</v>
      </c>
    </row>
    <row r="172" spans="1:4" x14ac:dyDescent="0.35">
      <c r="A172" s="53">
        <v>171</v>
      </c>
      <c r="B172" t="s">
        <v>168</v>
      </c>
      <c r="C172">
        <v>109.9</v>
      </c>
      <c r="D172" t="s">
        <v>169</v>
      </c>
    </row>
    <row r="173" spans="1:4" x14ac:dyDescent="0.35">
      <c r="A173" s="53">
        <v>172</v>
      </c>
      <c r="B173" t="s">
        <v>170</v>
      </c>
      <c r="C173">
        <v>119.9</v>
      </c>
      <c r="D173" t="s">
        <v>169</v>
      </c>
    </row>
    <row r="174" spans="1:4" x14ac:dyDescent="0.35">
      <c r="A174" s="53">
        <v>173</v>
      </c>
      <c r="B174" t="s">
        <v>171</v>
      </c>
      <c r="C174">
        <v>109.16</v>
      </c>
      <c r="D174" t="s">
        <v>169</v>
      </c>
    </row>
    <row r="175" spans="1:4" x14ac:dyDescent="0.35">
      <c r="A175" s="53">
        <v>174</v>
      </c>
      <c r="B175" t="s">
        <v>172</v>
      </c>
      <c r="C175">
        <v>104.9</v>
      </c>
      <c r="D175" t="s">
        <v>169</v>
      </c>
    </row>
    <row r="176" spans="1:4" x14ac:dyDescent="0.35">
      <c r="A176" s="53">
        <v>175</v>
      </c>
      <c r="B176" t="s">
        <v>173</v>
      </c>
      <c r="C176">
        <v>99.9</v>
      </c>
      <c r="D176" t="s">
        <v>169</v>
      </c>
    </row>
    <row r="177" spans="1:4" x14ac:dyDescent="0.35">
      <c r="A177" s="53">
        <v>176</v>
      </c>
      <c r="B177" t="s">
        <v>174</v>
      </c>
      <c r="C177">
        <v>99.24</v>
      </c>
      <c r="D177" t="s">
        <v>169</v>
      </c>
    </row>
    <row r="178" spans="1:4" x14ac:dyDescent="0.35">
      <c r="A178" s="53">
        <v>177</v>
      </c>
      <c r="B178" t="s">
        <v>175</v>
      </c>
      <c r="C178">
        <v>126.54</v>
      </c>
      <c r="D178" t="s">
        <v>169</v>
      </c>
    </row>
    <row r="179" spans="1:4" x14ac:dyDescent="0.35">
      <c r="A179" s="53">
        <v>178</v>
      </c>
      <c r="B179" t="s">
        <v>176</v>
      </c>
      <c r="C179">
        <v>98.59</v>
      </c>
      <c r="D179" t="s">
        <v>169</v>
      </c>
    </row>
    <row r="180" spans="1:4" x14ac:dyDescent="0.35">
      <c r="A180" s="53">
        <v>179</v>
      </c>
      <c r="B180" t="s">
        <v>177</v>
      </c>
      <c r="C180">
        <v>119.9</v>
      </c>
      <c r="D180" t="s">
        <v>169</v>
      </c>
    </row>
    <row r="181" spans="1:4" x14ac:dyDescent="0.35">
      <c r="A181" s="53">
        <v>180</v>
      </c>
      <c r="B181" t="s">
        <v>178</v>
      </c>
      <c r="C181">
        <v>112.9</v>
      </c>
      <c r="D181" t="s">
        <v>169</v>
      </c>
    </row>
    <row r="182" spans="1:4" x14ac:dyDescent="0.35">
      <c r="A182" s="53">
        <v>181</v>
      </c>
      <c r="B182" t="s">
        <v>179</v>
      </c>
      <c r="C182">
        <v>149.9</v>
      </c>
      <c r="D182" t="s">
        <v>180</v>
      </c>
    </row>
    <row r="183" spans="1:4" x14ac:dyDescent="0.35">
      <c r="A183" s="53">
        <v>182</v>
      </c>
      <c r="B183" t="s">
        <v>181</v>
      </c>
      <c r="C183">
        <v>139.9</v>
      </c>
      <c r="D183" t="s">
        <v>180</v>
      </c>
    </row>
    <row r="184" spans="1:4" x14ac:dyDescent="0.35">
      <c r="A184" s="53">
        <v>183</v>
      </c>
      <c r="B184" t="s">
        <v>182</v>
      </c>
      <c r="C184">
        <v>138.9</v>
      </c>
      <c r="D184" t="s">
        <v>180</v>
      </c>
    </row>
    <row r="185" spans="1:4" x14ac:dyDescent="0.35">
      <c r="A185" s="53">
        <v>184</v>
      </c>
      <c r="B185" t="s">
        <v>183</v>
      </c>
      <c r="C185">
        <v>199.9</v>
      </c>
      <c r="D185" t="s">
        <v>180</v>
      </c>
    </row>
    <row r="186" spans="1:4" x14ac:dyDescent="0.35">
      <c r="A186" s="53">
        <v>185</v>
      </c>
      <c r="B186" t="s">
        <v>184</v>
      </c>
      <c r="C186">
        <v>169.9</v>
      </c>
      <c r="D186" t="s">
        <v>180</v>
      </c>
    </row>
    <row r="187" spans="1:4" x14ac:dyDescent="0.35">
      <c r="A187" s="53">
        <v>186</v>
      </c>
      <c r="B187" t="s">
        <v>185</v>
      </c>
      <c r="C187">
        <v>138.9</v>
      </c>
      <c r="D187" t="s">
        <v>180</v>
      </c>
    </row>
    <row r="188" spans="1:4" x14ac:dyDescent="0.35">
      <c r="A188" s="53">
        <v>187</v>
      </c>
      <c r="B188" t="s">
        <v>185</v>
      </c>
      <c r="C188">
        <v>284.89999999999998</v>
      </c>
      <c r="D188" t="s">
        <v>180</v>
      </c>
    </row>
    <row r="189" spans="1:4" x14ac:dyDescent="0.35">
      <c r="A189" s="53">
        <v>188</v>
      </c>
      <c r="B189" t="s">
        <v>186</v>
      </c>
      <c r="C189">
        <v>317.36</v>
      </c>
      <c r="D189" t="s">
        <v>180</v>
      </c>
    </row>
    <row r="190" spans="1:4" x14ac:dyDescent="0.35">
      <c r="A190" s="53">
        <v>189</v>
      </c>
      <c r="B190" t="s">
        <v>187</v>
      </c>
      <c r="C190">
        <v>311.62</v>
      </c>
      <c r="D190" t="s">
        <v>180</v>
      </c>
    </row>
    <row r="191" spans="1:4" x14ac:dyDescent="0.35">
      <c r="A191" s="53">
        <v>190</v>
      </c>
      <c r="B191" t="s">
        <v>188</v>
      </c>
      <c r="C191">
        <v>184.83</v>
      </c>
      <c r="D191" t="s">
        <v>180</v>
      </c>
    </row>
    <row r="192" spans="1:4" x14ac:dyDescent="0.35">
      <c r="A192" s="53">
        <v>191</v>
      </c>
      <c r="D192" t="s">
        <v>189</v>
      </c>
    </row>
    <row r="193" spans="1:4" x14ac:dyDescent="0.35">
      <c r="A193" s="53">
        <v>192</v>
      </c>
      <c r="D193" t="s">
        <v>189</v>
      </c>
    </row>
    <row r="194" spans="1:4" x14ac:dyDescent="0.35">
      <c r="A194" s="53">
        <v>193</v>
      </c>
      <c r="D194" t="s">
        <v>189</v>
      </c>
    </row>
    <row r="195" spans="1:4" x14ac:dyDescent="0.35">
      <c r="A195" s="53">
        <v>194</v>
      </c>
      <c r="D195" t="s">
        <v>189</v>
      </c>
    </row>
    <row r="196" spans="1:4" x14ac:dyDescent="0.35">
      <c r="A196" s="53">
        <v>195</v>
      </c>
      <c r="D196" t="s">
        <v>189</v>
      </c>
    </row>
    <row r="197" spans="1:4" x14ac:dyDescent="0.35">
      <c r="A197" s="53">
        <v>196</v>
      </c>
      <c r="D197" t="s">
        <v>189</v>
      </c>
    </row>
    <row r="198" spans="1:4" x14ac:dyDescent="0.35">
      <c r="A198" s="53">
        <v>197</v>
      </c>
      <c r="D198" t="s">
        <v>189</v>
      </c>
    </row>
    <row r="199" spans="1:4" x14ac:dyDescent="0.35">
      <c r="A199" s="53">
        <v>198</v>
      </c>
      <c r="D199" t="s">
        <v>189</v>
      </c>
    </row>
    <row r="200" spans="1:4" x14ac:dyDescent="0.35">
      <c r="A200" s="53">
        <v>199</v>
      </c>
      <c r="D200" t="s">
        <v>189</v>
      </c>
    </row>
    <row r="201" spans="1:4" x14ac:dyDescent="0.35">
      <c r="A201" s="53">
        <v>200</v>
      </c>
      <c r="D201" t="s">
        <v>189</v>
      </c>
    </row>
    <row r="202" spans="1:4" x14ac:dyDescent="0.35">
      <c r="A202" s="53">
        <v>201</v>
      </c>
      <c r="D202" t="s">
        <v>190</v>
      </c>
    </row>
    <row r="203" spans="1:4" x14ac:dyDescent="0.35">
      <c r="A203" s="53">
        <v>202</v>
      </c>
      <c r="D203" t="s">
        <v>190</v>
      </c>
    </row>
    <row r="204" spans="1:4" x14ac:dyDescent="0.35">
      <c r="A204" s="53">
        <v>203</v>
      </c>
      <c r="D204" t="s">
        <v>190</v>
      </c>
    </row>
    <row r="205" spans="1:4" x14ac:dyDescent="0.35">
      <c r="A205" s="53">
        <v>204</v>
      </c>
      <c r="D205" t="s">
        <v>190</v>
      </c>
    </row>
    <row r="206" spans="1:4" x14ac:dyDescent="0.35">
      <c r="A206" s="53">
        <v>205</v>
      </c>
      <c r="D206" t="s">
        <v>190</v>
      </c>
    </row>
    <row r="207" spans="1:4" x14ac:dyDescent="0.35">
      <c r="A207" s="53">
        <v>206</v>
      </c>
      <c r="D207" t="s">
        <v>190</v>
      </c>
    </row>
    <row r="208" spans="1:4" x14ac:dyDescent="0.35">
      <c r="A208" s="53">
        <v>207</v>
      </c>
      <c r="D208" t="s">
        <v>190</v>
      </c>
    </row>
    <row r="209" spans="1:4" x14ac:dyDescent="0.35">
      <c r="A209" s="53">
        <v>208</v>
      </c>
      <c r="D209" t="s">
        <v>190</v>
      </c>
    </row>
    <row r="210" spans="1:4" x14ac:dyDescent="0.35">
      <c r="A210" s="53">
        <v>209</v>
      </c>
      <c r="D210" t="s">
        <v>190</v>
      </c>
    </row>
    <row r="211" spans="1:4" x14ac:dyDescent="0.35">
      <c r="A211" s="53">
        <v>210</v>
      </c>
      <c r="D211" t="s">
        <v>190</v>
      </c>
    </row>
    <row r="212" spans="1:4" x14ac:dyDescent="0.35">
      <c r="A212" s="53">
        <v>211</v>
      </c>
      <c r="D212" t="s">
        <v>191</v>
      </c>
    </row>
    <row r="213" spans="1:4" x14ac:dyDescent="0.35">
      <c r="A213" s="53">
        <v>212</v>
      </c>
      <c r="D213" t="s">
        <v>191</v>
      </c>
    </row>
    <row r="214" spans="1:4" x14ac:dyDescent="0.35">
      <c r="A214" s="53">
        <v>213</v>
      </c>
      <c r="D214" t="s">
        <v>191</v>
      </c>
    </row>
    <row r="215" spans="1:4" x14ac:dyDescent="0.35">
      <c r="A215" s="53">
        <v>214</v>
      </c>
      <c r="D215" t="s">
        <v>191</v>
      </c>
    </row>
    <row r="216" spans="1:4" x14ac:dyDescent="0.35">
      <c r="A216" s="53">
        <v>215</v>
      </c>
      <c r="D216" t="s">
        <v>191</v>
      </c>
    </row>
    <row r="217" spans="1:4" x14ac:dyDescent="0.35">
      <c r="A217" s="53">
        <v>216</v>
      </c>
      <c r="D217" t="s">
        <v>191</v>
      </c>
    </row>
    <row r="218" spans="1:4" x14ac:dyDescent="0.35">
      <c r="A218" s="53">
        <v>217</v>
      </c>
      <c r="D218" t="s">
        <v>191</v>
      </c>
    </row>
    <row r="219" spans="1:4" x14ac:dyDescent="0.35">
      <c r="A219" s="53">
        <v>218</v>
      </c>
      <c r="D219" t="s">
        <v>191</v>
      </c>
    </row>
    <row r="220" spans="1:4" x14ac:dyDescent="0.35">
      <c r="A220" s="53">
        <v>219</v>
      </c>
      <c r="D220" t="s">
        <v>191</v>
      </c>
    </row>
    <row r="221" spans="1:4" x14ac:dyDescent="0.35">
      <c r="A221" s="53">
        <v>220</v>
      </c>
      <c r="D221" t="s">
        <v>191</v>
      </c>
    </row>
    <row r="222" spans="1:4" x14ac:dyDescent="0.35">
      <c r="A222" s="53">
        <v>221</v>
      </c>
      <c r="B222" t="s">
        <v>192</v>
      </c>
      <c r="C222">
        <v>177.74</v>
      </c>
      <c r="D222" t="s">
        <v>193</v>
      </c>
    </row>
    <row r="223" spans="1:4" x14ac:dyDescent="0.35">
      <c r="A223" s="53">
        <v>222</v>
      </c>
      <c r="B223" t="s">
        <v>194</v>
      </c>
      <c r="C223">
        <v>77.599999999999994</v>
      </c>
      <c r="D223" t="s">
        <v>193</v>
      </c>
    </row>
    <row r="224" spans="1:4" x14ac:dyDescent="0.35">
      <c r="A224" s="53">
        <v>223</v>
      </c>
      <c r="B224" t="s">
        <v>195</v>
      </c>
      <c r="C224">
        <v>119.95</v>
      </c>
      <c r="D224" t="s">
        <v>193</v>
      </c>
    </row>
    <row r="225" spans="1:4" x14ac:dyDescent="0.35">
      <c r="A225" s="53">
        <v>224</v>
      </c>
      <c r="B225" t="s">
        <v>196</v>
      </c>
      <c r="C225">
        <v>70.900000000000006</v>
      </c>
      <c r="D225" t="s">
        <v>193</v>
      </c>
    </row>
    <row r="226" spans="1:4" x14ac:dyDescent="0.35">
      <c r="A226" s="53">
        <v>225</v>
      </c>
      <c r="B226" t="s">
        <v>197</v>
      </c>
      <c r="C226">
        <v>78.66</v>
      </c>
      <c r="D226" t="s">
        <v>193</v>
      </c>
    </row>
    <row r="227" spans="1:4" x14ac:dyDescent="0.35">
      <c r="A227" s="53">
        <v>226</v>
      </c>
      <c r="B227" t="s">
        <v>198</v>
      </c>
      <c r="C227">
        <v>80.900000000000006</v>
      </c>
      <c r="D227" t="s">
        <v>193</v>
      </c>
    </row>
    <row r="228" spans="1:4" x14ac:dyDescent="0.35">
      <c r="A228" s="53">
        <v>227</v>
      </c>
      <c r="B228" t="s">
        <v>199</v>
      </c>
      <c r="C228">
        <v>104.86</v>
      </c>
      <c r="D228" t="s">
        <v>193</v>
      </c>
    </row>
    <row r="229" spans="1:4" x14ac:dyDescent="0.35">
      <c r="A229" s="53">
        <v>228</v>
      </c>
      <c r="B229" t="s">
        <v>200</v>
      </c>
      <c r="C229">
        <v>90.18</v>
      </c>
      <c r="D229" t="s">
        <v>193</v>
      </c>
    </row>
    <row r="230" spans="1:4" x14ac:dyDescent="0.35">
      <c r="A230" s="53">
        <v>229</v>
      </c>
      <c r="B230" t="s">
        <v>201</v>
      </c>
      <c r="C230">
        <v>65.33</v>
      </c>
      <c r="D230" t="s">
        <v>193</v>
      </c>
    </row>
    <row r="231" spans="1:4" x14ac:dyDescent="0.35">
      <c r="A231" s="53">
        <v>230</v>
      </c>
      <c r="B231" t="s">
        <v>202</v>
      </c>
      <c r="C231">
        <v>157.04</v>
      </c>
      <c r="D231" t="s">
        <v>193</v>
      </c>
    </row>
    <row r="232" spans="1:4" x14ac:dyDescent="0.35">
      <c r="A232" s="53">
        <v>231</v>
      </c>
      <c r="B232" t="s">
        <v>203</v>
      </c>
      <c r="C232">
        <v>76.900000000000006</v>
      </c>
      <c r="D232" t="s">
        <v>204</v>
      </c>
    </row>
    <row r="233" spans="1:4" x14ac:dyDescent="0.35">
      <c r="A233" s="53">
        <v>232</v>
      </c>
      <c r="B233" t="s">
        <v>205</v>
      </c>
      <c r="C233">
        <v>48</v>
      </c>
      <c r="D233" t="s">
        <v>204</v>
      </c>
    </row>
    <row r="234" spans="1:4" x14ac:dyDescent="0.35">
      <c r="A234" s="53">
        <v>233</v>
      </c>
      <c r="B234" t="s">
        <v>206</v>
      </c>
      <c r="C234">
        <v>81.5</v>
      </c>
      <c r="D234" t="s">
        <v>204</v>
      </c>
    </row>
    <row r="235" spans="1:4" x14ac:dyDescent="0.35">
      <c r="A235" s="53">
        <v>234</v>
      </c>
      <c r="B235" t="s">
        <v>207</v>
      </c>
      <c r="C235">
        <v>106.97</v>
      </c>
      <c r="D235" t="s">
        <v>204</v>
      </c>
    </row>
    <row r="236" spans="1:4" x14ac:dyDescent="0.35">
      <c r="A236" s="53">
        <v>235</v>
      </c>
      <c r="B236" t="s">
        <v>208</v>
      </c>
      <c r="C236">
        <v>205.2</v>
      </c>
      <c r="D236" t="s">
        <v>204</v>
      </c>
    </row>
    <row r="237" spans="1:4" x14ac:dyDescent="0.35">
      <c r="A237" s="53">
        <v>236</v>
      </c>
      <c r="B237" t="s">
        <v>209</v>
      </c>
      <c r="C237">
        <v>98.49</v>
      </c>
      <c r="D237" t="s">
        <v>204</v>
      </c>
    </row>
    <row r="238" spans="1:4" x14ac:dyDescent="0.35">
      <c r="A238" s="53">
        <v>237</v>
      </c>
      <c r="B238" t="s">
        <v>210</v>
      </c>
      <c r="C238">
        <v>164</v>
      </c>
      <c r="D238" t="s">
        <v>204</v>
      </c>
    </row>
    <row r="239" spans="1:4" x14ac:dyDescent="0.35">
      <c r="A239" s="53">
        <v>238</v>
      </c>
      <c r="B239" t="s">
        <v>211</v>
      </c>
      <c r="C239">
        <v>144.25</v>
      </c>
      <c r="D239" t="s">
        <v>204</v>
      </c>
    </row>
    <row r="240" spans="1:4" x14ac:dyDescent="0.35">
      <c r="A240" s="53">
        <v>239</v>
      </c>
      <c r="B240" t="s">
        <v>212</v>
      </c>
      <c r="C240">
        <v>173.6</v>
      </c>
      <c r="D240" t="s">
        <v>204</v>
      </c>
    </row>
    <row r="241" spans="1:4" x14ac:dyDescent="0.35">
      <c r="A241" s="53">
        <v>240</v>
      </c>
      <c r="B241" t="s">
        <v>213</v>
      </c>
      <c r="C241">
        <v>172.43</v>
      </c>
      <c r="D241" t="s">
        <v>204</v>
      </c>
    </row>
    <row r="242" spans="1:4" x14ac:dyDescent="0.35">
      <c r="A242" s="53">
        <v>241</v>
      </c>
      <c r="B242" t="s">
        <v>214</v>
      </c>
      <c r="C242">
        <v>55.3</v>
      </c>
      <c r="D242" t="s">
        <v>215</v>
      </c>
    </row>
    <row r="243" spans="1:4" x14ac:dyDescent="0.35">
      <c r="A243" s="53">
        <v>242</v>
      </c>
      <c r="B243" t="s">
        <v>216</v>
      </c>
      <c r="C243">
        <v>39.200000000000003</v>
      </c>
      <c r="D243" t="s">
        <v>215</v>
      </c>
    </row>
    <row r="244" spans="1:4" x14ac:dyDescent="0.35">
      <c r="A244" s="53">
        <v>243</v>
      </c>
      <c r="B244" t="s">
        <v>217</v>
      </c>
      <c r="C244">
        <v>74.95</v>
      </c>
      <c r="D244" t="s">
        <v>215</v>
      </c>
    </row>
    <row r="245" spans="1:4" x14ac:dyDescent="0.35">
      <c r="A245" s="53">
        <v>244</v>
      </c>
      <c r="B245" t="s">
        <v>218</v>
      </c>
      <c r="C245">
        <v>59</v>
      </c>
      <c r="D245" t="s">
        <v>215</v>
      </c>
    </row>
    <row r="246" spans="1:4" x14ac:dyDescent="0.35">
      <c r="A246" s="53">
        <v>245</v>
      </c>
      <c r="B246" t="s">
        <v>219</v>
      </c>
      <c r="C246">
        <v>59</v>
      </c>
      <c r="D246" t="s">
        <v>215</v>
      </c>
    </row>
    <row r="247" spans="1:4" x14ac:dyDescent="0.35">
      <c r="A247" s="53">
        <v>246</v>
      </c>
      <c r="B247" t="s">
        <v>220</v>
      </c>
      <c r="C247">
        <v>68</v>
      </c>
      <c r="D247" t="s">
        <v>215</v>
      </c>
    </row>
    <row r="248" spans="1:4" x14ac:dyDescent="0.35">
      <c r="A248" s="53">
        <v>247</v>
      </c>
      <c r="B248" t="s">
        <v>221</v>
      </c>
      <c r="C248">
        <v>56.87</v>
      </c>
      <c r="D248" t="s">
        <v>215</v>
      </c>
    </row>
    <row r="249" spans="1:4" x14ac:dyDescent="0.35">
      <c r="A249" s="53">
        <v>248</v>
      </c>
      <c r="B249" t="s">
        <v>222</v>
      </c>
      <c r="C249">
        <v>62.37</v>
      </c>
      <c r="D249" t="s">
        <v>215</v>
      </c>
    </row>
    <row r="250" spans="1:4" x14ac:dyDescent="0.35">
      <c r="A250" s="53">
        <v>249</v>
      </c>
      <c r="B250" t="s">
        <v>223</v>
      </c>
      <c r="C250">
        <v>46</v>
      </c>
      <c r="D250" t="s">
        <v>215</v>
      </c>
    </row>
    <row r="251" spans="1:4" x14ac:dyDescent="0.35">
      <c r="A251" s="53">
        <v>250</v>
      </c>
      <c r="B251" t="s">
        <v>224</v>
      </c>
      <c r="C251">
        <v>49.9</v>
      </c>
      <c r="D251" t="s">
        <v>215</v>
      </c>
    </row>
    <row r="252" spans="1:4" x14ac:dyDescent="0.35">
      <c r="A252" s="53">
        <v>251</v>
      </c>
      <c r="B252" t="s">
        <v>225</v>
      </c>
      <c r="C252">
        <v>2293.85</v>
      </c>
      <c r="D252" t="s">
        <v>226</v>
      </c>
    </row>
    <row r="253" spans="1:4" x14ac:dyDescent="0.35">
      <c r="A253" s="53">
        <v>252</v>
      </c>
      <c r="B253" t="s">
        <v>227</v>
      </c>
      <c r="C253">
        <v>1569</v>
      </c>
      <c r="D253" t="s">
        <v>226</v>
      </c>
    </row>
    <row r="254" spans="1:4" x14ac:dyDescent="0.35">
      <c r="A254" s="53">
        <v>253</v>
      </c>
      <c r="B254" t="s">
        <v>228</v>
      </c>
      <c r="C254">
        <v>2392.34</v>
      </c>
      <c r="D254" t="s">
        <v>226</v>
      </c>
    </row>
    <row r="255" spans="1:4" x14ac:dyDescent="0.35">
      <c r="A255" s="53">
        <v>254</v>
      </c>
      <c r="B255" t="s">
        <v>229</v>
      </c>
      <c r="C255">
        <v>3499.9</v>
      </c>
      <c r="D255" t="s">
        <v>226</v>
      </c>
    </row>
    <row r="256" spans="1:4" x14ac:dyDescent="0.35">
      <c r="A256" s="53">
        <v>255</v>
      </c>
      <c r="B256" t="s">
        <v>230</v>
      </c>
      <c r="C256">
        <v>3994</v>
      </c>
      <c r="D256" t="s">
        <v>226</v>
      </c>
    </row>
    <row r="257" spans="1:4" x14ac:dyDescent="0.35">
      <c r="A257" s="53">
        <v>256</v>
      </c>
      <c r="B257" t="s">
        <v>231</v>
      </c>
      <c r="C257">
        <v>1449</v>
      </c>
      <c r="D257" t="s">
        <v>226</v>
      </c>
    </row>
    <row r="258" spans="1:4" x14ac:dyDescent="0.35">
      <c r="A258" s="53">
        <v>257</v>
      </c>
      <c r="B258" t="s">
        <v>232</v>
      </c>
      <c r="C258">
        <v>2703</v>
      </c>
      <c r="D258" t="s">
        <v>226</v>
      </c>
    </row>
    <row r="259" spans="1:4" x14ac:dyDescent="0.35">
      <c r="A259" s="53">
        <v>258</v>
      </c>
      <c r="B259" t="s">
        <v>233</v>
      </c>
      <c r="C259">
        <v>4800</v>
      </c>
      <c r="D259" t="s">
        <v>226</v>
      </c>
    </row>
    <row r="260" spans="1:4" x14ac:dyDescent="0.35">
      <c r="A260" s="53">
        <v>259</v>
      </c>
      <c r="B260" t="s">
        <v>234</v>
      </c>
      <c r="C260">
        <v>4099</v>
      </c>
      <c r="D260" t="s">
        <v>226</v>
      </c>
    </row>
    <row r="261" spans="1:4" x14ac:dyDescent="0.35">
      <c r="A261" s="53">
        <v>260</v>
      </c>
      <c r="B261" t="s">
        <v>235</v>
      </c>
      <c r="C261">
        <v>2337.9</v>
      </c>
      <c r="D261" t="s">
        <v>226</v>
      </c>
    </row>
    <row r="262" spans="1:4" x14ac:dyDescent="0.35">
      <c r="A262" s="53">
        <v>261</v>
      </c>
      <c r="B262" t="s">
        <v>236</v>
      </c>
      <c r="C262">
        <v>227.91</v>
      </c>
      <c r="D262" t="s">
        <v>237</v>
      </c>
    </row>
    <row r="263" spans="1:4" x14ac:dyDescent="0.35">
      <c r="A263" s="53">
        <v>262</v>
      </c>
      <c r="B263" t="s">
        <v>238</v>
      </c>
      <c r="C263">
        <v>127.4</v>
      </c>
      <c r="D263" t="s">
        <v>237</v>
      </c>
    </row>
    <row r="264" spans="1:4" x14ac:dyDescent="0.35">
      <c r="A264" s="53">
        <v>263</v>
      </c>
      <c r="B264" t="s">
        <v>239</v>
      </c>
      <c r="C264">
        <v>223.44</v>
      </c>
      <c r="D264" t="s">
        <v>237</v>
      </c>
    </row>
    <row r="265" spans="1:4" x14ac:dyDescent="0.35">
      <c r="A265" s="53">
        <v>264</v>
      </c>
      <c r="B265" t="s">
        <v>240</v>
      </c>
      <c r="C265">
        <v>294.89999999999998</v>
      </c>
      <c r="D265" t="s">
        <v>237</v>
      </c>
    </row>
    <row r="266" spans="1:4" x14ac:dyDescent="0.35">
      <c r="A266" s="53">
        <v>265</v>
      </c>
      <c r="B266" t="s">
        <v>241</v>
      </c>
      <c r="C266">
        <v>218.29</v>
      </c>
      <c r="D266" t="s">
        <v>237</v>
      </c>
    </row>
    <row r="267" spans="1:4" x14ac:dyDescent="0.35">
      <c r="A267" s="53">
        <v>266</v>
      </c>
      <c r="B267" t="s">
        <v>242</v>
      </c>
      <c r="C267">
        <v>249.9</v>
      </c>
      <c r="D267" t="s">
        <v>237</v>
      </c>
    </row>
    <row r="268" spans="1:4" x14ac:dyDescent="0.35">
      <c r="A268" s="53">
        <v>267</v>
      </c>
      <c r="B268" t="s">
        <v>243</v>
      </c>
      <c r="C268">
        <v>272.25</v>
      </c>
      <c r="D268" t="s">
        <v>237</v>
      </c>
    </row>
    <row r="269" spans="1:4" x14ac:dyDescent="0.35">
      <c r="A269" s="53">
        <v>268</v>
      </c>
      <c r="B269" t="s">
        <v>244</v>
      </c>
      <c r="C269">
        <v>189.9</v>
      </c>
      <c r="D269" t="s">
        <v>237</v>
      </c>
    </row>
    <row r="270" spans="1:4" x14ac:dyDescent="0.35">
      <c r="A270" s="53">
        <v>269</v>
      </c>
      <c r="B270" t="s">
        <v>245</v>
      </c>
      <c r="C270">
        <v>263.12</v>
      </c>
      <c r="D270" t="s">
        <v>237</v>
      </c>
    </row>
    <row r="271" spans="1:4" x14ac:dyDescent="0.35">
      <c r="A271" s="53">
        <v>270</v>
      </c>
      <c r="B271" t="s">
        <v>246</v>
      </c>
      <c r="C271">
        <v>299.89999999999998</v>
      </c>
      <c r="D271" t="s">
        <v>237</v>
      </c>
    </row>
    <row r="272" spans="1:4" x14ac:dyDescent="0.35">
      <c r="A272" s="53">
        <v>271</v>
      </c>
      <c r="B272" t="s">
        <v>247</v>
      </c>
      <c r="C272">
        <v>611.9</v>
      </c>
      <c r="D272" t="s">
        <v>248</v>
      </c>
    </row>
    <row r="273" spans="1:4" x14ac:dyDescent="0.35">
      <c r="A273" s="53">
        <v>272</v>
      </c>
      <c r="B273" t="s">
        <v>249</v>
      </c>
      <c r="C273">
        <v>382.99</v>
      </c>
      <c r="D273" t="s">
        <v>248</v>
      </c>
    </row>
    <row r="274" spans="1:4" x14ac:dyDescent="0.35">
      <c r="A274" s="53">
        <v>273</v>
      </c>
      <c r="B274" t="s">
        <v>250</v>
      </c>
      <c r="C274">
        <v>460.35</v>
      </c>
      <c r="D274" t="s">
        <v>248</v>
      </c>
    </row>
    <row r="275" spans="1:4" x14ac:dyDescent="0.35">
      <c r="A275" s="53">
        <v>274</v>
      </c>
      <c r="B275" t="s">
        <v>251</v>
      </c>
      <c r="C275">
        <v>499</v>
      </c>
      <c r="D275" t="s">
        <v>248</v>
      </c>
    </row>
    <row r="276" spans="1:4" x14ac:dyDescent="0.35">
      <c r="A276" s="53">
        <v>275</v>
      </c>
      <c r="B276" t="s">
        <v>252</v>
      </c>
      <c r="C276">
        <v>248.05</v>
      </c>
      <c r="D276" t="s">
        <v>248</v>
      </c>
    </row>
    <row r="277" spans="1:4" x14ac:dyDescent="0.35">
      <c r="A277" s="53">
        <v>276</v>
      </c>
      <c r="B277" t="s">
        <v>253</v>
      </c>
      <c r="C277">
        <v>419.9</v>
      </c>
      <c r="D277" t="s">
        <v>248</v>
      </c>
    </row>
    <row r="278" spans="1:4" x14ac:dyDescent="0.35">
      <c r="A278" s="53">
        <v>277</v>
      </c>
      <c r="B278" t="s">
        <v>254</v>
      </c>
      <c r="C278">
        <v>285.77</v>
      </c>
      <c r="D278" t="s">
        <v>248</v>
      </c>
    </row>
    <row r="279" spans="1:4" x14ac:dyDescent="0.35">
      <c r="A279" s="53">
        <v>278</v>
      </c>
      <c r="B279" t="s">
        <v>255</v>
      </c>
      <c r="C279">
        <v>428.5</v>
      </c>
      <c r="D279" t="s">
        <v>248</v>
      </c>
    </row>
    <row r="280" spans="1:4" x14ac:dyDescent="0.35">
      <c r="A280" s="53">
        <v>279</v>
      </c>
      <c r="B280" t="s">
        <v>256</v>
      </c>
      <c r="C280">
        <v>239</v>
      </c>
      <c r="D280" t="s">
        <v>248</v>
      </c>
    </row>
    <row r="281" spans="1:4" x14ac:dyDescent="0.35">
      <c r="A281" s="53">
        <v>280</v>
      </c>
      <c r="B281" t="s">
        <v>257</v>
      </c>
      <c r="C281">
        <v>249.58</v>
      </c>
      <c r="D281" t="s">
        <v>248</v>
      </c>
    </row>
    <row r="282" spans="1:4" x14ac:dyDescent="0.35">
      <c r="A282" s="53">
        <v>281</v>
      </c>
      <c r="D282" t="s">
        <v>258</v>
      </c>
    </row>
    <row r="283" spans="1:4" x14ac:dyDescent="0.35">
      <c r="A283" s="53">
        <v>282</v>
      </c>
      <c r="D283" t="s">
        <v>258</v>
      </c>
    </row>
    <row r="284" spans="1:4" x14ac:dyDescent="0.35">
      <c r="A284" s="53">
        <v>283</v>
      </c>
      <c r="D284" t="s">
        <v>258</v>
      </c>
    </row>
    <row r="285" spans="1:4" x14ac:dyDescent="0.35">
      <c r="A285" s="53">
        <v>284</v>
      </c>
      <c r="D285" t="s">
        <v>258</v>
      </c>
    </row>
    <row r="286" spans="1:4" x14ac:dyDescent="0.35">
      <c r="A286" s="53">
        <v>285</v>
      </c>
      <c r="D286" t="s">
        <v>258</v>
      </c>
    </row>
    <row r="287" spans="1:4" x14ac:dyDescent="0.35">
      <c r="A287" s="53">
        <v>286</v>
      </c>
      <c r="D287" t="s">
        <v>258</v>
      </c>
    </row>
    <row r="288" spans="1:4" x14ac:dyDescent="0.35">
      <c r="A288" s="53">
        <v>287</v>
      </c>
      <c r="D288" t="s">
        <v>258</v>
      </c>
    </row>
    <row r="289" spans="1:4" x14ac:dyDescent="0.35">
      <c r="A289" s="53">
        <v>288</v>
      </c>
      <c r="D289" t="s">
        <v>258</v>
      </c>
    </row>
    <row r="290" spans="1:4" x14ac:dyDescent="0.35">
      <c r="A290" s="53">
        <v>289</v>
      </c>
      <c r="D290" t="s">
        <v>258</v>
      </c>
    </row>
    <row r="291" spans="1:4" x14ac:dyDescent="0.35">
      <c r="A291" s="53">
        <v>290</v>
      </c>
      <c r="D291" t="s">
        <v>258</v>
      </c>
    </row>
    <row r="292" spans="1:4" x14ac:dyDescent="0.35">
      <c r="A292" s="53">
        <v>291</v>
      </c>
      <c r="B292" t="s">
        <v>259</v>
      </c>
      <c r="C292">
        <v>17490</v>
      </c>
      <c r="D292" t="s">
        <v>260</v>
      </c>
    </row>
    <row r="293" spans="1:4" x14ac:dyDescent="0.35">
      <c r="A293" s="53">
        <v>292</v>
      </c>
      <c r="B293" t="s">
        <v>261</v>
      </c>
      <c r="C293">
        <v>26721.73</v>
      </c>
      <c r="D293" t="s">
        <v>260</v>
      </c>
    </row>
    <row r="294" spans="1:4" x14ac:dyDescent="0.35">
      <c r="A294" s="53">
        <v>293</v>
      </c>
      <c r="B294" t="s">
        <v>262</v>
      </c>
      <c r="C294">
        <v>12815.5</v>
      </c>
      <c r="D294" t="s">
        <v>260</v>
      </c>
    </row>
    <row r="295" spans="1:4" x14ac:dyDescent="0.35">
      <c r="A295" s="53">
        <v>294</v>
      </c>
      <c r="B295" t="s">
        <v>263</v>
      </c>
      <c r="C295">
        <v>32707.9</v>
      </c>
      <c r="D295" t="s">
        <v>260</v>
      </c>
    </row>
    <row r="296" spans="1:4" x14ac:dyDescent="0.35">
      <c r="A296" s="53">
        <v>295</v>
      </c>
      <c r="B296" t="s">
        <v>264</v>
      </c>
      <c r="C296">
        <v>15749</v>
      </c>
      <c r="D296" t="s">
        <v>260</v>
      </c>
    </row>
    <row r="297" spans="1:4" x14ac:dyDescent="0.35">
      <c r="A297" s="53">
        <v>296</v>
      </c>
      <c r="B297" t="s">
        <v>265</v>
      </c>
      <c r="C297">
        <v>14676.99</v>
      </c>
      <c r="D297" t="s">
        <v>260</v>
      </c>
    </row>
    <row r="298" spans="1:4" x14ac:dyDescent="0.35">
      <c r="A298" s="53">
        <v>297</v>
      </c>
      <c r="B298" t="s">
        <v>266</v>
      </c>
      <c r="C298">
        <v>22098.9</v>
      </c>
      <c r="D298" t="s">
        <v>260</v>
      </c>
    </row>
    <row r="299" spans="1:4" x14ac:dyDescent="0.35">
      <c r="A299" s="53">
        <v>298</v>
      </c>
      <c r="B299" t="s">
        <v>267</v>
      </c>
      <c r="C299">
        <v>23186</v>
      </c>
      <c r="D299" t="s">
        <v>260</v>
      </c>
    </row>
    <row r="300" spans="1:4" x14ac:dyDescent="0.35">
      <c r="A300" s="53">
        <v>299</v>
      </c>
      <c r="B300" t="s">
        <v>268</v>
      </c>
      <c r="C300">
        <v>11446</v>
      </c>
      <c r="D300" t="s">
        <v>260</v>
      </c>
    </row>
    <row r="301" spans="1:4" x14ac:dyDescent="0.35">
      <c r="A301" s="53">
        <v>300</v>
      </c>
      <c r="B301" t="s">
        <v>269</v>
      </c>
      <c r="C301">
        <v>17899.900000000001</v>
      </c>
      <c r="D301" t="s">
        <v>260</v>
      </c>
    </row>
    <row r="302" spans="1:4" x14ac:dyDescent="0.35">
      <c r="A302" s="53">
        <v>301</v>
      </c>
      <c r="B302" t="s">
        <v>270</v>
      </c>
      <c r="C302">
        <v>62999.9</v>
      </c>
      <c r="D302" t="s">
        <v>271</v>
      </c>
    </row>
    <row r="303" spans="1:4" x14ac:dyDescent="0.35">
      <c r="A303" s="53">
        <v>302</v>
      </c>
      <c r="B303" t="s">
        <v>272</v>
      </c>
      <c r="C303">
        <v>96900</v>
      </c>
      <c r="D303" t="s">
        <v>271</v>
      </c>
    </row>
    <row r="304" spans="1:4" x14ac:dyDescent="0.35">
      <c r="A304" s="53">
        <v>303</v>
      </c>
      <c r="B304" t="s">
        <v>273</v>
      </c>
      <c r="C304">
        <v>51699</v>
      </c>
      <c r="D304" t="s">
        <v>271</v>
      </c>
    </row>
    <row r="305" spans="1:4" x14ac:dyDescent="0.35">
      <c r="A305" s="53">
        <v>304</v>
      </c>
      <c r="D305" t="s">
        <v>271</v>
      </c>
    </row>
    <row r="306" spans="1:4" x14ac:dyDescent="0.35">
      <c r="A306" s="53">
        <v>305</v>
      </c>
      <c r="D306" t="s">
        <v>271</v>
      </c>
    </row>
    <row r="307" spans="1:4" x14ac:dyDescent="0.35">
      <c r="A307" s="53">
        <v>306</v>
      </c>
      <c r="D307" t="s">
        <v>271</v>
      </c>
    </row>
    <row r="308" spans="1:4" x14ac:dyDescent="0.35">
      <c r="A308" s="53">
        <v>307</v>
      </c>
      <c r="D308" t="s">
        <v>271</v>
      </c>
    </row>
    <row r="309" spans="1:4" x14ac:dyDescent="0.35">
      <c r="A309" s="53">
        <v>308</v>
      </c>
      <c r="D309" t="s">
        <v>271</v>
      </c>
    </row>
    <row r="310" spans="1:4" x14ac:dyDescent="0.35">
      <c r="A310" s="53">
        <v>309</v>
      </c>
      <c r="D310" t="s">
        <v>271</v>
      </c>
    </row>
    <row r="311" spans="1:4" x14ac:dyDescent="0.35">
      <c r="A311" s="53">
        <v>310</v>
      </c>
      <c r="D311" t="s">
        <v>271</v>
      </c>
    </row>
    <row r="312" spans="1:4" x14ac:dyDescent="0.35">
      <c r="A312" s="53">
        <v>311</v>
      </c>
      <c r="B312" t="s">
        <v>274</v>
      </c>
      <c r="C312">
        <v>7.9</v>
      </c>
      <c r="D312" t="s">
        <v>275</v>
      </c>
    </row>
    <row r="313" spans="1:4" x14ac:dyDescent="0.35">
      <c r="A313" s="53">
        <v>312</v>
      </c>
      <c r="B313" t="s">
        <v>276</v>
      </c>
      <c r="C313">
        <v>5.7</v>
      </c>
      <c r="D313" t="s">
        <v>275</v>
      </c>
    </row>
    <row r="314" spans="1:4" x14ac:dyDescent="0.35">
      <c r="A314" s="53">
        <v>313</v>
      </c>
      <c r="B314" t="s">
        <v>277</v>
      </c>
      <c r="C314">
        <v>12.3</v>
      </c>
      <c r="D314" t="s">
        <v>275</v>
      </c>
    </row>
    <row r="315" spans="1:4" x14ac:dyDescent="0.35">
      <c r="A315" s="53">
        <v>314</v>
      </c>
      <c r="B315" t="s">
        <v>278</v>
      </c>
      <c r="C315">
        <v>15.9</v>
      </c>
      <c r="D315" t="s">
        <v>275</v>
      </c>
    </row>
    <row r="316" spans="1:4" x14ac:dyDescent="0.35">
      <c r="A316" s="53">
        <v>315</v>
      </c>
      <c r="B316" t="s">
        <v>279</v>
      </c>
      <c r="C316">
        <v>19.989999999999998</v>
      </c>
      <c r="D316" t="s">
        <v>275</v>
      </c>
    </row>
    <row r="317" spans="1:4" x14ac:dyDescent="0.35">
      <c r="A317" s="53">
        <v>316</v>
      </c>
      <c r="B317" t="s">
        <v>280</v>
      </c>
      <c r="C317">
        <v>17.989999999999998</v>
      </c>
      <c r="D317" t="s">
        <v>275</v>
      </c>
    </row>
    <row r="318" spans="1:4" x14ac:dyDescent="0.35">
      <c r="A318" s="53">
        <v>317</v>
      </c>
      <c r="B318" t="s">
        <v>281</v>
      </c>
      <c r="C318">
        <v>12.5</v>
      </c>
      <c r="D318" t="s">
        <v>275</v>
      </c>
    </row>
    <row r="319" spans="1:4" x14ac:dyDescent="0.35">
      <c r="A319" s="53">
        <v>318</v>
      </c>
      <c r="B319" t="s">
        <v>282</v>
      </c>
      <c r="C319">
        <v>7.9</v>
      </c>
      <c r="D319" t="s">
        <v>275</v>
      </c>
    </row>
    <row r="320" spans="1:4" x14ac:dyDescent="0.35">
      <c r="A320" s="53">
        <v>319</v>
      </c>
      <c r="B320" t="s">
        <v>283</v>
      </c>
      <c r="C320">
        <v>6</v>
      </c>
      <c r="D320" t="s">
        <v>275</v>
      </c>
    </row>
    <row r="321" spans="1:4" x14ac:dyDescent="0.35">
      <c r="A321" s="53">
        <v>320</v>
      </c>
      <c r="B321" t="s">
        <v>284</v>
      </c>
      <c r="C321">
        <v>18.899999999999999</v>
      </c>
      <c r="D321" t="s">
        <v>275</v>
      </c>
    </row>
    <row r="322" spans="1:4" x14ac:dyDescent="0.35">
      <c r="A322" s="53">
        <v>321</v>
      </c>
      <c r="D322" t="s">
        <v>285</v>
      </c>
    </row>
    <row r="323" spans="1:4" x14ac:dyDescent="0.35">
      <c r="A323" s="53">
        <v>322</v>
      </c>
      <c r="D323" t="s">
        <v>285</v>
      </c>
    </row>
    <row r="324" spans="1:4" x14ac:dyDescent="0.35">
      <c r="A324" s="53">
        <v>323</v>
      </c>
      <c r="D324" t="s">
        <v>285</v>
      </c>
    </row>
    <row r="325" spans="1:4" x14ac:dyDescent="0.35">
      <c r="A325" s="53">
        <v>324</v>
      </c>
      <c r="D325" t="s">
        <v>285</v>
      </c>
    </row>
    <row r="326" spans="1:4" x14ac:dyDescent="0.35">
      <c r="A326" s="53">
        <v>325</v>
      </c>
      <c r="D326" t="s">
        <v>285</v>
      </c>
    </row>
    <row r="327" spans="1:4" x14ac:dyDescent="0.35">
      <c r="A327" s="53">
        <v>326</v>
      </c>
      <c r="D327" t="s">
        <v>285</v>
      </c>
    </row>
    <row r="328" spans="1:4" x14ac:dyDescent="0.35">
      <c r="A328" s="53">
        <v>327</v>
      </c>
      <c r="D328" t="s">
        <v>285</v>
      </c>
    </row>
    <row r="329" spans="1:4" x14ac:dyDescent="0.35">
      <c r="A329" s="53">
        <v>328</v>
      </c>
      <c r="D329" t="s">
        <v>285</v>
      </c>
    </row>
    <row r="330" spans="1:4" x14ac:dyDescent="0.35">
      <c r="A330" s="53">
        <v>329</v>
      </c>
      <c r="D330" t="s">
        <v>285</v>
      </c>
    </row>
    <row r="331" spans="1:4" x14ac:dyDescent="0.35">
      <c r="A331" s="53">
        <v>330</v>
      </c>
      <c r="D331" t="s">
        <v>285</v>
      </c>
    </row>
    <row r="332" spans="1:4" x14ac:dyDescent="0.35">
      <c r="A332" s="53">
        <v>331</v>
      </c>
    </row>
    <row r="333" spans="1:4" x14ac:dyDescent="0.35">
      <c r="A333" s="53">
        <v>332</v>
      </c>
    </row>
    <row r="334" spans="1:4" x14ac:dyDescent="0.35">
      <c r="A334" s="53">
        <v>333</v>
      </c>
    </row>
    <row r="335" spans="1:4" x14ac:dyDescent="0.35">
      <c r="A335" s="53">
        <v>334</v>
      </c>
    </row>
    <row r="336" spans="1:4" x14ac:dyDescent="0.35">
      <c r="A336" s="53">
        <v>335</v>
      </c>
    </row>
    <row r="337" spans="1:1" x14ac:dyDescent="0.35">
      <c r="A337" s="53">
        <v>336</v>
      </c>
    </row>
    <row r="338" spans="1:1" x14ac:dyDescent="0.35">
      <c r="A338" s="53">
        <v>337</v>
      </c>
    </row>
    <row r="339" spans="1:1" x14ac:dyDescent="0.35">
      <c r="A339" s="53">
        <v>338</v>
      </c>
    </row>
    <row r="340" spans="1:1" x14ac:dyDescent="0.35">
      <c r="A340" s="53">
        <v>339</v>
      </c>
    </row>
    <row r="341" spans="1:1" x14ac:dyDescent="0.35">
      <c r="A341" s="53">
        <v>340</v>
      </c>
    </row>
    <row r="342" spans="1:1" x14ac:dyDescent="0.35">
      <c r="A342" s="53">
        <v>341</v>
      </c>
    </row>
    <row r="343" spans="1:1" x14ac:dyDescent="0.35">
      <c r="A343" s="53">
        <v>342</v>
      </c>
    </row>
    <row r="344" spans="1:1" x14ac:dyDescent="0.35">
      <c r="A344" s="53">
        <v>343</v>
      </c>
    </row>
    <row r="345" spans="1:1" x14ac:dyDescent="0.35">
      <c r="A345" s="53">
        <v>344</v>
      </c>
    </row>
    <row r="346" spans="1:1" x14ac:dyDescent="0.35">
      <c r="A346" s="53">
        <v>345</v>
      </c>
    </row>
    <row r="347" spans="1:1" x14ac:dyDescent="0.35">
      <c r="A347" s="53">
        <v>346</v>
      </c>
    </row>
    <row r="348" spans="1:1" x14ac:dyDescent="0.35">
      <c r="A348" s="53">
        <v>347</v>
      </c>
    </row>
    <row r="349" spans="1:1" x14ac:dyDescent="0.35">
      <c r="A349" s="53">
        <v>348</v>
      </c>
    </row>
    <row r="350" spans="1:1" x14ac:dyDescent="0.35">
      <c r="A350" s="53">
        <v>349</v>
      </c>
    </row>
    <row r="351" spans="1:1" x14ac:dyDescent="0.35">
      <c r="A351" s="53">
        <v>350</v>
      </c>
    </row>
    <row r="352" spans="1:1" x14ac:dyDescent="0.35">
      <c r="A352" s="53">
        <v>351</v>
      </c>
    </row>
    <row r="353" spans="1:1" x14ac:dyDescent="0.35">
      <c r="A353" s="53">
        <v>352</v>
      </c>
    </row>
    <row r="354" spans="1:1" x14ac:dyDescent="0.35">
      <c r="A354" s="53">
        <v>353</v>
      </c>
    </row>
    <row r="355" spans="1:1" x14ac:dyDescent="0.35">
      <c r="A355" s="53">
        <v>354</v>
      </c>
    </row>
    <row r="356" spans="1:1" x14ac:dyDescent="0.35">
      <c r="A356" s="53">
        <v>355</v>
      </c>
    </row>
    <row r="357" spans="1:1" x14ac:dyDescent="0.35">
      <c r="A357" s="53">
        <v>356</v>
      </c>
    </row>
    <row r="358" spans="1:1" x14ac:dyDescent="0.35">
      <c r="A358" s="53">
        <v>357</v>
      </c>
    </row>
    <row r="359" spans="1:1" x14ac:dyDescent="0.35">
      <c r="A359" s="53">
        <v>358</v>
      </c>
    </row>
    <row r="360" spans="1:1" x14ac:dyDescent="0.35">
      <c r="A360" s="53">
        <v>359</v>
      </c>
    </row>
    <row r="361" spans="1:1" x14ac:dyDescent="0.35">
      <c r="A361" s="53">
        <v>360</v>
      </c>
    </row>
    <row r="362" spans="1:1" x14ac:dyDescent="0.35">
      <c r="A362" s="53">
        <v>361</v>
      </c>
    </row>
    <row r="363" spans="1:1" x14ac:dyDescent="0.35">
      <c r="A363" s="53">
        <v>362</v>
      </c>
    </row>
    <row r="364" spans="1:1" x14ac:dyDescent="0.35">
      <c r="A364" s="53">
        <v>363</v>
      </c>
    </row>
    <row r="365" spans="1:1" x14ac:dyDescent="0.35">
      <c r="A365" s="53">
        <v>364</v>
      </c>
    </row>
    <row r="366" spans="1:1" x14ac:dyDescent="0.35">
      <c r="A366" s="53">
        <v>365</v>
      </c>
    </row>
    <row r="367" spans="1:1" x14ac:dyDescent="0.35">
      <c r="A367" s="53">
        <v>366</v>
      </c>
    </row>
    <row r="368" spans="1:1" x14ac:dyDescent="0.35">
      <c r="A368" s="53">
        <v>367</v>
      </c>
    </row>
    <row r="369" spans="1:1" x14ac:dyDescent="0.35">
      <c r="A369" s="53">
        <v>368</v>
      </c>
    </row>
    <row r="370" spans="1:1" x14ac:dyDescent="0.35">
      <c r="A370" s="53">
        <v>369</v>
      </c>
    </row>
    <row r="371" spans="1:1" x14ac:dyDescent="0.35">
      <c r="A371" s="53">
        <v>370</v>
      </c>
    </row>
    <row r="372" spans="1:1" x14ac:dyDescent="0.35">
      <c r="A372" s="53">
        <v>371</v>
      </c>
    </row>
    <row r="373" spans="1:1" x14ac:dyDescent="0.35">
      <c r="A373" s="53">
        <v>372</v>
      </c>
    </row>
    <row r="374" spans="1:1" x14ac:dyDescent="0.35">
      <c r="A374" s="53">
        <v>373</v>
      </c>
    </row>
    <row r="375" spans="1:1" x14ac:dyDescent="0.35">
      <c r="A375" s="53">
        <v>374</v>
      </c>
    </row>
    <row r="376" spans="1:1" x14ac:dyDescent="0.35">
      <c r="A376" s="53">
        <v>375</v>
      </c>
    </row>
    <row r="377" spans="1:1" x14ac:dyDescent="0.35">
      <c r="A377" s="53">
        <v>376</v>
      </c>
    </row>
    <row r="378" spans="1:1" x14ac:dyDescent="0.35">
      <c r="A378" s="53">
        <v>377</v>
      </c>
    </row>
    <row r="379" spans="1:1" x14ac:dyDescent="0.35">
      <c r="A379" s="53">
        <v>378</v>
      </c>
    </row>
    <row r="380" spans="1:1" x14ac:dyDescent="0.35">
      <c r="A380" s="53">
        <v>379</v>
      </c>
    </row>
    <row r="381" spans="1:1" x14ac:dyDescent="0.35">
      <c r="A381" s="53">
        <v>380</v>
      </c>
    </row>
    <row r="382" spans="1:1" x14ac:dyDescent="0.35">
      <c r="A382" s="53">
        <v>381</v>
      </c>
    </row>
    <row r="383" spans="1:1" x14ac:dyDescent="0.35">
      <c r="A383" s="53">
        <v>382</v>
      </c>
    </row>
    <row r="384" spans="1:1" x14ac:dyDescent="0.35">
      <c r="A384" s="53">
        <v>383</v>
      </c>
    </row>
    <row r="385" spans="1:1" x14ac:dyDescent="0.35">
      <c r="A385" s="53">
        <v>384</v>
      </c>
    </row>
    <row r="386" spans="1:1" x14ac:dyDescent="0.35">
      <c r="A386" s="53">
        <v>385</v>
      </c>
    </row>
    <row r="387" spans="1:1" x14ac:dyDescent="0.35">
      <c r="A387" s="53">
        <v>386</v>
      </c>
    </row>
    <row r="388" spans="1:1" x14ac:dyDescent="0.35">
      <c r="A388" s="53">
        <v>387</v>
      </c>
    </row>
    <row r="389" spans="1:1" x14ac:dyDescent="0.35">
      <c r="A389" s="53">
        <v>388</v>
      </c>
    </row>
    <row r="390" spans="1:1" x14ac:dyDescent="0.35">
      <c r="A390" s="53">
        <v>389</v>
      </c>
    </row>
    <row r="391" spans="1:1" x14ac:dyDescent="0.35">
      <c r="A391" s="53">
        <v>390</v>
      </c>
    </row>
    <row r="392" spans="1:1" x14ac:dyDescent="0.35">
      <c r="A392" s="53">
        <v>391</v>
      </c>
    </row>
    <row r="393" spans="1:1" x14ac:dyDescent="0.35">
      <c r="A393" s="53">
        <v>392</v>
      </c>
    </row>
    <row r="394" spans="1:1" x14ac:dyDescent="0.35">
      <c r="A394" s="53">
        <v>393</v>
      </c>
    </row>
    <row r="395" spans="1:1" x14ac:dyDescent="0.35">
      <c r="A395" s="53">
        <v>394</v>
      </c>
    </row>
    <row r="396" spans="1:1" x14ac:dyDescent="0.35">
      <c r="A396" s="53">
        <v>395</v>
      </c>
    </row>
    <row r="397" spans="1:1" x14ac:dyDescent="0.35">
      <c r="A397" s="53">
        <v>396</v>
      </c>
    </row>
    <row r="398" spans="1:1" x14ac:dyDescent="0.35">
      <c r="A398" s="53">
        <v>397</v>
      </c>
    </row>
    <row r="399" spans="1:1" x14ac:dyDescent="0.35">
      <c r="A399" s="53">
        <v>398</v>
      </c>
    </row>
    <row r="400" spans="1:1" x14ac:dyDescent="0.35">
      <c r="A400" s="53">
        <v>399</v>
      </c>
    </row>
    <row r="401" spans="1:1" x14ac:dyDescent="0.35">
      <c r="A401" s="53">
        <v>400</v>
      </c>
    </row>
    <row r="402" spans="1:1" x14ac:dyDescent="0.35">
      <c r="A402" s="53">
        <v>401</v>
      </c>
    </row>
    <row r="403" spans="1:1" x14ac:dyDescent="0.35">
      <c r="A403" s="53">
        <v>402</v>
      </c>
    </row>
    <row r="404" spans="1:1" x14ac:dyDescent="0.35">
      <c r="A404" s="53">
        <v>403</v>
      </c>
    </row>
    <row r="405" spans="1:1" x14ac:dyDescent="0.35">
      <c r="A405" s="53">
        <v>404</v>
      </c>
    </row>
    <row r="406" spans="1:1" x14ac:dyDescent="0.35">
      <c r="A406" s="53">
        <v>405</v>
      </c>
    </row>
    <row r="407" spans="1:1" x14ac:dyDescent="0.35">
      <c r="A407" s="53">
        <v>406</v>
      </c>
    </row>
    <row r="408" spans="1:1" x14ac:dyDescent="0.35">
      <c r="A408" s="53">
        <v>407</v>
      </c>
    </row>
    <row r="409" spans="1:1" x14ac:dyDescent="0.35">
      <c r="A409" s="53">
        <v>408</v>
      </c>
    </row>
    <row r="410" spans="1:1" x14ac:dyDescent="0.35">
      <c r="A410" s="53">
        <v>409</v>
      </c>
    </row>
    <row r="411" spans="1:1" x14ac:dyDescent="0.35">
      <c r="A411" s="53">
        <v>410</v>
      </c>
    </row>
    <row r="412" spans="1:1" x14ac:dyDescent="0.35">
      <c r="A412" s="53">
        <v>411</v>
      </c>
    </row>
    <row r="413" spans="1:1" x14ac:dyDescent="0.35">
      <c r="A413" s="53">
        <v>412</v>
      </c>
    </row>
    <row r="414" spans="1:1" x14ac:dyDescent="0.35">
      <c r="A414" s="53">
        <v>413</v>
      </c>
    </row>
    <row r="415" spans="1:1" x14ac:dyDescent="0.35">
      <c r="A415" s="53">
        <v>414</v>
      </c>
    </row>
    <row r="416" spans="1:1" x14ac:dyDescent="0.35">
      <c r="A416" s="53">
        <v>415</v>
      </c>
    </row>
    <row r="417" spans="1:1" x14ac:dyDescent="0.35">
      <c r="A417" s="53">
        <v>416</v>
      </c>
    </row>
    <row r="418" spans="1:1" x14ac:dyDescent="0.35">
      <c r="A418" s="53">
        <v>417</v>
      </c>
    </row>
    <row r="419" spans="1:1" x14ac:dyDescent="0.35">
      <c r="A419" s="53">
        <v>418</v>
      </c>
    </row>
    <row r="420" spans="1:1" x14ac:dyDescent="0.35">
      <c r="A420" s="53">
        <v>419</v>
      </c>
    </row>
    <row r="421" spans="1:1" x14ac:dyDescent="0.35">
      <c r="A421" s="53">
        <v>420</v>
      </c>
    </row>
    <row r="422" spans="1:1" x14ac:dyDescent="0.35">
      <c r="A422" s="53">
        <v>421</v>
      </c>
    </row>
    <row r="423" spans="1:1" x14ac:dyDescent="0.35">
      <c r="A423" s="53">
        <v>422</v>
      </c>
    </row>
    <row r="424" spans="1:1" x14ac:dyDescent="0.35">
      <c r="A424" s="53">
        <v>423</v>
      </c>
    </row>
    <row r="425" spans="1:1" x14ac:dyDescent="0.35">
      <c r="A425" s="53">
        <v>424</v>
      </c>
    </row>
    <row r="426" spans="1:1" x14ac:dyDescent="0.35">
      <c r="A426" s="53">
        <v>425</v>
      </c>
    </row>
    <row r="427" spans="1:1" x14ac:dyDescent="0.35">
      <c r="A427" s="53">
        <v>426</v>
      </c>
    </row>
    <row r="428" spans="1:1" x14ac:dyDescent="0.35">
      <c r="A428" s="53">
        <v>427</v>
      </c>
    </row>
    <row r="429" spans="1:1" x14ac:dyDescent="0.35">
      <c r="A429" s="53">
        <v>428</v>
      </c>
    </row>
    <row r="430" spans="1:1" x14ac:dyDescent="0.35">
      <c r="A430" s="53">
        <v>429</v>
      </c>
    </row>
    <row r="431" spans="1:1" x14ac:dyDescent="0.35">
      <c r="A431" s="53">
        <v>430</v>
      </c>
    </row>
    <row r="432" spans="1:1" x14ac:dyDescent="0.35">
      <c r="A432" s="53">
        <v>431</v>
      </c>
    </row>
    <row r="433" spans="1:1" x14ac:dyDescent="0.35">
      <c r="A433" s="53">
        <v>432</v>
      </c>
    </row>
    <row r="434" spans="1:1" x14ac:dyDescent="0.35">
      <c r="A434" s="53">
        <v>433</v>
      </c>
    </row>
    <row r="435" spans="1:1" x14ac:dyDescent="0.35">
      <c r="A435" s="53">
        <v>434</v>
      </c>
    </row>
    <row r="436" spans="1:1" x14ac:dyDescent="0.35">
      <c r="A436" s="53">
        <v>435</v>
      </c>
    </row>
    <row r="437" spans="1:1" x14ac:dyDescent="0.35">
      <c r="A437" s="53">
        <v>436</v>
      </c>
    </row>
    <row r="438" spans="1:1" x14ac:dyDescent="0.35">
      <c r="A438" s="53">
        <v>437</v>
      </c>
    </row>
    <row r="439" spans="1:1" x14ac:dyDescent="0.35">
      <c r="A439" s="53">
        <v>438</v>
      </c>
    </row>
    <row r="440" spans="1:1" x14ac:dyDescent="0.35">
      <c r="A440" s="53">
        <v>439</v>
      </c>
    </row>
    <row r="441" spans="1:1" x14ac:dyDescent="0.35">
      <c r="A441" s="53">
        <v>440</v>
      </c>
    </row>
    <row r="442" spans="1:1" x14ac:dyDescent="0.35">
      <c r="A442" s="53">
        <v>441</v>
      </c>
    </row>
    <row r="443" spans="1:1" x14ac:dyDescent="0.35">
      <c r="A443" s="53">
        <v>442</v>
      </c>
    </row>
    <row r="444" spans="1:1" x14ac:dyDescent="0.35">
      <c r="A444" s="53">
        <v>443</v>
      </c>
    </row>
    <row r="445" spans="1:1" x14ac:dyDescent="0.35">
      <c r="A445" s="53">
        <v>444</v>
      </c>
    </row>
    <row r="446" spans="1:1" x14ac:dyDescent="0.35">
      <c r="A446" s="53">
        <v>445</v>
      </c>
    </row>
    <row r="447" spans="1:1" x14ac:dyDescent="0.35">
      <c r="A447" s="53">
        <v>446</v>
      </c>
    </row>
    <row r="448" spans="1:1" x14ac:dyDescent="0.35">
      <c r="A448" s="53">
        <v>447</v>
      </c>
    </row>
    <row r="449" spans="1:1" x14ac:dyDescent="0.35">
      <c r="A449" s="53">
        <v>448</v>
      </c>
    </row>
    <row r="450" spans="1:1" x14ac:dyDescent="0.35">
      <c r="A450" s="53">
        <v>449</v>
      </c>
    </row>
    <row r="451" spans="1:1" x14ac:dyDescent="0.35">
      <c r="A451" s="53">
        <v>450</v>
      </c>
    </row>
    <row r="452" spans="1:1" x14ac:dyDescent="0.35">
      <c r="A452" s="53">
        <v>451</v>
      </c>
    </row>
    <row r="453" spans="1:1" x14ac:dyDescent="0.35">
      <c r="A453" s="53">
        <v>452</v>
      </c>
    </row>
    <row r="454" spans="1:1" x14ac:dyDescent="0.35">
      <c r="A454" s="53">
        <v>453</v>
      </c>
    </row>
    <row r="455" spans="1:1" x14ac:dyDescent="0.35">
      <c r="A455" s="53">
        <v>454</v>
      </c>
    </row>
    <row r="456" spans="1:1" x14ac:dyDescent="0.35">
      <c r="A456" s="53">
        <v>455</v>
      </c>
    </row>
    <row r="457" spans="1:1" x14ac:dyDescent="0.35">
      <c r="A457" s="53">
        <v>456</v>
      </c>
    </row>
    <row r="458" spans="1:1" x14ac:dyDescent="0.35">
      <c r="A458" s="53">
        <v>457</v>
      </c>
    </row>
    <row r="459" spans="1:1" x14ac:dyDescent="0.35">
      <c r="A459" s="53">
        <v>458</v>
      </c>
    </row>
    <row r="460" spans="1:1" x14ac:dyDescent="0.35">
      <c r="A460" s="53">
        <v>459</v>
      </c>
    </row>
    <row r="461" spans="1:1" x14ac:dyDescent="0.35">
      <c r="A461" s="53">
        <v>460</v>
      </c>
    </row>
    <row r="462" spans="1:1" x14ac:dyDescent="0.35">
      <c r="A462" s="53">
        <v>461</v>
      </c>
    </row>
    <row r="463" spans="1:1" x14ac:dyDescent="0.35">
      <c r="A463" s="53">
        <v>462</v>
      </c>
    </row>
    <row r="464" spans="1:1" x14ac:dyDescent="0.35">
      <c r="A464" s="53">
        <v>463</v>
      </c>
    </row>
    <row r="465" spans="1:1" x14ac:dyDescent="0.35">
      <c r="A465" s="53">
        <v>464</v>
      </c>
    </row>
    <row r="466" spans="1:1" x14ac:dyDescent="0.35">
      <c r="A466" s="53">
        <v>465</v>
      </c>
    </row>
    <row r="467" spans="1:1" x14ac:dyDescent="0.35">
      <c r="A467" s="53">
        <v>466</v>
      </c>
    </row>
    <row r="468" spans="1:1" x14ac:dyDescent="0.35">
      <c r="A468" s="53">
        <v>467</v>
      </c>
    </row>
    <row r="469" spans="1:1" x14ac:dyDescent="0.35">
      <c r="A469" s="53">
        <v>468</v>
      </c>
    </row>
    <row r="470" spans="1:1" x14ac:dyDescent="0.35">
      <c r="A470" s="53">
        <v>469</v>
      </c>
    </row>
    <row r="471" spans="1:1" x14ac:dyDescent="0.35">
      <c r="A471" s="53">
        <v>470</v>
      </c>
    </row>
    <row r="472" spans="1:1" x14ac:dyDescent="0.35">
      <c r="A472" s="53">
        <v>471</v>
      </c>
    </row>
    <row r="473" spans="1:1" x14ac:dyDescent="0.35">
      <c r="A473" s="53">
        <v>472</v>
      </c>
    </row>
    <row r="474" spans="1:1" x14ac:dyDescent="0.35">
      <c r="A474" s="53">
        <v>473</v>
      </c>
    </row>
    <row r="475" spans="1:1" x14ac:dyDescent="0.35">
      <c r="A475" s="53">
        <v>474</v>
      </c>
    </row>
    <row r="476" spans="1:1" x14ac:dyDescent="0.35">
      <c r="A476" s="53">
        <v>475</v>
      </c>
    </row>
    <row r="477" spans="1:1" x14ac:dyDescent="0.35">
      <c r="A477" s="53">
        <v>476</v>
      </c>
    </row>
    <row r="478" spans="1:1" x14ac:dyDescent="0.35">
      <c r="A478" s="53">
        <v>477</v>
      </c>
    </row>
    <row r="479" spans="1:1" x14ac:dyDescent="0.35">
      <c r="A479" s="53">
        <v>478</v>
      </c>
    </row>
    <row r="480" spans="1:1" x14ac:dyDescent="0.35">
      <c r="A480" s="53">
        <v>479</v>
      </c>
    </row>
    <row r="481" spans="1:1" x14ac:dyDescent="0.35">
      <c r="A481" s="53">
        <v>480</v>
      </c>
    </row>
    <row r="482" spans="1:1" x14ac:dyDescent="0.35">
      <c r="A482" s="53">
        <v>481</v>
      </c>
    </row>
    <row r="483" spans="1:1" x14ac:dyDescent="0.35">
      <c r="A483" s="53">
        <v>482</v>
      </c>
    </row>
    <row r="484" spans="1:1" x14ac:dyDescent="0.35">
      <c r="A484" s="53">
        <v>483</v>
      </c>
    </row>
    <row r="485" spans="1:1" x14ac:dyDescent="0.35">
      <c r="A485" s="53">
        <v>484</v>
      </c>
    </row>
    <row r="486" spans="1:1" x14ac:dyDescent="0.35">
      <c r="A486" s="53">
        <v>485</v>
      </c>
    </row>
    <row r="487" spans="1:1" x14ac:dyDescent="0.35">
      <c r="A487" s="53">
        <v>486</v>
      </c>
    </row>
    <row r="488" spans="1:1" x14ac:dyDescent="0.35">
      <c r="A488" s="53">
        <v>487</v>
      </c>
    </row>
    <row r="489" spans="1:1" x14ac:dyDescent="0.35">
      <c r="A489" s="53">
        <v>488</v>
      </c>
    </row>
    <row r="490" spans="1:1" x14ac:dyDescent="0.35">
      <c r="A490" s="53">
        <v>489</v>
      </c>
    </row>
    <row r="491" spans="1:1" x14ac:dyDescent="0.35">
      <c r="A491" s="53">
        <v>490</v>
      </c>
    </row>
    <row r="492" spans="1:1" x14ac:dyDescent="0.35">
      <c r="A492" s="53">
        <v>491</v>
      </c>
    </row>
    <row r="493" spans="1:1" x14ac:dyDescent="0.35">
      <c r="A493" s="53">
        <v>492</v>
      </c>
    </row>
    <row r="494" spans="1:1" x14ac:dyDescent="0.35">
      <c r="A494" s="53">
        <v>493</v>
      </c>
    </row>
    <row r="495" spans="1:1" x14ac:dyDescent="0.35">
      <c r="A495" s="53">
        <v>494</v>
      </c>
    </row>
    <row r="496" spans="1:1" x14ac:dyDescent="0.35">
      <c r="A496" s="53">
        <v>495</v>
      </c>
    </row>
    <row r="497" spans="1:1" x14ac:dyDescent="0.35">
      <c r="A497" s="53">
        <v>496</v>
      </c>
    </row>
    <row r="498" spans="1:1" x14ac:dyDescent="0.35">
      <c r="A498" s="53">
        <v>497</v>
      </c>
    </row>
    <row r="499" spans="1:1" x14ac:dyDescent="0.35">
      <c r="A499" s="53">
        <v>498</v>
      </c>
    </row>
    <row r="500" spans="1:1" x14ac:dyDescent="0.35">
      <c r="A500" s="53">
        <v>499</v>
      </c>
    </row>
    <row r="501" spans="1:1" x14ac:dyDescent="0.35">
      <c r="A501" s="53">
        <v>500</v>
      </c>
    </row>
    <row r="502" spans="1:1" x14ac:dyDescent="0.35">
      <c r="A502" s="53">
        <v>501</v>
      </c>
    </row>
    <row r="503" spans="1:1" x14ac:dyDescent="0.35">
      <c r="A503" s="53">
        <v>502</v>
      </c>
    </row>
    <row r="504" spans="1:1" x14ac:dyDescent="0.35">
      <c r="A504" s="53">
        <v>503</v>
      </c>
    </row>
    <row r="505" spans="1:1" x14ac:dyDescent="0.35">
      <c r="A505" s="53">
        <v>504</v>
      </c>
    </row>
    <row r="506" spans="1:1" x14ac:dyDescent="0.35">
      <c r="A506" s="53">
        <v>505</v>
      </c>
    </row>
    <row r="507" spans="1:1" x14ac:dyDescent="0.35">
      <c r="A507" s="53">
        <v>506</v>
      </c>
    </row>
    <row r="508" spans="1:1" x14ac:dyDescent="0.35">
      <c r="A508" s="53">
        <v>507</v>
      </c>
    </row>
    <row r="509" spans="1:1" x14ac:dyDescent="0.35">
      <c r="A509" s="53">
        <v>508</v>
      </c>
    </row>
    <row r="510" spans="1:1" x14ac:dyDescent="0.35">
      <c r="A510" s="53">
        <v>509</v>
      </c>
    </row>
    <row r="511" spans="1:1" x14ac:dyDescent="0.35">
      <c r="A511" s="53">
        <v>510</v>
      </c>
    </row>
    <row r="512" spans="1:1" x14ac:dyDescent="0.35">
      <c r="A512" s="53">
        <v>511</v>
      </c>
    </row>
    <row r="513" spans="1:1" x14ac:dyDescent="0.35">
      <c r="A513" s="53">
        <v>512</v>
      </c>
    </row>
    <row r="514" spans="1:1" x14ac:dyDescent="0.35">
      <c r="A514" s="53">
        <v>513</v>
      </c>
    </row>
    <row r="515" spans="1:1" x14ac:dyDescent="0.35">
      <c r="A515" s="53">
        <v>514</v>
      </c>
    </row>
    <row r="516" spans="1:1" x14ac:dyDescent="0.35">
      <c r="A516" s="53">
        <v>515</v>
      </c>
    </row>
    <row r="517" spans="1:1" x14ac:dyDescent="0.35">
      <c r="A517" s="53">
        <v>516</v>
      </c>
    </row>
    <row r="518" spans="1:1" x14ac:dyDescent="0.35">
      <c r="A518" s="53">
        <v>517</v>
      </c>
    </row>
    <row r="519" spans="1:1" x14ac:dyDescent="0.35">
      <c r="A519" s="53">
        <v>518</v>
      </c>
    </row>
    <row r="520" spans="1:1" x14ac:dyDescent="0.35">
      <c r="A520" s="53">
        <v>519</v>
      </c>
    </row>
    <row r="521" spans="1:1" x14ac:dyDescent="0.35">
      <c r="A521" s="53">
        <v>520</v>
      </c>
    </row>
    <row r="522" spans="1:1" x14ac:dyDescent="0.35">
      <c r="A522" s="53">
        <v>521</v>
      </c>
    </row>
    <row r="523" spans="1:1" x14ac:dyDescent="0.35">
      <c r="A523" s="53">
        <v>522</v>
      </c>
    </row>
    <row r="524" spans="1:1" x14ac:dyDescent="0.35">
      <c r="A524" s="53">
        <v>523</v>
      </c>
    </row>
    <row r="525" spans="1:1" x14ac:dyDescent="0.35">
      <c r="A525" s="53">
        <v>524</v>
      </c>
    </row>
    <row r="526" spans="1:1" x14ac:dyDescent="0.35">
      <c r="A526" s="53">
        <v>525</v>
      </c>
    </row>
    <row r="527" spans="1:1" x14ac:dyDescent="0.35">
      <c r="A527" s="53">
        <v>526</v>
      </c>
    </row>
    <row r="528" spans="1:1" x14ac:dyDescent="0.35">
      <c r="A528" s="53">
        <v>527</v>
      </c>
    </row>
    <row r="529" spans="1:1" x14ac:dyDescent="0.35">
      <c r="A529" s="53">
        <v>528</v>
      </c>
    </row>
    <row r="530" spans="1:1" x14ac:dyDescent="0.35">
      <c r="A530" s="53">
        <v>529</v>
      </c>
    </row>
    <row r="531" spans="1:1" x14ac:dyDescent="0.35">
      <c r="A531" s="53">
        <v>530</v>
      </c>
    </row>
    <row r="532" spans="1:1" x14ac:dyDescent="0.35">
      <c r="A532" s="53">
        <v>531</v>
      </c>
    </row>
    <row r="533" spans="1:1" x14ac:dyDescent="0.35">
      <c r="A533" s="53">
        <v>532</v>
      </c>
    </row>
    <row r="534" spans="1:1" x14ac:dyDescent="0.35">
      <c r="A534" s="53">
        <v>533</v>
      </c>
    </row>
    <row r="535" spans="1:1" x14ac:dyDescent="0.35">
      <c r="A535" s="53">
        <v>534</v>
      </c>
    </row>
    <row r="536" spans="1:1" x14ac:dyDescent="0.35">
      <c r="A536" s="53">
        <v>535</v>
      </c>
    </row>
    <row r="537" spans="1:1" x14ac:dyDescent="0.35">
      <c r="A537" s="53">
        <v>536</v>
      </c>
    </row>
    <row r="538" spans="1:1" x14ac:dyDescent="0.35">
      <c r="A538" s="53">
        <v>537</v>
      </c>
    </row>
    <row r="539" spans="1:1" x14ac:dyDescent="0.35">
      <c r="A539" s="53">
        <v>538</v>
      </c>
    </row>
    <row r="540" spans="1:1" x14ac:dyDescent="0.35">
      <c r="A540" s="53">
        <v>539</v>
      </c>
    </row>
    <row r="541" spans="1:1" x14ac:dyDescent="0.35">
      <c r="A541" s="53">
        <v>540</v>
      </c>
    </row>
    <row r="542" spans="1:1" x14ac:dyDescent="0.35">
      <c r="A542" s="53">
        <v>541</v>
      </c>
    </row>
    <row r="543" spans="1:1" x14ac:dyDescent="0.35">
      <c r="A543" s="53">
        <v>542</v>
      </c>
    </row>
    <row r="544" spans="1:1" x14ac:dyDescent="0.35">
      <c r="A544" s="53">
        <v>543</v>
      </c>
    </row>
    <row r="545" spans="1:1" x14ac:dyDescent="0.35">
      <c r="A545" s="53">
        <v>544</v>
      </c>
    </row>
    <row r="546" spans="1:1" x14ac:dyDescent="0.35">
      <c r="A546" s="53">
        <v>545</v>
      </c>
    </row>
    <row r="547" spans="1:1" x14ac:dyDescent="0.35">
      <c r="A547" s="53">
        <v>546</v>
      </c>
    </row>
    <row r="548" spans="1:1" x14ac:dyDescent="0.35">
      <c r="A548" s="53">
        <v>547</v>
      </c>
    </row>
    <row r="549" spans="1:1" x14ac:dyDescent="0.35">
      <c r="A549" s="53">
        <v>548</v>
      </c>
    </row>
    <row r="550" spans="1:1" x14ac:dyDescent="0.35">
      <c r="A550" s="53">
        <v>549</v>
      </c>
    </row>
    <row r="551" spans="1:1" x14ac:dyDescent="0.35">
      <c r="A551" s="53">
        <v>550</v>
      </c>
    </row>
    <row r="552" spans="1:1" x14ac:dyDescent="0.35">
      <c r="A552" s="53">
        <v>551</v>
      </c>
    </row>
    <row r="553" spans="1:1" x14ac:dyDescent="0.35">
      <c r="A553" s="53">
        <v>552</v>
      </c>
    </row>
    <row r="554" spans="1:1" x14ac:dyDescent="0.35">
      <c r="A554" s="53">
        <v>553</v>
      </c>
    </row>
    <row r="555" spans="1:1" x14ac:dyDescent="0.35">
      <c r="A555" s="53">
        <v>554</v>
      </c>
    </row>
    <row r="556" spans="1:1" x14ac:dyDescent="0.35">
      <c r="A556" s="53">
        <v>555</v>
      </c>
    </row>
    <row r="557" spans="1:1" x14ac:dyDescent="0.35">
      <c r="A557" s="53">
        <v>556</v>
      </c>
    </row>
    <row r="558" spans="1:1" x14ac:dyDescent="0.35">
      <c r="A558" s="53">
        <v>557</v>
      </c>
    </row>
    <row r="559" spans="1:1" x14ac:dyDescent="0.35">
      <c r="A559" s="53">
        <v>558</v>
      </c>
    </row>
    <row r="560" spans="1:1" x14ac:dyDescent="0.35">
      <c r="A560" s="53">
        <v>559</v>
      </c>
    </row>
    <row r="561" spans="1:1" x14ac:dyDescent="0.35">
      <c r="A561" s="53">
        <v>560</v>
      </c>
    </row>
    <row r="562" spans="1:1" x14ac:dyDescent="0.35">
      <c r="A562" s="53">
        <v>561</v>
      </c>
    </row>
    <row r="563" spans="1:1" x14ac:dyDescent="0.35">
      <c r="A563" s="53">
        <v>562</v>
      </c>
    </row>
    <row r="564" spans="1:1" x14ac:dyDescent="0.35">
      <c r="A564" s="53">
        <v>563</v>
      </c>
    </row>
    <row r="565" spans="1:1" x14ac:dyDescent="0.35">
      <c r="A565" s="53">
        <v>564</v>
      </c>
    </row>
    <row r="566" spans="1:1" x14ac:dyDescent="0.35">
      <c r="A566" s="53">
        <v>565</v>
      </c>
    </row>
    <row r="567" spans="1:1" x14ac:dyDescent="0.35">
      <c r="A567" s="53">
        <v>566</v>
      </c>
    </row>
    <row r="568" spans="1:1" x14ac:dyDescent="0.35">
      <c r="A568" s="53">
        <v>567</v>
      </c>
    </row>
    <row r="569" spans="1:1" x14ac:dyDescent="0.35">
      <c r="A569" s="53">
        <v>568</v>
      </c>
    </row>
    <row r="570" spans="1:1" x14ac:dyDescent="0.35">
      <c r="A570" s="53">
        <v>569</v>
      </c>
    </row>
    <row r="571" spans="1:1" x14ac:dyDescent="0.35">
      <c r="A571" s="53">
        <v>570</v>
      </c>
    </row>
    <row r="572" spans="1:1" x14ac:dyDescent="0.35">
      <c r="A572" s="53">
        <v>571</v>
      </c>
    </row>
    <row r="573" spans="1:1" x14ac:dyDescent="0.35">
      <c r="A573" s="53">
        <v>572</v>
      </c>
    </row>
    <row r="574" spans="1:1" x14ac:dyDescent="0.35">
      <c r="A574" s="53">
        <v>573</v>
      </c>
    </row>
    <row r="575" spans="1:1" x14ac:dyDescent="0.35">
      <c r="A575" s="53">
        <v>574</v>
      </c>
    </row>
    <row r="576" spans="1:1" x14ac:dyDescent="0.35">
      <c r="A576" s="53">
        <v>575</v>
      </c>
    </row>
    <row r="577" spans="1:1" x14ac:dyDescent="0.35">
      <c r="A577" s="53">
        <v>576</v>
      </c>
    </row>
    <row r="578" spans="1:1" x14ac:dyDescent="0.35">
      <c r="A578" s="53">
        <v>577</v>
      </c>
    </row>
    <row r="579" spans="1:1" x14ac:dyDescent="0.35">
      <c r="A579" s="53">
        <v>578</v>
      </c>
    </row>
    <row r="580" spans="1:1" x14ac:dyDescent="0.35">
      <c r="A580" s="53">
        <v>579</v>
      </c>
    </row>
    <row r="581" spans="1:1" x14ac:dyDescent="0.35">
      <c r="A581" s="53">
        <v>580</v>
      </c>
    </row>
    <row r="582" spans="1:1" x14ac:dyDescent="0.35">
      <c r="A582" s="53">
        <v>581</v>
      </c>
    </row>
    <row r="583" spans="1:1" x14ac:dyDescent="0.35">
      <c r="A583" s="53">
        <v>582</v>
      </c>
    </row>
    <row r="584" spans="1:1" x14ac:dyDescent="0.35">
      <c r="A584" s="53">
        <v>583</v>
      </c>
    </row>
    <row r="585" spans="1:1" x14ac:dyDescent="0.35">
      <c r="A585" s="53">
        <v>584</v>
      </c>
    </row>
    <row r="586" spans="1:1" x14ac:dyDescent="0.35">
      <c r="A586" s="53">
        <v>585</v>
      </c>
    </row>
    <row r="587" spans="1:1" x14ac:dyDescent="0.35">
      <c r="A587" s="53">
        <v>586</v>
      </c>
    </row>
    <row r="588" spans="1:1" x14ac:dyDescent="0.35">
      <c r="A588" s="53">
        <v>587</v>
      </c>
    </row>
    <row r="589" spans="1:1" x14ac:dyDescent="0.35">
      <c r="A589" s="53">
        <v>588</v>
      </c>
    </row>
    <row r="590" spans="1:1" x14ac:dyDescent="0.35">
      <c r="A590" s="53">
        <v>589</v>
      </c>
    </row>
    <row r="591" spans="1:1" x14ac:dyDescent="0.35">
      <c r="A591" s="53">
        <v>590</v>
      </c>
    </row>
    <row r="592" spans="1:1" x14ac:dyDescent="0.35">
      <c r="A592" s="53">
        <v>591</v>
      </c>
    </row>
    <row r="593" spans="1:1" x14ac:dyDescent="0.35">
      <c r="A593" s="53">
        <v>592</v>
      </c>
    </row>
    <row r="594" spans="1:1" x14ac:dyDescent="0.35">
      <c r="A594" s="53">
        <v>593</v>
      </c>
    </row>
    <row r="595" spans="1:1" x14ac:dyDescent="0.35">
      <c r="A595" s="53">
        <v>594</v>
      </c>
    </row>
    <row r="596" spans="1:1" x14ac:dyDescent="0.35">
      <c r="A596" s="53">
        <v>595</v>
      </c>
    </row>
    <row r="597" spans="1:1" x14ac:dyDescent="0.35">
      <c r="A597" s="53">
        <v>596</v>
      </c>
    </row>
    <row r="598" spans="1:1" x14ac:dyDescent="0.35">
      <c r="A598" s="53">
        <v>597</v>
      </c>
    </row>
    <row r="599" spans="1:1" x14ac:dyDescent="0.35">
      <c r="A599" s="53">
        <v>598</v>
      </c>
    </row>
    <row r="600" spans="1:1" x14ac:dyDescent="0.35">
      <c r="A600" s="53">
        <v>599</v>
      </c>
    </row>
    <row r="601" spans="1:1" x14ac:dyDescent="0.35">
      <c r="A601" s="5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H4115"/>
  <sheetViews>
    <sheetView showGridLines="0" tabSelected="1" topLeftCell="C1" zoomScale="90" zoomScaleNormal="90" workbookViewId="0">
      <pane ySplit="1" topLeftCell="A12" activePane="bottomLeft" state="frozen"/>
      <selection pane="bottomLeft" activeCell="C2" sqref="C2"/>
    </sheetView>
  </sheetViews>
  <sheetFormatPr defaultRowHeight="14.5" x14ac:dyDescent="0.35"/>
  <cols>
    <col min="1" max="1" width="40.1796875" bestFit="1" customWidth="1"/>
    <col min="2" max="2" width="15.81640625" customWidth="1"/>
    <col min="3" max="4" width="54.7265625" bestFit="1" customWidth="1"/>
    <col min="5" max="5" width="36.453125" bestFit="1" customWidth="1"/>
    <col min="6" max="6" width="13.7265625" bestFit="1" customWidth="1"/>
    <col min="7" max="7" width="15.26953125" customWidth="1"/>
    <col min="8" max="8" width="14.81640625" customWidth="1"/>
  </cols>
  <sheetData>
    <row r="1" spans="1:8" ht="14.5" customHeight="1" x14ac:dyDescent="0.35">
      <c r="A1" s="7" t="s">
        <v>286</v>
      </c>
      <c r="B1" s="7" t="s">
        <v>287</v>
      </c>
      <c r="C1" s="7" t="s">
        <v>288</v>
      </c>
      <c r="D1" s="7" t="s">
        <v>289</v>
      </c>
      <c r="E1" s="7" t="s">
        <v>12</v>
      </c>
      <c r="F1" s="8" t="s">
        <v>6</v>
      </c>
      <c r="G1" s="8" t="s">
        <v>7</v>
      </c>
      <c r="H1" s="8" t="s">
        <v>8</v>
      </c>
    </row>
    <row r="2" spans="1:8" ht="14.5" customHeight="1" x14ac:dyDescent="0.35">
      <c r="A2" s="2" t="s">
        <v>290</v>
      </c>
      <c r="B2" s="2" t="s">
        <v>291</v>
      </c>
      <c r="C2" s="2" t="s">
        <v>292</v>
      </c>
      <c r="D2" s="2" t="s">
        <v>293</v>
      </c>
      <c r="E2" s="2" t="s">
        <v>294</v>
      </c>
      <c r="F2" s="3">
        <v>27.5</v>
      </c>
      <c r="G2" s="4">
        <v>12</v>
      </c>
      <c r="H2" s="5">
        <v>0</v>
      </c>
    </row>
    <row r="3" spans="1:8" ht="14.5" customHeight="1" x14ac:dyDescent="0.35">
      <c r="A3" s="2" t="s">
        <v>290</v>
      </c>
      <c r="B3" s="2" t="s">
        <v>291</v>
      </c>
      <c r="C3" s="2" t="s">
        <v>295</v>
      </c>
      <c r="D3" s="2" t="s">
        <v>296</v>
      </c>
      <c r="E3" s="2" t="s">
        <v>297</v>
      </c>
      <c r="F3" s="3">
        <v>46.66</v>
      </c>
      <c r="G3" s="4">
        <v>12</v>
      </c>
      <c r="H3" s="5">
        <v>0</v>
      </c>
    </row>
    <row r="4" spans="1:8" ht="14.5" customHeight="1" x14ac:dyDescent="0.35">
      <c r="A4" s="2" t="s">
        <v>290</v>
      </c>
      <c r="B4" s="2" t="s">
        <v>291</v>
      </c>
      <c r="C4" s="2" t="s">
        <v>298</v>
      </c>
      <c r="D4" s="2" t="s">
        <v>299</v>
      </c>
      <c r="E4" s="2" t="s">
        <v>300</v>
      </c>
      <c r="F4" s="3">
        <v>81.66</v>
      </c>
      <c r="G4" s="4">
        <v>6</v>
      </c>
      <c r="H4" s="5">
        <v>0</v>
      </c>
    </row>
    <row r="5" spans="1:8" ht="14.5" customHeight="1" x14ac:dyDescent="0.35">
      <c r="A5" s="2" t="s">
        <v>290</v>
      </c>
      <c r="B5" s="2" t="s">
        <v>291</v>
      </c>
      <c r="C5" s="2" t="s">
        <v>301</v>
      </c>
      <c r="D5" s="2" t="s">
        <v>302</v>
      </c>
      <c r="E5" s="2" t="s">
        <v>303</v>
      </c>
      <c r="F5" s="3">
        <v>93.75</v>
      </c>
      <c r="G5" s="4">
        <v>12</v>
      </c>
      <c r="H5" s="5">
        <v>0</v>
      </c>
    </row>
    <row r="6" spans="1:8" ht="14.5" customHeight="1" x14ac:dyDescent="0.35">
      <c r="A6" s="2" t="s">
        <v>290</v>
      </c>
      <c r="B6" s="2" t="s">
        <v>291</v>
      </c>
      <c r="C6" s="2" t="s">
        <v>304</v>
      </c>
      <c r="D6" s="2" t="s">
        <v>305</v>
      </c>
      <c r="E6" s="2" t="s">
        <v>92</v>
      </c>
      <c r="F6" s="3">
        <v>3827.04</v>
      </c>
      <c r="G6" s="4">
        <v>60</v>
      </c>
      <c r="H6" s="5">
        <v>0</v>
      </c>
    </row>
    <row r="7" spans="1:8" ht="14.5" customHeight="1" x14ac:dyDescent="0.35">
      <c r="A7" s="2" t="s">
        <v>290</v>
      </c>
      <c r="B7" s="2" t="s">
        <v>291</v>
      </c>
      <c r="C7" s="2" t="s">
        <v>306</v>
      </c>
      <c r="D7" s="2" t="s">
        <v>307</v>
      </c>
      <c r="E7" s="2" t="s">
        <v>147</v>
      </c>
      <c r="F7" s="3">
        <v>3200</v>
      </c>
      <c r="G7" s="4">
        <v>60</v>
      </c>
      <c r="H7" s="5">
        <v>0</v>
      </c>
    </row>
    <row r="8" spans="1:8" ht="14.5" customHeight="1" x14ac:dyDescent="0.35">
      <c r="A8" s="2" t="s">
        <v>290</v>
      </c>
      <c r="B8" s="2" t="s">
        <v>291</v>
      </c>
      <c r="C8" s="2" t="s">
        <v>308</v>
      </c>
      <c r="D8" s="2" t="s">
        <v>309</v>
      </c>
      <c r="E8" s="2" t="s">
        <v>158</v>
      </c>
      <c r="F8" s="3">
        <v>4350</v>
      </c>
      <c r="G8" s="4">
        <v>48</v>
      </c>
      <c r="H8" s="5">
        <v>0</v>
      </c>
    </row>
    <row r="9" spans="1:8" ht="14.5" customHeight="1" x14ac:dyDescent="0.35">
      <c r="A9" s="2" t="s">
        <v>290</v>
      </c>
      <c r="B9" s="2" t="s">
        <v>291</v>
      </c>
      <c r="C9" s="2" t="s">
        <v>310</v>
      </c>
      <c r="D9" s="2" t="s">
        <v>311</v>
      </c>
      <c r="E9" s="2" t="s">
        <v>312</v>
      </c>
      <c r="F9" s="3">
        <v>986.04</v>
      </c>
      <c r="G9" s="4">
        <v>36</v>
      </c>
      <c r="H9" s="5">
        <v>0</v>
      </c>
    </row>
    <row r="10" spans="1:8" x14ac:dyDescent="0.35">
      <c r="A10" s="2" t="s">
        <v>290</v>
      </c>
      <c r="B10" s="2" t="s">
        <v>291</v>
      </c>
      <c r="C10" s="2" t="s">
        <v>313</v>
      </c>
      <c r="D10" s="2" t="s">
        <v>314</v>
      </c>
      <c r="E10" s="6" t="s">
        <v>315</v>
      </c>
      <c r="F10" s="3">
        <v>93.6</v>
      </c>
      <c r="G10" s="4">
        <v>12</v>
      </c>
      <c r="H10" s="5">
        <v>0</v>
      </c>
    </row>
    <row r="11" spans="1:8" ht="14.5" customHeight="1" x14ac:dyDescent="0.35">
      <c r="A11" s="2" t="s">
        <v>290</v>
      </c>
      <c r="B11" s="2" t="s">
        <v>291</v>
      </c>
      <c r="C11" s="2" t="s">
        <v>316</v>
      </c>
      <c r="D11" s="2" t="s">
        <v>317</v>
      </c>
      <c r="E11" s="2" t="s">
        <v>248</v>
      </c>
      <c r="F11" s="3">
        <v>224.64</v>
      </c>
      <c r="G11" s="4">
        <v>12</v>
      </c>
      <c r="H11" s="5">
        <v>0</v>
      </c>
    </row>
    <row r="12" spans="1:8" ht="14.5" customHeight="1" x14ac:dyDescent="0.35">
      <c r="A12" s="2" t="s">
        <v>290</v>
      </c>
      <c r="B12" s="2" t="s">
        <v>291</v>
      </c>
      <c r="C12" s="2" t="s">
        <v>318</v>
      </c>
      <c r="D12" s="2" t="s">
        <v>319</v>
      </c>
      <c r="E12" s="2" t="s">
        <v>303</v>
      </c>
      <c r="F12" s="3">
        <v>93.75</v>
      </c>
      <c r="G12" s="4">
        <v>12</v>
      </c>
      <c r="H12" s="5">
        <v>0</v>
      </c>
    </row>
    <row r="13" spans="1:8" ht="14.5" customHeight="1" x14ac:dyDescent="0.35">
      <c r="A13" s="2" t="s">
        <v>290</v>
      </c>
      <c r="B13" s="2" t="s">
        <v>291</v>
      </c>
      <c r="C13" s="2" t="s">
        <v>320</v>
      </c>
      <c r="D13" s="2" t="s">
        <v>321</v>
      </c>
      <c r="E13" s="2" t="s">
        <v>322</v>
      </c>
      <c r="F13" s="3">
        <v>125.9</v>
      </c>
      <c r="G13" s="4">
        <v>36</v>
      </c>
      <c r="H13" s="5">
        <v>0</v>
      </c>
    </row>
    <row r="14" spans="1:8" ht="14.5" customHeight="1" x14ac:dyDescent="0.35">
      <c r="A14" s="2" t="s">
        <v>290</v>
      </c>
      <c r="B14" s="2" t="s">
        <v>291</v>
      </c>
      <c r="C14" s="2" t="s">
        <v>323</v>
      </c>
      <c r="D14" s="2" t="s">
        <v>324</v>
      </c>
      <c r="E14" s="2" t="s">
        <v>325</v>
      </c>
      <c r="F14" s="3">
        <v>245.58</v>
      </c>
      <c r="G14" s="4">
        <v>6</v>
      </c>
      <c r="H14" s="5">
        <v>0</v>
      </c>
    </row>
    <row r="15" spans="1:8" ht="14.5" customHeight="1" x14ac:dyDescent="0.35">
      <c r="A15" s="2" t="s">
        <v>290</v>
      </c>
      <c r="B15" s="2" t="s">
        <v>291</v>
      </c>
      <c r="C15" s="2" t="s">
        <v>326</v>
      </c>
      <c r="D15" s="2" t="s">
        <v>327</v>
      </c>
      <c r="E15" s="2" t="s">
        <v>260</v>
      </c>
      <c r="F15" s="3">
        <v>27700</v>
      </c>
      <c r="G15" s="4">
        <v>60</v>
      </c>
      <c r="H15" s="5">
        <v>0</v>
      </c>
    </row>
    <row r="16" spans="1:8" ht="14.5" customHeight="1" x14ac:dyDescent="0.35">
      <c r="A16" s="2" t="s">
        <v>290</v>
      </c>
      <c r="B16" s="2" t="s">
        <v>291</v>
      </c>
      <c r="C16" s="2" t="s">
        <v>328</v>
      </c>
      <c r="D16" s="2" t="s">
        <v>329</v>
      </c>
      <c r="E16" s="2" t="s">
        <v>46</v>
      </c>
      <c r="F16" s="3">
        <v>2800</v>
      </c>
      <c r="G16" s="4">
        <v>60</v>
      </c>
      <c r="H16" s="5">
        <v>0</v>
      </c>
    </row>
    <row r="17" spans="1:8" ht="14.5" customHeight="1" x14ac:dyDescent="0.35">
      <c r="A17" s="2" t="s">
        <v>290</v>
      </c>
      <c r="B17" s="2" t="s">
        <v>291</v>
      </c>
      <c r="C17" s="2" t="s">
        <v>330</v>
      </c>
      <c r="D17" s="2" t="s">
        <v>331</v>
      </c>
      <c r="E17" s="2" t="s">
        <v>332</v>
      </c>
      <c r="F17" s="3">
        <v>443.88</v>
      </c>
      <c r="G17" s="4">
        <v>36</v>
      </c>
      <c r="H17" s="5">
        <v>0</v>
      </c>
    </row>
    <row r="18" spans="1:8" ht="14.5" customHeight="1" x14ac:dyDescent="0.35">
      <c r="A18" s="2" t="s">
        <v>290</v>
      </c>
      <c r="B18" s="2" t="s">
        <v>291</v>
      </c>
      <c r="C18" s="2" t="s">
        <v>333</v>
      </c>
      <c r="D18" s="2" t="s">
        <v>334</v>
      </c>
      <c r="E18" s="2" t="s">
        <v>226</v>
      </c>
      <c r="F18" s="3">
        <v>2705.4</v>
      </c>
      <c r="G18" s="4">
        <v>60</v>
      </c>
      <c r="H18" s="5">
        <v>0</v>
      </c>
    </row>
    <row r="19" spans="1:8" ht="14.5" customHeight="1" x14ac:dyDescent="0.35">
      <c r="A19" s="2" t="s">
        <v>290</v>
      </c>
      <c r="B19" s="2" t="s">
        <v>291</v>
      </c>
      <c r="C19" s="2" t="s">
        <v>335</v>
      </c>
      <c r="D19" s="2" t="s">
        <v>336</v>
      </c>
      <c r="E19" s="2" t="s">
        <v>337</v>
      </c>
      <c r="F19" s="3">
        <v>1913.28</v>
      </c>
      <c r="G19" s="4">
        <v>48</v>
      </c>
      <c r="H19" s="5">
        <v>0</v>
      </c>
    </row>
    <row r="20" spans="1:8" x14ac:dyDescent="0.35">
      <c r="A20" s="2" t="s">
        <v>338</v>
      </c>
      <c r="B20" s="2" t="s">
        <v>339</v>
      </c>
      <c r="C20" s="2" t="s">
        <v>340</v>
      </c>
      <c r="D20" s="2" t="s">
        <v>341</v>
      </c>
      <c r="E20" s="2" t="s">
        <v>102</v>
      </c>
      <c r="F20" s="3">
        <v>94.17</v>
      </c>
      <c r="G20" s="4">
        <v>1</v>
      </c>
      <c r="H20" s="5">
        <v>0</v>
      </c>
    </row>
    <row r="21" spans="1:8" x14ac:dyDescent="0.35">
      <c r="A21" s="2" t="s">
        <v>338</v>
      </c>
      <c r="B21" s="2" t="s">
        <v>339</v>
      </c>
      <c r="C21" s="2" t="s">
        <v>342</v>
      </c>
      <c r="D21" s="2" t="s">
        <v>343</v>
      </c>
      <c r="E21" s="2" t="s">
        <v>344</v>
      </c>
      <c r="F21" s="3">
        <v>135</v>
      </c>
      <c r="G21" s="4">
        <v>1</v>
      </c>
      <c r="H21" s="5">
        <v>0</v>
      </c>
    </row>
    <row r="22" spans="1:8" x14ac:dyDescent="0.35">
      <c r="A22" s="2" t="s">
        <v>338</v>
      </c>
      <c r="B22" s="2" t="s">
        <v>339</v>
      </c>
      <c r="C22" s="2" t="s">
        <v>345</v>
      </c>
      <c r="D22" s="2" t="s">
        <v>346</v>
      </c>
      <c r="E22" s="2" t="s">
        <v>347</v>
      </c>
      <c r="F22" s="3">
        <v>104.63</v>
      </c>
      <c r="G22" s="4">
        <v>1</v>
      </c>
      <c r="H22" s="5">
        <v>0</v>
      </c>
    </row>
    <row r="23" spans="1:8" x14ac:dyDescent="0.35">
      <c r="A23" s="2" t="s">
        <v>338</v>
      </c>
      <c r="B23" s="2" t="s">
        <v>339</v>
      </c>
      <c r="C23" s="2" t="s">
        <v>348</v>
      </c>
      <c r="D23" s="2" t="s">
        <v>349</v>
      </c>
      <c r="E23" s="2" t="s">
        <v>350</v>
      </c>
      <c r="F23" s="3">
        <v>134.13</v>
      </c>
      <c r="G23" s="4">
        <v>1</v>
      </c>
      <c r="H23" s="5">
        <v>0</v>
      </c>
    </row>
    <row r="24" spans="1:8" x14ac:dyDescent="0.35">
      <c r="A24" s="2" t="s">
        <v>338</v>
      </c>
      <c r="B24" s="2" t="s">
        <v>339</v>
      </c>
      <c r="C24" s="2" t="s">
        <v>351</v>
      </c>
      <c r="D24" s="2" t="s">
        <v>352</v>
      </c>
      <c r="E24" s="6" t="s">
        <v>353</v>
      </c>
      <c r="F24" s="3">
        <v>287</v>
      </c>
      <c r="G24" s="4">
        <v>36</v>
      </c>
      <c r="H24" s="5">
        <v>1.67E-2</v>
      </c>
    </row>
    <row r="25" spans="1:8" x14ac:dyDescent="0.35">
      <c r="A25" s="2" t="s">
        <v>338</v>
      </c>
      <c r="B25" s="2" t="s">
        <v>339</v>
      </c>
      <c r="C25" s="2" t="s">
        <v>354</v>
      </c>
      <c r="D25" s="2" t="s">
        <v>355</v>
      </c>
      <c r="E25" s="2" t="s">
        <v>356</v>
      </c>
      <c r="F25" s="3">
        <v>97</v>
      </c>
      <c r="G25" s="4">
        <v>36</v>
      </c>
      <c r="H25" s="5">
        <v>1.67E-2</v>
      </c>
    </row>
    <row r="26" spans="1:8" x14ac:dyDescent="0.35">
      <c r="A26" s="2" t="s">
        <v>338</v>
      </c>
      <c r="B26" s="2" t="s">
        <v>339</v>
      </c>
      <c r="C26" s="2" t="s">
        <v>357</v>
      </c>
      <c r="D26" s="2" t="s">
        <v>358</v>
      </c>
      <c r="E26" s="2" t="s">
        <v>35</v>
      </c>
      <c r="F26" s="3">
        <v>390</v>
      </c>
      <c r="G26" s="4">
        <v>36</v>
      </c>
      <c r="H26" s="5">
        <v>1.67E-2</v>
      </c>
    </row>
    <row r="27" spans="1:8" x14ac:dyDescent="0.35">
      <c r="A27" s="2" t="s">
        <v>338</v>
      </c>
      <c r="B27" s="2" t="s">
        <v>339</v>
      </c>
      <c r="C27" s="2" t="s">
        <v>359</v>
      </c>
      <c r="D27" s="2" t="s">
        <v>360</v>
      </c>
      <c r="E27" s="2" t="s">
        <v>361</v>
      </c>
      <c r="F27" s="3">
        <v>380</v>
      </c>
      <c r="G27" s="4">
        <v>36</v>
      </c>
      <c r="H27" s="5">
        <v>1.67E-2</v>
      </c>
    </row>
    <row r="28" spans="1:8" x14ac:dyDescent="0.35">
      <c r="A28" s="2" t="s">
        <v>338</v>
      </c>
      <c r="B28" s="2" t="s">
        <v>339</v>
      </c>
      <c r="C28" s="2" t="s">
        <v>362</v>
      </c>
      <c r="D28" s="2" t="s">
        <v>363</v>
      </c>
      <c r="E28" s="2" t="s">
        <v>260</v>
      </c>
      <c r="F28" s="3">
        <v>22633.86</v>
      </c>
      <c r="G28" s="4">
        <v>60</v>
      </c>
      <c r="H28" s="5">
        <v>1.67E-2</v>
      </c>
    </row>
    <row r="29" spans="1:8" x14ac:dyDescent="0.35">
      <c r="A29" s="2" t="s">
        <v>338</v>
      </c>
      <c r="B29" s="2" t="s">
        <v>339</v>
      </c>
      <c r="C29" s="2" t="s">
        <v>364</v>
      </c>
      <c r="D29" s="2" t="s">
        <v>365</v>
      </c>
      <c r="E29" s="2" t="s">
        <v>71</v>
      </c>
      <c r="F29" s="3">
        <v>638.46</v>
      </c>
      <c r="G29" s="4">
        <v>12</v>
      </c>
      <c r="H29" s="5">
        <v>1.67E-2</v>
      </c>
    </row>
    <row r="30" spans="1:8" x14ac:dyDescent="0.35">
      <c r="A30" s="2" t="s">
        <v>338</v>
      </c>
      <c r="B30" s="2" t="s">
        <v>339</v>
      </c>
      <c r="C30" s="2" t="s">
        <v>366</v>
      </c>
      <c r="D30" s="2" t="s">
        <v>367</v>
      </c>
      <c r="E30" s="2" t="s">
        <v>368</v>
      </c>
      <c r="F30" s="3">
        <v>3034.31</v>
      </c>
      <c r="G30" s="4">
        <v>60</v>
      </c>
      <c r="H30" s="5">
        <v>1.67E-2</v>
      </c>
    </row>
    <row r="31" spans="1:8" x14ac:dyDescent="0.35">
      <c r="A31" s="2" t="s">
        <v>338</v>
      </c>
      <c r="B31" s="2" t="s">
        <v>339</v>
      </c>
      <c r="C31" s="2" t="s">
        <v>369</v>
      </c>
      <c r="D31" s="2" t="s">
        <v>370</v>
      </c>
      <c r="E31" s="2" t="s">
        <v>48</v>
      </c>
      <c r="F31" s="3">
        <v>293.17</v>
      </c>
      <c r="G31" s="4">
        <v>60</v>
      </c>
      <c r="H31" s="5">
        <v>1.67E-2</v>
      </c>
    </row>
    <row r="32" spans="1:8" x14ac:dyDescent="0.35">
      <c r="A32" s="2" t="s">
        <v>338</v>
      </c>
      <c r="B32" s="2" t="s">
        <v>339</v>
      </c>
      <c r="C32" s="2" t="s">
        <v>371</v>
      </c>
      <c r="D32" s="2" t="s">
        <v>372</v>
      </c>
      <c r="E32" s="2" t="s">
        <v>373</v>
      </c>
      <c r="F32" s="3">
        <v>1774.81</v>
      </c>
      <c r="G32" s="4">
        <v>60</v>
      </c>
      <c r="H32" s="5">
        <v>1.67E-2</v>
      </c>
    </row>
    <row r="33" spans="1:8" ht="14.5" customHeight="1" x14ac:dyDescent="0.35">
      <c r="A33" s="2" t="s">
        <v>338</v>
      </c>
      <c r="B33" s="2" t="s">
        <v>339</v>
      </c>
      <c r="C33" s="2" t="s">
        <v>374</v>
      </c>
      <c r="D33" s="2" t="s">
        <v>375</v>
      </c>
      <c r="E33" s="2" t="s">
        <v>373</v>
      </c>
      <c r="F33" s="3">
        <v>2456.7199999999998</v>
      </c>
      <c r="G33" s="4">
        <v>60</v>
      </c>
      <c r="H33" s="5">
        <v>1.67E-2</v>
      </c>
    </row>
    <row r="34" spans="1:8" x14ac:dyDescent="0.35">
      <c r="A34" s="2" t="s">
        <v>338</v>
      </c>
      <c r="B34" s="2" t="s">
        <v>339</v>
      </c>
      <c r="C34" s="2" t="s">
        <v>376</v>
      </c>
      <c r="D34" s="2" t="s">
        <v>377</v>
      </c>
      <c r="E34" s="2" t="s">
        <v>378</v>
      </c>
      <c r="F34" s="3">
        <v>252</v>
      </c>
      <c r="G34" s="4">
        <v>60</v>
      </c>
      <c r="H34" s="5">
        <v>1.67E-2</v>
      </c>
    </row>
    <row r="35" spans="1:8" x14ac:dyDescent="0.35">
      <c r="A35" s="2" t="s">
        <v>338</v>
      </c>
      <c r="B35" s="2" t="s">
        <v>339</v>
      </c>
      <c r="C35" s="2" t="s">
        <v>379</v>
      </c>
      <c r="D35" s="2" t="s">
        <v>380</v>
      </c>
      <c r="E35" s="2" t="s">
        <v>204</v>
      </c>
      <c r="F35" s="3">
        <v>235.2</v>
      </c>
      <c r="G35" s="4">
        <v>24</v>
      </c>
      <c r="H35" s="5">
        <v>1.67E-2</v>
      </c>
    </row>
    <row r="36" spans="1:8" ht="14.5" customHeight="1" x14ac:dyDescent="0.35">
      <c r="A36" s="2" t="s">
        <v>338</v>
      </c>
      <c r="B36" s="2" t="s">
        <v>339</v>
      </c>
      <c r="C36" s="2" t="s">
        <v>381</v>
      </c>
      <c r="D36" s="2" t="s">
        <v>382</v>
      </c>
      <c r="E36" s="2" t="s">
        <v>325</v>
      </c>
      <c r="F36" s="3">
        <v>166.84</v>
      </c>
      <c r="G36" s="4">
        <v>12</v>
      </c>
      <c r="H36" s="5">
        <v>1.67E-2</v>
      </c>
    </row>
    <row r="37" spans="1:8" ht="14.5" customHeight="1" x14ac:dyDescent="0.35">
      <c r="A37" s="2" t="s">
        <v>338</v>
      </c>
      <c r="B37" s="2" t="s">
        <v>339</v>
      </c>
      <c r="C37" s="2" t="s">
        <v>383</v>
      </c>
      <c r="D37" s="2" t="s">
        <v>384</v>
      </c>
      <c r="E37" s="2" t="s">
        <v>226</v>
      </c>
      <c r="F37" s="3">
        <v>3101</v>
      </c>
      <c r="G37" s="4">
        <v>60</v>
      </c>
      <c r="H37" s="5">
        <v>1.67E-2</v>
      </c>
    </row>
    <row r="38" spans="1:8" ht="14.5" customHeight="1" x14ac:dyDescent="0.35">
      <c r="A38" s="2" t="s">
        <v>338</v>
      </c>
      <c r="B38" s="2" t="s">
        <v>339</v>
      </c>
      <c r="C38" s="2" t="s">
        <v>385</v>
      </c>
      <c r="D38" s="2" t="s">
        <v>386</v>
      </c>
      <c r="E38" s="2" t="s">
        <v>248</v>
      </c>
      <c r="F38" s="3">
        <v>387.64</v>
      </c>
      <c r="G38" s="4">
        <v>12</v>
      </c>
      <c r="H38" s="5">
        <v>1.67E-2</v>
      </c>
    </row>
    <row r="39" spans="1:8" x14ac:dyDescent="0.35">
      <c r="A39" s="2" t="s">
        <v>338</v>
      </c>
      <c r="B39" s="2" t="s">
        <v>339</v>
      </c>
      <c r="C39" s="2" t="s">
        <v>387</v>
      </c>
      <c r="D39" s="2" t="s">
        <v>388</v>
      </c>
      <c r="E39" s="2" t="s">
        <v>389</v>
      </c>
      <c r="F39" s="3">
        <v>329.9</v>
      </c>
      <c r="G39" s="4">
        <v>24</v>
      </c>
      <c r="H39" s="5">
        <v>1.67E-2</v>
      </c>
    </row>
    <row r="40" spans="1:8" x14ac:dyDescent="0.35">
      <c r="A40" s="2" t="s">
        <v>338</v>
      </c>
      <c r="B40" s="2" t="s">
        <v>339</v>
      </c>
      <c r="C40" s="2" t="s">
        <v>390</v>
      </c>
      <c r="D40" s="2" t="s">
        <v>391</v>
      </c>
      <c r="E40" s="2" t="s">
        <v>115</v>
      </c>
      <c r="F40" s="3">
        <v>90</v>
      </c>
      <c r="G40" s="4">
        <v>12</v>
      </c>
      <c r="H40" s="5">
        <v>1.67E-2</v>
      </c>
    </row>
    <row r="41" spans="1:8" x14ac:dyDescent="0.35">
      <c r="A41" s="2" t="s">
        <v>338</v>
      </c>
      <c r="B41" s="2" t="s">
        <v>339</v>
      </c>
      <c r="C41" s="2" t="s">
        <v>392</v>
      </c>
      <c r="D41" s="2" t="s">
        <v>393</v>
      </c>
      <c r="E41" s="2" t="s">
        <v>115</v>
      </c>
      <c r="F41" s="3">
        <v>245.26</v>
      </c>
      <c r="G41" s="4">
        <v>24</v>
      </c>
      <c r="H41" s="5">
        <v>1.67E-2</v>
      </c>
    </row>
    <row r="42" spans="1:8" ht="14.5" customHeight="1" x14ac:dyDescent="0.35">
      <c r="A42" s="2" t="s">
        <v>338</v>
      </c>
      <c r="B42" s="2" t="s">
        <v>339</v>
      </c>
      <c r="C42" s="2" t="s">
        <v>394</v>
      </c>
      <c r="D42" s="2" t="s">
        <v>395</v>
      </c>
      <c r="E42" s="2" t="s">
        <v>303</v>
      </c>
      <c r="F42" s="3">
        <v>42.65</v>
      </c>
      <c r="G42" s="4">
        <v>24</v>
      </c>
      <c r="H42" s="5">
        <v>1.67E-2</v>
      </c>
    </row>
    <row r="43" spans="1:8" ht="14.5" customHeight="1" x14ac:dyDescent="0.35">
      <c r="A43" s="2" t="s">
        <v>338</v>
      </c>
      <c r="B43" s="2" t="s">
        <v>339</v>
      </c>
      <c r="C43" s="2" t="s">
        <v>396</v>
      </c>
      <c r="D43" s="2" t="s">
        <v>397</v>
      </c>
      <c r="E43" s="2" t="s">
        <v>398</v>
      </c>
      <c r="F43" s="3">
        <v>39.020000000000003</v>
      </c>
      <c r="G43" s="4">
        <v>36</v>
      </c>
      <c r="H43" s="5">
        <v>1.67E-2</v>
      </c>
    </row>
    <row r="44" spans="1:8" x14ac:dyDescent="0.35">
      <c r="A44" s="2" t="s">
        <v>338</v>
      </c>
      <c r="B44" s="2" t="s">
        <v>339</v>
      </c>
      <c r="C44" s="2" t="s">
        <v>399</v>
      </c>
      <c r="D44" s="2" t="s">
        <v>400</v>
      </c>
      <c r="E44" s="2" t="s">
        <v>322</v>
      </c>
      <c r="F44" s="3">
        <v>23.45</v>
      </c>
      <c r="G44" s="4">
        <v>60</v>
      </c>
      <c r="H44" s="5">
        <v>1.67E-2</v>
      </c>
    </row>
    <row r="45" spans="1:8" ht="14.5" customHeight="1" x14ac:dyDescent="0.35">
      <c r="A45" s="2" t="s">
        <v>338</v>
      </c>
      <c r="B45" s="2" t="s">
        <v>339</v>
      </c>
      <c r="C45" s="2" t="s">
        <v>401</v>
      </c>
      <c r="D45" s="2" t="s">
        <v>402</v>
      </c>
      <c r="E45" s="2" t="s">
        <v>300</v>
      </c>
      <c r="F45" s="3">
        <v>300</v>
      </c>
      <c r="G45" s="4">
        <v>48</v>
      </c>
      <c r="H45" s="5">
        <v>0</v>
      </c>
    </row>
    <row r="46" spans="1:8" ht="14.5" customHeight="1" x14ac:dyDescent="0.35">
      <c r="A46" s="2" t="s">
        <v>338</v>
      </c>
      <c r="B46" s="2" t="s">
        <v>339</v>
      </c>
      <c r="C46" s="2" t="s">
        <v>403</v>
      </c>
      <c r="D46" s="2" t="s">
        <v>404</v>
      </c>
      <c r="E46" s="2" t="s">
        <v>46</v>
      </c>
      <c r="F46" s="3">
        <v>600</v>
      </c>
      <c r="G46" s="4">
        <v>60</v>
      </c>
      <c r="H46" s="5">
        <v>1.67E-2</v>
      </c>
    </row>
    <row r="47" spans="1:8" ht="14.5" customHeight="1" x14ac:dyDescent="0.35">
      <c r="A47" s="2" t="s">
        <v>338</v>
      </c>
      <c r="B47" s="2" t="s">
        <v>339</v>
      </c>
      <c r="C47" s="2" t="s">
        <v>405</v>
      </c>
      <c r="D47" s="2" t="s">
        <v>406</v>
      </c>
      <c r="E47" s="2" t="s">
        <v>258</v>
      </c>
      <c r="F47" s="3">
        <v>20933.310000000001</v>
      </c>
      <c r="G47" s="4">
        <v>60</v>
      </c>
      <c r="H47" s="5">
        <v>7.4999999999999997E-3</v>
      </c>
    </row>
    <row r="48" spans="1:8" ht="14.5" customHeight="1" x14ac:dyDescent="0.35">
      <c r="A48" s="2" t="s">
        <v>338</v>
      </c>
      <c r="B48" s="2" t="s">
        <v>339</v>
      </c>
      <c r="C48" s="2" t="s">
        <v>407</v>
      </c>
      <c r="D48" s="2" t="s">
        <v>408</v>
      </c>
      <c r="E48" s="2" t="s">
        <v>409</v>
      </c>
      <c r="F48" s="3">
        <v>12700</v>
      </c>
      <c r="G48" s="4">
        <v>60</v>
      </c>
      <c r="H48" s="5">
        <v>1.67E-2</v>
      </c>
    </row>
    <row r="49" spans="1:8" x14ac:dyDescent="0.35">
      <c r="A49" s="2" t="s">
        <v>338</v>
      </c>
      <c r="B49" s="2" t="s">
        <v>339</v>
      </c>
      <c r="C49" s="2" t="s">
        <v>410</v>
      </c>
      <c r="D49" s="2" t="s">
        <v>411</v>
      </c>
      <c r="E49" s="2" t="s">
        <v>412</v>
      </c>
      <c r="F49" s="3">
        <v>20066.02</v>
      </c>
      <c r="G49" s="4">
        <v>60</v>
      </c>
      <c r="H49" s="5">
        <v>1.67E-2</v>
      </c>
    </row>
    <row r="50" spans="1:8" x14ac:dyDescent="0.35">
      <c r="A50" s="2" t="s">
        <v>338</v>
      </c>
      <c r="B50" s="2" t="s">
        <v>339</v>
      </c>
      <c r="C50" s="2" t="s">
        <v>413</v>
      </c>
      <c r="D50" s="2" t="s">
        <v>414</v>
      </c>
      <c r="E50" s="2" t="s">
        <v>415</v>
      </c>
      <c r="F50" s="3">
        <v>16287.35</v>
      </c>
      <c r="G50" s="4">
        <v>60</v>
      </c>
      <c r="H50" s="5">
        <v>1.67E-2</v>
      </c>
    </row>
    <row r="51" spans="1:8" x14ac:dyDescent="0.35">
      <c r="A51" s="2" t="s">
        <v>338</v>
      </c>
      <c r="B51" s="2" t="s">
        <v>339</v>
      </c>
      <c r="C51" s="2" t="s">
        <v>416</v>
      </c>
      <c r="D51" s="2" t="s">
        <v>417</v>
      </c>
      <c r="E51" s="2" t="s">
        <v>271</v>
      </c>
      <c r="F51" s="3">
        <v>80192.02</v>
      </c>
      <c r="G51" s="4">
        <v>60</v>
      </c>
      <c r="H51" s="5">
        <v>1.67E-2</v>
      </c>
    </row>
    <row r="52" spans="1:8" x14ac:dyDescent="0.35">
      <c r="A52" s="2" t="s">
        <v>338</v>
      </c>
      <c r="B52" s="2" t="s">
        <v>339</v>
      </c>
      <c r="C52" s="2" t="s">
        <v>418</v>
      </c>
      <c r="D52" s="2" t="s">
        <v>419</v>
      </c>
      <c r="E52" s="2" t="s">
        <v>24</v>
      </c>
      <c r="F52" s="3">
        <v>56.68</v>
      </c>
      <c r="G52" s="4">
        <v>48</v>
      </c>
      <c r="H52" s="5">
        <v>1.67E-2</v>
      </c>
    </row>
    <row r="53" spans="1:8" x14ac:dyDescent="0.35">
      <c r="A53" s="2" t="s">
        <v>338</v>
      </c>
      <c r="B53" s="2" t="s">
        <v>339</v>
      </c>
      <c r="C53" s="2" t="s">
        <v>420</v>
      </c>
      <c r="D53" s="2" t="s">
        <v>421</v>
      </c>
      <c r="E53" s="2" t="s">
        <v>332</v>
      </c>
      <c r="F53" s="3">
        <v>223.03</v>
      </c>
      <c r="G53" s="4">
        <v>60</v>
      </c>
      <c r="H53" s="5">
        <v>1.67E-2</v>
      </c>
    </row>
    <row r="54" spans="1:8" ht="14.5" customHeight="1" x14ac:dyDescent="0.35">
      <c r="A54" s="2" t="s">
        <v>338</v>
      </c>
      <c r="B54" s="2" t="s">
        <v>339</v>
      </c>
      <c r="C54" s="2" t="s">
        <v>422</v>
      </c>
      <c r="D54" s="2" t="s">
        <v>423</v>
      </c>
      <c r="E54" s="2" t="s">
        <v>424</v>
      </c>
      <c r="F54" s="3">
        <v>1317.66</v>
      </c>
      <c r="G54" s="4">
        <v>60</v>
      </c>
      <c r="H54" s="5">
        <v>1.67E-2</v>
      </c>
    </row>
    <row r="55" spans="1:8" x14ac:dyDescent="0.35">
      <c r="A55" s="2" t="s">
        <v>338</v>
      </c>
      <c r="B55" s="2" t="s">
        <v>339</v>
      </c>
      <c r="C55" s="2" t="s">
        <v>425</v>
      </c>
      <c r="D55" s="2" t="s">
        <v>426</v>
      </c>
      <c r="E55" s="2" t="s">
        <v>337</v>
      </c>
      <c r="F55" s="3">
        <v>1375</v>
      </c>
      <c r="G55" s="4">
        <v>60</v>
      </c>
      <c r="H55" s="5">
        <v>1.67E-2</v>
      </c>
    </row>
    <row r="56" spans="1:8" ht="26" x14ac:dyDescent="0.35">
      <c r="A56" s="2" t="s">
        <v>338</v>
      </c>
      <c r="B56" s="2" t="s">
        <v>339</v>
      </c>
      <c r="C56" s="2" t="s">
        <v>427</v>
      </c>
      <c r="D56" s="2" t="s">
        <v>428</v>
      </c>
      <c r="E56" s="2" t="s">
        <v>429</v>
      </c>
      <c r="F56" s="3">
        <v>1407</v>
      </c>
      <c r="G56" s="4">
        <v>60</v>
      </c>
      <c r="H56" s="5">
        <v>1.67E-2</v>
      </c>
    </row>
    <row r="57" spans="1:8" ht="14.5" customHeight="1" x14ac:dyDescent="0.35">
      <c r="A57" s="2" t="s">
        <v>338</v>
      </c>
      <c r="B57" s="2" t="s">
        <v>339</v>
      </c>
      <c r="C57" s="2" t="s">
        <v>430</v>
      </c>
      <c r="D57" s="2" t="s">
        <v>431</v>
      </c>
      <c r="E57" s="2" t="s">
        <v>92</v>
      </c>
      <c r="F57" s="3">
        <v>1457.01</v>
      </c>
      <c r="G57" s="4">
        <v>60</v>
      </c>
      <c r="H57" s="5">
        <v>1.67E-2</v>
      </c>
    </row>
    <row r="58" spans="1:8" x14ac:dyDescent="0.35">
      <c r="A58" s="2" t="s">
        <v>338</v>
      </c>
      <c r="B58" s="2" t="s">
        <v>339</v>
      </c>
      <c r="C58" s="2" t="s">
        <v>432</v>
      </c>
      <c r="D58" s="2" t="s">
        <v>433</v>
      </c>
      <c r="E58" s="2" t="s">
        <v>434</v>
      </c>
      <c r="F58" s="3">
        <v>47316.77</v>
      </c>
      <c r="G58" s="4">
        <v>60</v>
      </c>
      <c r="H58" s="5">
        <v>1.67E-2</v>
      </c>
    </row>
    <row r="59" spans="1:8" x14ac:dyDescent="0.35">
      <c r="A59" s="2" t="s">
        <v>338</v>
      </c>
      <c r="B59" s="2" t="s">
        <v>339</v>
      </c>
      <c r="C59" s="2" t="s">
        <v>435</v>
      </c>
      <c r="D59" s="2" t="s">
        <v>436</v>
      </c>
      <c r="E59" s="2" t="s">
        <v>437</v>
      </c>
      <c r="F59" s="3">
        <v>4813.24</v>
      </c>
      <c r="G59" s="4">
        <v>60</v>
      </c>
      <c r="H59" s="5">
        <v>1.67E-2</v>
      </c>
    </row>
    <row r="60" spans="1:8" x14ac:dyDescent="0.35">
      <c r="A60" s="2" t="s">
        <v>338</v>
      </c>
      <c r="B60" s="2" t="s">
        <v>339</v>
      </c>
      <c r="C60" s="2" t="s">
        <v>438</v>
      </c>
      <c r="D60" s="2" t="s">
        <v>439</v>
      </c>
      <c r="E60" s="2" t="s">
        <v>440</v>
      </c>
      <c r="F60" s="3">
        <v>4690.76</v>
      </c>
      <c r="G60" s="4">
        <v>60</v>
      </c>
      <c r="H60" s="5">
        <v>1.67E-2</v>
      </c>
    </row>
    <row r="61" spans="1:8" x14ac:dyDescent="0.35">
      <c r="A61" s="2" t="s">
        <v>338</v>
      </c>
      <c r="B61" s="2" t="s">
        <v>339</v>
      </c>
      <c r="C61" s="2" t="s">
        <v>441</v>
      </c>
      <c r="D61" s="2" t="s">
        <v>442</v>
      </c>
      <c r="E61" s="2" t="s">
        <v>443</v>
      </c>
      <c r="F61" s="3">
        <v>1667.83</v>
      </c>
      <c r="G61" s="4">
        <v>60</v>
      </c>
      <c r="H61" s="5">
        <v>1.67E-2</v>
      </c>
    </row>
    <row r="62" spans="1:8" x14ac:dyDescent="0.35">
      <c r="A62" s="2" t="s">
        <v>338</v>
      </c>
      <c r="B62" s="2" t="s">
        <v>339</v>
      </c>
      <c r="C62" s="2" t="s">
        <v>444</v>
      </c>
      <c r="D62" s="2" t="s">
        <v>445</v>
      </c>
      <c r="E62" s="2" t="s">
        <v>258</v>
      </c>
      <c r="F62" s="3">
        <v>108915.6</v>
      </c>
      <c r="G62" s="4">
        <v>60</v>
      </c>
      <c r="H62" s="5">
        <v>1.67E-2</v>
      </c>
    </row>
    <row r="63" spans="1:8" x14ac:dyDescent="0.35">
      <c r="A63" s="2" t="s">
        <v>446</v>
      </c>
      <c r="B63" s="2" t="s">
        <v>447</v>
      </c>
      <c r="C63" s="2" t="s">
        <v>448</v>
      </c>
      <c r="D63" s="2" t="s">
        <v>449</v>
      </c>
      <c r="E63" s="2" t="s">
        <v>300</v>
      </c>
      <c r="F63" s="3">
        <v>28.5</v>
      </c>
      <c r="G63" s="4">
        <v>60</v>
      </c>
      <c r="H63" s="5">
        <v>0</v>
      </c>
    </row>
    <row r="64" spans="1:8" x14ac:dyDescent="0.35">
      <c r="A64" s="2" t="s">
        <v>446</v>
      </c>
      <c r="B64" s="2" t="s">
        <v>447</v>
      </c>
      <c r="C64" s="2" t="s">
        <v>450</v>
      </c>
      <c r="D64" s="2" t="s">
        <v>451</v>
      </c>
      <c r="E64" s="2" t="s">
        <v>452</v>
      </c>
      <c r="F64" s="3">
        <v>54.95</v>
      </c>
      <c r="G64" s="4">
        <v>1</v>
      </c>
      <c r="H64" s="5">
        <v>0</v>
      </c>
    </row>
    <row r="65" spans="1:8" x14ac:dyDescent="0.35">
      <c r="A65" s="2" t="s">
        <v>446</v>
      </c>
      <c r="B65" s="2" t="s">
        <v>447</v>
      </c>
      <c r="C65" s="2" t="s">
        <v>453</v>
      </c>
      <c r="D65" s="2" t="s">
        <v>454</v>
      </c>
      <c r="E65" s="2" t="s">
        <v>59</v>
      </c>
      <c r="F65" s="3">
        <v>237.5</v>
      </c>
      <c r="G65" s="4">
        <v>60</v>
      </c>
      <c r="H65" s="5">
        <v>0</v>
      </c>
    </row>
    <row r="66" spans="1:8" x14ac:dyDescent="0.35">
      <c r="A66" s="2" t="s">
        <v>446</v>
      </c>
      <c r="B66" s="2" t="s">
        <v>447</v>
      </c>
      <c r="C66" s="2" t="s">
        <v>455</v>
      </c>
      <c r="D66" s="2" t="s">
        <v>456</v>
      </c>
      <c r="E66" s="2" t="s">
        <v>35</v>
      </c>
      <c r="F66" s="3">
        <v>1300</v>
      </c>
      <c r="G66" s="4">
        <v>60</v>
      </c>
      <c r="H66" s="5">
        <v>0</v>
      </c>
    </row>
    <row r="67" spans="1:8" x14ac:dyDescent="0.35">
      <c r="A67" s="2" t="s">
        <v>446</v>
      </c>
      <c r="B67" s="2" t="s">
        <v>447</v>
      </c>
      <c r="C67" s="2" t="s">
        <v>457</v>
      </c>
      <c r="D67" s="2" t="s">
        <v>458</v>
      </c>
      <c r="E67" s="2" t="s">
        <v>303</v>
      </c>
      <c r="F67" s="3">
        <v>32.9</v>
      </c>
      <c r="G67" s="4">
        <v>24</v>
      </c>
      <c r="H67" s="5">
        <v>0</v>
      </c>
    </row>
    <row r="68" spans="1:8" x14ac:dyDescent="0.35">
      <c r="A68" s="2" t="s">
        <v>446</v>
      </c>
      <c r="B68" s="2" t="s">
        <v>447</v>
      </c>
      <c r="C68" s="2" t="s">
        <v>459</v>
      </c>
      <c r="D68" s="2" t="s">
        <v>460</v>
      </c>
      <c r="E68" s="2" t="s">
        <v>461</v>
      </c>
      <c r="F68" s="3">
        <v>285</v>
      </c>
      <c r="G68" s="4">
        <v>60</v>
      </c>
      <c r="H68" s="5">
        <v>0</v>
      </c>
    </row>
    <row r="69" spans="1:8" x14ac:dyDescent="0.35">
      <c r="A69" s="2" t="s">
        <v>446</v>
      </c>
      <c r="B69" s="2" t="s">
        <v>447</v>
      </c>
      <c r="C69" s="2" t="s">
        <v>453</v>
      </c>
      <c r="D69" s="2" t="s">
        <v>454</v>
      </c>
      <c r="E69" s="2" t="s">
        <v>59</v>
      </c>
      <c r="F69" s="3">
        <v>237.5</v>
      </c>
      <c r="G69" s="4">
        <v>60</v>
      </c>
      <c r="H69" s="5">
        <v>0</v>
      </c>
    </row>
    <row r="70" spans="1:8" x14ac:dyDescent="0.35">
      <c r="A70" s="2" t="s">
        <v>446</v>
      </c>
      <c r="B70" s="2" t="s">
        <v>447</v>
      </c>
      <c r="C70" s="2" t="s">
        <v>462</v>
      </c>
      <c r="D70" s="2" t="s">
        <v>463</v>
      </c>
      <c r="E70" s="2" t="s">
        <v>315</v>
      </c>
      <c r="F70" s="3">
        <v>114</v>
      </c>
      <c r="G70" s="4">
        <v>36</v>
      </c>
      <c r="H70" s="5">
        <v>0</v>
      </c>
    </row>
    <row r="71" spans="1:8" x14ac:dyDescent="0.35">
      <c r="A71" s="2" t="s">
        <v>446</v>
      </c>
      <c r="B71" s="2" t="s">
        <v>447</v>
      </c>
      <c r="C71" s="2" t="s">
        <v>464</v>
      </c>
      <c r="D71" s="2" t="s">
        <v>465</v>
      </c>
      <c r="E71" s="6" t="s">
        <v>180</v>
      </c>
      <c r="F71" s="3">
        <v>114</v>
      </c>
      <c r="G71" s="4">
        <v>48</v>
      </c>
      <c r="H71" s="5">
        <v>0</v>
      </c>
    </row>
    <row r="72" spans="1:8" x14ac:dyDescent="0.35">
      <c r="A72" s="2" t="s">
        <v>446</v>
      </c>
      <c r="B72" s="2" t="s">
        <v>447</v>
      </c>
      <c r="C72" s="2" t="s">
        <v>466</v>
      </c>
      <c r="D72" s="2" t="s">
        <v>467</v>
      </c>
      <c r="E72" s="2" t="s">
        <v>104</v>
      </c>
      <c r="F72" s="3">
        <v>27.01</v>
      </c>
      <c r="G72" s="4">
        <v>12</v>
      </c>
      <c r="H72" s="5">
        <v>0</v>
      </c>
    </row>
    <row r="73" spans="1:8" x14ac:dyDescent="0.35">
      <c r="A73" s="2" t="s">
        <v>446</v>
      </c>
      <c r="B73" s="2" t="s">
        <v>447</v>
      </c>
      <c r="C73" s="2" t="s">
        <v>468</v>
      </c>
      <c r="D73" s="2" t="s">
        <v>469</v>
      </c>
      <c r="E73" s="2" t="s">
        <v>470</v>
      </c>
      <c r="F73" s="3">
        <v>141.96</v>
      </c>
      <c r="G73" s="4">
        <v>6</v>
      </c>
      <c r="H73" s="5">
        <v>0</v>
      </c>
    </row>
    <row r="74" spans="1:8" x14ac:dyDescent="0.35">
      <c r="A74" s="2" t="s">
        <v>446</v>
      </c>
      <c r="B74" s="2" t="s">
        <v>447</v>
      </c>
      <c r="C74" s="2" t="s">
        <v>471</v>
      </c>
      <c r="D74" s="2" t="s">
        <v>472</v>
      </c>
      <c r="E74" s="2" t="s">
        <v>473</v>
      </c>
      <c r="F74" s="3">
        <v>950</v>
      </c>
      <c r="G74" s="4">
        <v>60</v>
      </c>
      <c r="H74" s="5">
        <v>0</v>
      </c>
    </row>
    <row r="75" spans="1:8" x14ac:dyDescent="0.35">
      <c r="A75" s="2" t="s">
        <v>446</v>
      </c>
      <c r="B75" s="2" t="s">
        <v>447</v>
      </c>
      <c r="C75" s="2" t="s">
        <v>474</v>
      </c>
      <c r="D75" s="2" t="s">
        <v>475</v>
      </c>
      <c r="E75" s="2" t="s">
        <v>193</v>
      </c>
      <c r="F75" s="3">
        <v>189.05</v>
      </c>
      <c r="G75" s="4">
        <v>36</v>
      </c>
      <c r="H75" s="5">
        <v>0</v>
      </c>
    </row>
    <row r="76" spans="1:8" x14ac:dyDescent="0.35">
      <c r="A76" s="2" t="s">
        <v>446</v>
      </c>
      <c r="B76" s="2" t="s">
        <v>447</v>
      </c>
      <c r="C76" s="2" t="s">
        <v>462</v>
      </c>
      <c r="D76" s="2" t="s">
        <v>463</v>
      </c>
      <c r="E76" s="2" t="s">
        <v>315</v>
      </c>
      <c r="F76" s="3">
        <v>114</v>
      </c>
      <c r="G76" s="4">
        <v>36</v>
      </c>
      <c r="H76" s="5">
        <v>0</v>
      </c>
    </row>
    <row r="77" spans="1:8" x14ac:dyDescent="0.35">
      <c r="A77" s="2" t="s">
        <v>446</v>
      </c>
      <c r="B77" s="2" t="s">
        <v>447</v>
      </c>
      <c r="C77" s="2" t="s">
        <v>476</v>
      </c>
      <c r="D77" s="2" t="s">
        <v>477</v>
      </c>
      <c r="E77" s="2" t="s">
        <v>92</v>
      </c>
      <c r="F77" s="3">
        <v>1010</v>
      </c>
      <c r="G77" s="4">
        <v>36</v>
      </c>
      <c r="H77" s="5">
        <v>0</v>
      </c>
    </row>
    <row r="78" spans="1:8" x14ac:dyDescent="0.35">
      <c r="A78" s="2" t="s">
        <v>446</v>
      </c>
      <c r="B78" s="2" t="s">
        <v>447</v>
      </c>
      <c r="C78" s="2" t="s">
        <v>478</v>
      </c>
      <c r="D78" s="2" t="s">
        <v>479</v>
      </c>
      <c r="E78" s="2" t="s">
        <v>191</v>
      </c>
      <c r="F78" s="3">
        <v>8300.99</v>
      </c>
      <c r="G78" s="4">
        <v>60</v>
      </c>
      <c r="H78" s="5">
        <v>7.4999999999999997E-3</v>
      </c>
    </row>
    <row r="79" spans="1:8" x14ac:dyDescent="0.35">
      <c r="A79" s="2" t="s">
        <v>446</v>
      </c>
      <c r="B79" s="2" t="s">
        <v>447</v>
      </c>
      <c r="C79" s="2" t="s">
        <v>480</v>
      </c>
      <c r="D79" s="2" t="s">
        <v>481</v>
      </c>
      <c r="E79" s="2" t="s">
        <v>71</v>
      </c>
      <c r="F79" s="3">
        <v>284.52</v>
      </c>
      <c r="G79" s="4">
        <v>36</v>
      </c>
      <c r="H79" s="5">
        <v>0</v>
      </c>
    </row>
    <row r="80" spans="1:8" x14ac:dyDescent="0.35">
      <c r="A80" s="2" t="s">
        <v>446</v>
      </c>
      <c r="B80" s="2" t="s">
        <v>447</v>
      </c>
      <c r="C80" s="2" t="s">
        <v>482</v>
      </c>
      <c r="D80" s="2" t="s">
        <v>483</v>
      </c>
      <c r="E80" s="2" t="s">
        <v>322</v>
      </c>
      <c r="F80" s="3">
        <v>19</v>
      </c>
      <c r="G80" s="4">
        <v>60</v>
      </c>
      <c r="H80" s="5">
        <v>0</v>
      </c>
    </row>
    <row r="81" spans="1:8" x14ac:dyDescent="0.35">
      <c r="A81" s="2" t="s">
        <v>446</v>
      </c>
      <c r="B81" s="2" t="s">
        <v>447</v>
      </c>
      <c r="C81" s="2" t="s">
        <v>464</v>
      </c>
      <c r="D81" s="2" t="s">
        <v>465</v>
      </c>
      <c r="E81" s="6" t="s">
        <v>180</v>
      </c>
      <c r="F81" s="3">
        <v>140.6</v>
      </c>
      <c r="G81" s="4">
        <v>60</v>
      </c>
      <c r="H81" s="5">
        <v>0</v>
      </c>
    </row>
    <row r="82" spans="1:8" x14ac:dyDescent="0.35">
      <c r="A82" s="2" t="s">
        <v>446</v>
      </c>
      <c r="B82" s="2" t="s">
        <v>447</v>
      </c>
      <c r="C82" s="2" t="s">
        <v>476</v>
      </c>
      <c r="D82" s="2" t="s">
        <v>477</v>
      </c>
      <c r="E82" s="2" t="s">
        <v>92</v>
      </c>
      <c r="F82" s="3">
        <v>1012.75</v>
      </c>
      <c r="G82" s="4">
        <v>36</v>
      </c>
      <c r="H82" s="5">
        <v>0</v>
      </c>
    </row>
    <row r="83" spans="1:8" x14ac:dyDescent="0.35">
      <c r="A83" s="2" t="s">
        <v>446</v>
      </c>
      <c r="B83" s="2" t="s">
        <v>447</v>
      </c>
      <c r="C83" s="2" t="s">
        <v>484</v>
      </c>
      <c r="D83" s="2" t="s">
        <v>485</v>
      </c>
      <c r="E83" s="2" t="s">
        <v>486</v>
      </c>
      <c r="F83" s="3">
        <v>730.47</v>
      </c>
      <c r="G83" s="4">
        <v>36</v>
      </c>
      <c r="H83" s="5">
        <v>0</v>
      </c>
    </row>
    <row r="84" spans="1:8" x14ac:dyDescent="0.35">
      <c r="A84" s="2" t="s">
        <v>446</v>
      </c>
      <c r="B84" s="2" t="s">
        <v>447</v>
      </c>
      <c r="C84" s="2" t="s">
        <v>478</v>
      </c>
      <c r="D84" s="2" t="s">
        <v>479</v>
      </c>
      <c r="E84" s="2" t="s">
        <v>191</v>
      </c>
      <c r="F84" s="3">
        <v>1757.5</v>
      </c>
      <c r="G84" s="4">
        <v>60</v>
      </c>
      <c r="H84" s="5">
        <v>7.4999999999999997E-3</v>
      </c>
    </row>
    <row r="85" spans="1:8" x14ac:dyDescent="0.35">
      <c r="A85" s="2" t="s">
        <v>446</v>
      </c>
      <c r="B85" s="2" t="s">
        <v>447</v>
      </c>
      <c r="C85" s="2" t="s">
        <v>487</v>
      </c>
      <c r="D85" s="2" t="s">
        <v>488</v>
      </c>
      <c r="E85" s="2" t="s">
        <v>489</v>
      </c>
      <c r="F85" s="3">
        <v>15000</v>
      </c>
      <c r="G85" s="4">
        <v>60</v>
      </c>
      <c r="H85" s="5">
        <v>7.4999999999999997E-3</v>
      </c>
    </row>
    <row r="86" spans="1:8" x14ac:dyDescent="0.35">
      <c r="A86" s="2" t="s">
        <v>446</v>
      </c>
      <c r="B86" s="2" t="s">
        <v>447</v>
      </c>
      <c r="C86" s="2" t="s">
        <v>490</v>
      </c>
      <c r="D86" s="2" t="s">
        <v>491</v>
      </c>
      <c r="E86" s="2" t="s">
        <v>226</v>
      </c>
      <c r="F86" s="3">
        <v>1400</v>
      </c>
      <c r="G86" s="4">
        <v>60</v>
      </c>
      <c r="H86" s="5">
        <v>7.4999999999999997E-3</v>
      </c>
    </row>
    <row r="87" spans="1:8" x14ac:dyDescent="0.35">
      <c r="A87" s="2" t="s">
        <v>446</v>
      </c>
      <c r="B87" s="2" t="s">
        <v>447</v>
      </c>
      <c r="C87" s="2" t="s">
        <v>492</v>
      </c>
      <c r="D87" s="2" t="s">
        <v>493</v>
      </c>
      <c r="E87" s="2" t="s">
        <v>45</v>
      </c>
      <c r="F87" s="3">
        <v>600</v>
      </c>
      <c r="G87" s="4">
        <v>60</v>
      </c>
      <c r="H87" s="5">
        <v>7.4999999999999997E-3</v>
      </c>
    </row>
    <row r="88" spans="1:8" x14ac:dyDescent="0.35">
      <c r="A88" s="2" t="s">
        <v>446</v>
      </c>
      <c r="B88" s="2" t="s">
        <v>447</v>
      </c>
      <c r="C88" s="2" t="s">
        <v>494</v>
      </c>
      <c r="D88" s="2" t="s">
        <v>495</v>
      </c>
      <c r="E88" s="2" t="s">
        <v>271</v>
      </c>
      <c r="F88" s="3">
        <v>20000</v>
      </c>
      <c r="G88" s="4">
        <v>60</v>
      </c>
      <c r="H88" s="5">
        <v>7.4999999999999997E-3</v>
      </c>
    </row>
    <row r="89" spans="1:8" x14ac:dyDescent="0.35">
      <c r="A89" s="2" t="s">
        <v>446</v>
      </c>
      <c r="B89" s="2" t="s">
        <v>447</v>
      </c>
      <c r="C89" s="2" t="s">
        <v>490</v>
      </c>
      <c r="D89" s="2" t="s">
        <v>491</v>
      </c>
      <c r="E89" s="2" t="s">
        <v>226</v>
      </c>
      <c r="F89" s="3">
        <v>1400</v>
      </c>
      <c r="G89" s="4">
        <v>60</v>
      </c>
      <c r="H89" s="5">
        <v>7.4999999999999997E-3</v>
      </c>
    </row>
    <row r="90" spans="1:8" x14ac:dyDescent="0.35">
      <c r="A90" s="2" t="s">
        <v>446</v>
      </c>
      <c r="B90" s="2" t="s">
        <v>447</v>
      </c>
      <c r="C90" s="2" t="s">
        <v>494</v>
      </c>
      <c r="D90" s="2" t="s">
        <v>495</v>
      </c>
      <c r="E90" s="2" t="s">
        <v>271</v>
      </c>
      <c r="F90" s="3">
        <v>20000</v>
      </c>
      <c r="G90" s="4">
        <v>60</v>
      </c>
      <c r="H90" s="5">
        <v>7.4999999999999997E-3</v>
      </c>
    </row>
    <row r="91" spans="1:8" x14ac:dyDescent="0.35">
      <c r="A91" s="2" t="s">
        <v>446</v>
      </c>
      <c r="B91" s="2" t="s">
        <v>447</v>
      </c>
      <c r="C91" s="2" t="s">
        <v>496</v>
      </c>
      <c r="D91" s="2" t="s">
        <v>497</v>
      </c>
      <c r="E91" s="2" t="s">
        <v>258</v>
      </c>
      <c r="F91" s="3">
        <v>70000</v>
      </c>
      <c r="G91" s="4">
        <v>60</v>
      </c>
      <c r="H91" s="5">
        <v>7.4999999999999997E-3</v>
      </c>
    </row>
    <row r="92" spans="1:8" x14ac:dyDescent="0.35">
      <c r="A92" s="2" t="s">
        <v>446</v>
      </c>
      <c r="B92" s="2" t="s">
        <v>447</v>
      </c>
      <c r="C92" s="2" t="s">
        <v>492</v>
      </c>
      <c r="D92" s="2" t="s">
        <v>493</v>
      </c>
      <c r="E92" s="2" t="s">
        <v>45</v>
      </c>
      <c r="F92" s="3">
        <v>600</v>
      </c>
      <c r="G92" s="4">
        <v>60</v>
      </c>
      <c r="H92" s="5">
        <v>7.4999999999999997E-3</v>
      </c>
    </row>
    <row r="93" spans="1:8" x14ac:dyDescent="0.35">
      <c r="A93" s="2" t="s">
        <v>446</v>
      </c>
      <c r="B93" s="2" t="s">
        <v>447</v>
      </c>
      <c r="C93" s="2" t="s">
        <v>498</v>
      </c>
      <c r="D93" s="2" t="s">
        <v>499</v>
      </c>
      <c r="E93" s="6" t="s">
        <v>147</v>
      </c>
      <c r="F93" s="3">
        <v>1200</v>
      </c>
      <c r="G93" s="4">
        <v>60</v>
      </c>
      <c r="H93" s="5">
        <v>7.4999999999999997E-3</v>
      </c>
    </row>
    <row r="94" spans="1:8" x14ac:dyDescent="0.35">
      <c r="A94" s="2" t="s">
        <v>446</v>
      </c>
      <c r="B94" s="2" t="s">
        <v>447</v>
      </c>
      <c r="C94" s="2" t="s">
        <v>498</v>
      </c>
      <c r="D94" s="2" t="s">
        <v>499</v>
      </c>
      <c r="E94" s="6" t="s">
        <v>147</v>
      </c>
      <c r="F94" s="3">
        <v>1200</v>
      </c>
      <c r="G94" s="4">
        <v>60</v>
      </c>
      <c r="H94" s="5">
        <v>7.4999999999999997E-3</v>
      </c>
    </row>
    <row r="95" spans="1:8" x14ac:dyDescent="0.35">
      <c r="A95" s="2" t="s">
        <v>446</v>
      </c>
      <c r="B95" s="2" t="s">
        <v>447</v>
      </c>
      <c r="C95" s="2" t="s">
        <v>492</v>
      </c>
      <c r="D95" s="2" t="s">
        <v>493</v>
      </c>
      <c r="E95" s="2" t="s">
        <v>45</v>
      </c>
      <c r="F95" s="3">
        <v>600</v>
      </c>
      <c r="G95" s="4">
        <v>60</v>
      </c>
      <c r="H95" s="5">
        <v>7.4999999999999997E-3</v>
      </c>
    </row>
    <row r="96" spans="1:8" x14ac:dyDescent="0.35">
      <c r="A96" s="2" t="s">
        <v>446</v>
      </c>
      <c r="B96" s="2" t="s">
        <v>447</v>
      </c>
      <c r="C96" s="2" t="s">
        <v>500</v>
      </c>
      <c r="D96" s="2" t="s">
        <v>501</v>
      </c>
      <c r="E96" s="2" t="s">
        <v>46</v>
      </c>
      <c r="F96" s="3">
        <v>1450</v>
      </c>
      <c r="G96" s="4">
        <v>60</v>
      </c>
      <c r="H96" s="5">
        <v>7.4999999999999997E-3</v>
      </c>
    </row>
    <row r="97" spans="1:8" x14ac:dyDescent="0.35">
      <c r="A97" s="2" t="s">
        <v>446</v>
      </c>
      <c r="B97" s="2" t="s">
        <v>447</v>
      </c>
      <c r="C97" s="2" t="s">
        <v>502</v>
      </c>
      <c r="D97" s="2" t="s">
        <v>503</v>
      </c>
      <c r="E97" s="2" t="s">
        <v>504</v>
      </c>
      <c r="F97" s="3">
        <v>7000</v>
      </c>
      <c r="G97" s="4">
        <v>60</v>
      </c>
      <c r="H97" s="5">
        <v>7.4999999999999997E-3</v>
      </c>
    </row>
    <row r="98" spans="1:8" x14ac:dyDescent="0.35">
      <c r="A98" s="2" t="s">
        <v>446</v>
      </c>
      <c r="B98" s="2" t="s">
        <v>447</v>
      </c>
      <c r="C98" s="2" t="s">
        <v>505</v>
      </c>
      <c r="D98" s="2" t="s">
        <v>506</v>
      </c>
      <c r="E98" s="2" t="s">
        <v>507</v>
      </c>
      <c r="F98" s="3">
        <v>1100</v>
      </c>
      <c r="G98" s="4">
        <v>60</v>
      </c>
      <c r="H98" s="5">
        <v>7.4999999999999997E-3</v>
      </c>
    </row>
    <row r="99" spans="1:8" x14ac:dyDescent="0.35">
      <c r="A99" s="2" t="s">
        <v>446</v>
      </c>
      <c r="B99" s="2" t="s">
        <v>508</v>
      </c>
      <c r="C99" s="2" t="s">
        <v>448</v>
      </c>
      <c r="D99" s="2" t="s">
        <v>449</v>
      </c>
      <c r="E99" s="2" t="s">
        <v>300</v>
      </c>
      <c r="F99" s="3">
        <v>28.5</v>
      </c>
      <c r="G99" s="4">
        <v>60</v>
      </c>
      <c r="H99" s="5">
        <v>0</v>
      </c>
    </row>
    <row r="100" spans="1:8" x14ac:dyDescent="0.35">
      <c r="A100" s="2" t="s">
        <v>446</v>
      </c>
      <c r="B100" s="2" t="s">
        <v>508</v>
      </c>
      <c r="C100" s="2" t="s">
        <v>450</v>
      </c>
      <c r="D100" s="2" t="s">
        <v>451</v>
      </c>
      <c r="E100" s="2" t="s">
        <v>452</v>
      </c>
      <c r="F100" s="3">
        <v>54.95</v>
      </c>
      <c r="G100" s="4">
        <v>1</v>
      </c>
      <c r="H100" s="5">
        <v>0</v>
      </c>
    </row>
    <row r="101" spans="1:8" x14ac:dyDescent="0.35">
      <c r="A101" s="2" t="s">
        <v>446</v>
      </c>
      <c r="B101" s="2" t="s">
        <v>508</v>
      </c>
      <c r="C101" s="2" t="s">
        <v>453</v>
      </c>
      <c r="D101" s="2" t="s">
        <v>454</v>
      </c>
      <c r="E101" s="2" t="s">
        <v>59</v>
      </c>
      <c r="F101" s="3">
        <v>237.5</v>
      </c>
      <c r="G101" s="4">
        <v>60</v>
      </c>
      <c r="H101" s="5">
        <v>0</v>
      </c>
    </row>
    <row r="102" spans="1:8" x14ac:dyDescent="0.35">
      <c r="A102" s="2" t="s">
        <v>446</v>
      </c>
      <c r="B102" s="2" t="s">
        <v>508</v>
      </c>
      <c r="C102" s="2" t="s">
        <v>455</v>
      </c>
      <c r="D102" s="2" t="s">
        <v>456</v>
      </c>
      <c r="E102" s="2" t="s">
        <v>35</v>
      </c>
      <c r="F102" s="3">
        <v>1300</v>
      </c>
      <c r="G102" s="4">
        <v>60</v>
      </c>
      <c r="H102" s="5">
        <v>0</v>
      </c>
    </row>
    <row r="103" spans="1:8" x14ac:dyDescent="0.35">
      <c r="A103" s="2" t="s">
        <v>446</v>
      </c>
      <c r="B103" s="2" t="s">
        <v>508</v>
      </c>
      <c r="C103" s="2" t="s">
        <v>457</v>
      </c>
      <c r="D103" s="2" t="s">
        <v>458</v>
      </c>
      <c r="E103" s="2" t="s">
        <v>303</v>
      </c>
      <c r="F103" s="3">
        <v>32.9</v>
      </c>
      <c r="G103" s="4">
        <v>24</v>
      </c>
      <c r="H103" s="5">
        <v>0</v>
      </c>
    </row>
    <row r="104" spans="1:8" x14ac:dyDescent="0.35">
      <c r="A104" s="2" t="s">
        <v>446</v>
      </c>
      <c r="B104" s="2" t="s">
        <v>508</v>
      </c>
      <c r="C104" s="2" t="s">
        <v>459</v>
      </c>
      <c r="D104" s="2" t="s">
        <v>460</v>
      </c>
      <c r="E104" s="2" t="s">
        <v>461</v>
      </c>
      <c r="F104" s="3">
        <v>285</v>
      </c>
      <c r="G104" s="4">
        <v>60</v>
      </c>
      <c r="H104" s="5">
        <v>0</v>
      </c>
    </row>
    <row r="105" spans="1:8" x14ac:dyDescent="0.35">
      <c r="A105" s="2" t="s">
        <v>446</v>
      </c>
      <c r="B105" s="2" t="s">
        <v>508</v>
      </c>
      <c r="C105" s="2" t="s">
        <v>453</v>
      </c>
      <c r="D105" s="2" t="s">
        <v>454</v>
      </c>
      <c r="E105" s="2" t="s">
        <v>59</v>
      </c>
      <c r="F105" s="3">
        <v>237.5</v>
      </c>
      <c r="G105" s="4">
        <v>60</v>
      </c>
      <c r="H105" s="5">
        <v>0</v>
      </c>
    </row>
    <row r="106" spans="1:8" x14ac:dyDescent="0.35">
      <c r="A106" s="2" t="s">
        <v>446</v>
      </c>
      <c r="B106" s="2" t="s">
        <v>508</v>
      </c>
      <c r="C106" s="2" t="s">
        <v>462</v>
      </c>
      <c r="D106" s="2" t="s">
        <v>463</v>
      </c>
      <c r="E106" s="2" t="s">
        <v>315</v>
      </c>
      <c r="F106" s="3">
        <v>114</v>
      </c>
      <c r="G106" s="4">
        <v>36</v>
      </c>
      <c r="H106" s="5">
        <v>0</v>
      </c>
    </row>
    <row r="107" spans="1:8" x14ac:dyDescent="0.35">
      <c r="A107" s="2" t="s">
        <v>446</v>
      </c>
      <c r="B107" s="2" t="s">
        <v>508</v>
      </c>
      <c r="C107" s="2" t="s">
        <v>464</v>
      </c>
      <c r="D107" s="2" t="s">
        <v>465</v>
      </c>
      <c r="E107" s="6" t="s">
        <v>180</v>
      </c>
      <c r="F107" s="3">
        <v>114</v>
      </c>
      <c r="G107" s="4">
        <v>48</v>
      </c>
      <c r="H107" s="5">
        <v>0</v>
      </c>
    </row>
    <row r="108" spans="1:8" x14ac:dyDescent="0.35">
      <c r="A108" s="2" t="s">
        <v>446</v>
      </c>
      <c r="B108" s="2" t="s">
        <v>508</v>
      </c>
      <c r="C108" s="2" t="s">
        <v>466</v>
      </c>
      <c r="D108" s="2" t="s">
        <v>467</v>
      </c>
      <c r="E108" s="2" t="s">
        <v>104</v>
      </c>
      <c r="F108" s="3">
        <v>27.01</v>
      </c>
      <c r="G108" s="4">
        <v>12</v>
      </c>
      <c r="H108" s="5">
        <v>0</v>
      </c>
    </row>
    <row r="109" spans="1:8" x14ac:dyDescent="0.35">
      <c r="A109" s="2" t="s">
        <v>446</v>
      </c>
      <c r="B109" s="2" t="s">
        <v>508</v>
      </c>
      <c r="C109" s="2" t="s">
        <v>468</v>
      </c>
      <c r="D109" s="2" t="s">
        <v>469</v>
      </c>
      <c r="E109" s="2" t="s">
        <v>470</v>
      </c>
      <c r="F109" s="3">
        <v>141.96</v>
      </c>
      <c r="G109" s="4">
        <v>6</v>
      </c>
      <c r="H109" s="5">
        <v>0</v>
      </c>
    </row>
    <row r="110" spans="1:8" x14ac:dyDescent="0.35">
      <c r="A110" s="2" t="s">
        <v>446</v>
      </c>
      <c r="B110" s="2" t="s">
        <v>508</v>
      </c>
      <c r="C110" s="2" t="s">
        <v>471</v>
      </c>
      <c r="D110" s="2" t="s">
        <v>472</v>
      </c>
      <c r="E110" s="2" t="s">
        <v>473</v>
      </c>
      <c r="F110" s="3">
        <v>950</v>
      </c>
      <c r="G110" s="4">
        <v>60</v>
      </c>
      <c r="H110" s="5">
        <v>0</v>
      </c>
    </row>
    <row r="111" spans="1:8" x14ac:dyDescent="0.35">
      <c r="A111" s="2" t="s">
        <v>446</v>
      </c>
      <c r="B111" s="2" t="s">
        <v>508</v>
      </c>
      <c r="C111" s="2" t="s">
        <v>474</v>
      </c>
      <c r="D111" s="2" t="s">
        <v>475</v>
      </c>
      <c r="E111" s="2" t="s">
        <v>193</v>
      </c>
      <c r="F111" s="3">
        <v>189.05</v>
      </c>
      <c r="G111" s="4">
        <v>36</v>
      </c>
      <c r="H111" s="5">
        <v>0</v>
      </c>
    </row>
    <row r="112" spans="1:8" x14ac:dyDescent="0.35">
      <c r="A112" s="2" t="s">
        <v>446</v>
      </c>
      <c r="B112" s="2" t="s">
        <v>508</v>
      </c>
      <c r="C112" s="2" t="s">
        <v>462</v>
      </c>
      <c r="D112" s="2" t="s">
        <v>463</v>
      </c>
      <c r="E112" s="2" t="s">
        <v>315</v>
      </c>
      <c r="F112" s="3">
        <v>114</v>
      </c>
      <c r="G112" s="4">
        <v>36</v>
      </c>
      <c r="H112" s="5">
        <v>0</v>
      </c>
    </row>
    <row r="113" spans="1:8" x14ac:dyDescent="0.35">
      <c r="A113" s="2" t="s">
        <v>446</v>
      </c>
      <c r="B113" s="2" t="s">
        <v>508</v>
      </c>
      <c r="C113" s="2" t="s">
        <v>476</v>
      </c>
      <c r="D113" s="2" t="s">
        <v>477</v>
      </c>
      <c r="E113" s="2" t="s">
        <v>92</v>
      </c>
      <c r="F113" s="3">
        <v>1010</v>
      </c>
      <c r="G113" s="4">
        <v>36</v>
      </c>
      <c r="H113" s="5">
        <v>0</v>
      </c>
    </row>
    <row r="114" spans="1:8" x14ac:dyDescent="0.35">
      <c r="A114" s="2" t="s">
        <v>446</v>
      </c>
      <c r="B114" s="2" t="s">
        <v>508</v>
      </c>
      <c r="C114" s="2" t="s">
        <v>478</v>
      </c>
      <c r="D114" s="2" t="s">
        <v>479</v>
      </c>
      <c r="E114" s="2" t="s">
        <v>191</v>
      </c>
      <c r="F114" s="3">
        <v>8300.99</v>
      </c>
      <c r="G114" s="4">
        <v>60</v>
      </c>
      <c r="H114" s="5">
        <v>0.01</v>
      </c>
    </row>
    <row r="115" spans="1:8" x14ac:dyDescent="0.35">
      <c r="A115" s="2" t="s">
        <v>446</v>
      </c>
      <c r="B115" s="2" t="s">
        <v>508</v>
      </c>
      <c r="C115" s="2" t="s">
        <v>480</v>
      </c>
      <c r="D115" s="2" t="s">
        <v>481</v>
      </c>
      <c r="E115" s="2" t="s">
        <v>71</v>
      </c>
      <c r="F115" s="3">
        <v>284.52</v>
      </c>
      <c r="G115" s="4">
        <v>36</v>
      </c>
      <c r="H115" s="5">
        <v>0</v>
      </c>
    </row>
    <row r="116" spans="1:8" x14ac:dyDescent="0.35">
      <c r="A116" s="2" t="s">
        <v>446</v>
      </c>
      <c r="B116" s="2" t="s">
        <v>508</v>
      </c>
      <c r="C116" s="2" t="s">
        <v>482</v>
      </c>
      <c r="D116" s="2" t="s">
        <v>483</v>
      </c>
      <c r="E116" s="2" t="s">
        <v>322</v>
      </c>
      <c r="F116" s="3">
        <v>19</v>
      </c>
      <c r="G116" s="4">
        <v>60</v>
      </c>
      <c r="H116" s="5">
        <v>0</v>
      </c>
    </row>
    <row r="117" spans="1:8" x14ac:dyDescent="0.35">
      <c r="A117" s="2" t="s">
        <v>446</v>
      </c>
      <c r="B117" s="2" t="s">
        <v>508</v>
      </c>
      <c r="C117" s="2" t="s">
        <v>464</v>
      </c>
      <c r="D117" s="2" t="s">
        <v>465</v>
      </c>
      <c r="E117" s="6" t="s">
        <v>180</v>
      </c>
      <c r="F117" s="3">
        <v>140.6</v>
      </c>
      <c r="G117" s="4">
        <v>60</v>
      </c>
      <c r="H117" s="5">
        <v>0</v>
      </c>
    </row>
    <row r="118" spans="1:8" x14ac:dyDescent="0.35">
      <c r="A118" s="2" t="s">
        <v>446</v>
      </c>
      <c r="B118" s="2" t="s">
        <v>508</v>
      </c>
      <c r="C118" s="2" t="s">
        <v>476</v>
      </c>
      <c r="D118" s="2" t="s">
        <v>477</v>
      </c>
      <c r="E118" s="2" t="s">
        <v>92</v>
      </c>
      <c r="F118" s="3">
        <v>1012.75</v>
      </c>
      <c r="G118" s="4">
        <v>36</v>
      </c>
      <c r="H118" s="5">
        <v>6.3E-3</v>
      </c>
    </row>
    <row r="119" spans="1:8" x14ac:dyDescent="0.35">
      <c r="A119" s="2" t="s">
        <v>446</v>
      </c>
      <c r="B119" s="2" t="s">
        <v>508</v>
      </c>
      <c r="C119" s="2" t="s">
        <v>484</v>
      </c>
      <c r="D119" s="2" t="s">
        <v>485</v>
      </c>
      <c r="E119" s="2" t="s">
        <v>486</v>
      </c>
      <c r="F119" s="3">
        <v>730.47</v>
      </c>
      <c r="G119" s="4">
        <v>36</v>
      </c>
      <c r="H119" s="5">
        <v>0.01</v>
      </c>
    </row>
    <row r="120" spans="1:8" x14ac:dyDescent="0.35">
      <c r="A120" s="2" t="s">
        <v>446</v>
      </c>
      <c r="B120" s="2" t="s">
        <v>508</v>
      </c>
      <c r="C120" s="2" t="s">
        <v>478</v>
      </c>
      <c r="D120" s="2" t="s">
        <v>479</v>
      </c>
      <c r="E120" s="2" t="s">
        <v>191</v>
      </c>
      <c r="F120" s="3">
        <v>1757.5</v>
      </c>
      <c r="G120" s="4">
        <v>60</v>
      </c>
      <c r="H120" s="5">
        <v>0.03</v>
      </c>
    </row>
    <row r="121" spans="1:8" x14ac:dyDescent="0.35">
      <c r="A121" s="2" t="s">
        <v>446</v>
      </c>
      <c r="B121" s="2" t="s">
        <v>508</v>
      </c>
      <c r="C121" s="2" t="s">
        <v>487</v>
      </c>
      <c r="D121" s="2" t="s">
        <v>488</v>
      </c>
      <c r="E121" s="2" t="s">
        <v>489</v>
      </c>
      <c r="F121" s="3">
        <v>15000</v>
      </c>
      <c r="G121" s="4">
        <v>60</v>
      </c>
      <c r="H121" s="5">
        <v>0.03</v>
      </c>
    </row>
    <row r="122" spans="1:8" x14ac:dyDescent="0.35">
      <c r="A122" s="2" t="s">
        <v>446</v>
      </c>
      <c r="B122" s="2" t="s">
        <v>508</v>
      </c>
      <c r="C122" s="2" t="s">
        <v>490</v>
      </c>
      <c r="D122" s="2" t="s">
        <v>491</v>
      </c>
      <c r="E122" s="2" t="s">
        <v>226</v>
      </c>
      <c r="F122" s="3">
        <v>1400</v>
      </c>
      <c r="G122" s="4">
        <v>60</v>
      </c>
      <c r="H122" s="5">
        <v>7.4999999999999997E-3</v>
      </c>
    </row>
    <row r="123" spans="1:8" x14ac:dyDescent="0.35">
      <c r="A123" s="2" t="s">
        <v>446</v>
      </c>
      <c r="B123" s="2" t="s">
        <v>508</v>
      </c>
      <c r="C123" s="2" t="s">
        <v>492</v>
      </c>
      <c r="D123" s="2" t="s">
        <v>493</v>
      </c>
      <c r="E123" s="2" t="s">
        <v>45</v>
      </c>
      <c r="F123" s="3">
        <v>600</v>
      </c>
      <c r="G123" s="4">
        <v>60</v>
      </c>
      <c r="H123" s="5">
        <v>7.4999999999999997E-3</v>
      </c>
    </row>
    <row r="124" spans="1:8" x14ac:dyDescent="0.35">
      <c r="A124" s="2" t="s">
        <v>446</v>
      </c>
      <c r="B124" s="2" t="s">
        <v>508</v>
      </c>
      <c r="C124" s="2" t="s">
        <v>494</v>
      </c>
      <c r="D124" s="2" t="s">
        <v>495</v>
      </c>
      <c r="E124" s="2" t="s">
        <v>271</v>
      </c>
      <c r="F124" s="3">
        <v>20000</v>
      </c>
      <c r="G124" s="4">
        <v>60</v>
      </c>
      <c r="H124" s="5">
        <v>7.4999999999999997E-3</v>
      </c>
    </row>
    <row r="125" spans="1:8" x14ac:dyDescent="0.35">
      <c r="A125" s="2" t="s">
        <v>446</v>
      </c>
      <c r="B125" s="2" t="s">
        <v>508</v>
      </c>
      <c r="C125" s="2" t="s">
        <v>490</v>
      </c>
      <c r="D125" s="2" t="s">
        <v>491</v>
      </c>
      <c r="E125" s="2" t="s">
        <v>226</v>
      </c>
      <c r="F125" s="3">
        <v>1400</v>
      </c>
      <c r="G125" s="4">
        <v>60</v>
      </c>
      <c r="H125" s="5">
        <v>7.4999999999999997E-3</v>
      </c>
    </row>
    <row r="126" spans="1:8" x14ac:dyDescent="0.35">
      <c r="A126" s="2" t="s">
        <v>446</v>
      </c>
      <c r="B126" s="2" t="s">
        <v>508</v>
      </c>
      <c r="C126" s="2" t="s">
        <v>494</v>
      </c>
      <c r="D126" s="2" t="s">
        <v>495</v>
      </c>
      <c r="E126" s="2" t="s">
        <v>271</v>
      </c>
      <c r="F126" s="3">
        <v>20000</v>
      </c>
      <c r="G126" s="4">
        <v>60</v>
      </c>
      <c r="H126" s="5">
        <v>7.4999999999999997E-3</v>
      </c>
    </row>
    <row r="127" spans="1:8" x14ac:dyDescent="0.35">
      <c r="A127" s="2" t="s">
        <v>446</v>
      </c>
      <c r="B127" s="2" t="s">
        <v>508</v>
      </c>
      <c r="C127" s="2" t="s">
        <v>496</v>
      </c>
      <c r="D127" s="2" t="s">
        <v>497</v>
      </c>
      <c r="E127" s="2" t="s">
        <v>258</v>
      </c>
      <c r="F127" s="3">
        <v>70000</v>
      </c>
      <c r="G127" s="4">
        <v>60</v>
      </c>
      <c r="H127" s="5">
        <v>7.4999999999999997E-3</v>
      </c>
    </row>
    <row r="128" spans="1:8" x14ac:dyDescent="0.35">
      <c r="A128" s="2" t="s">
        <v>446</v>
      </c>
      <c r="B128" s="2" t="s">
        <v>508</v>
      </c>
      <c r="C128" s="2" t="s">
        <v>492</v>
      </c>
      <c r="D128" s="2" t="s">
        <v>493</v>
      </c>
      <c r="E128" s="2" t="s">
        <v>45</v>
      </c>
      <c r="F128" s="3">
        <v>600</v>
      </c>
      <c r="G128" s="4">
        <v>60</v>
      </c>
      <c r="H128" s="5">
        <v>7.4999999999999997E-3</v>
      </c>
    </row>
    <row r="129" spans="1:8" x14ac:dyDescent="0.35">
      <c r="A129" s="2" t="s">
        <v>446</v>
      </c>
      <c r="B129" s="2" t="s">
        <v>508</v>
      </c>
      <c r="C129" s="2" t="s">
        <v>498</v>
      </c>
      <c r="D129" s="2" t="s">
        <v>499</v>
      </c>
      <c r="E129" s="6" t="s">
        <v>147</v>
      </c>
      <c r="F129" s="3">
        <v>1200</v>
      </c>
      <c r="G129" s="4">
        <v>60</v>
      </c>
      <c r="H129" s="5">
        <v>7.4999999999999997E-3</v>
      </c>
    </row>
    <row r="130" spans="1:8" x14ac:dyDescent="0.35">
      <c r="A130" s="2" t="s">
        <v>446</v>
      </c>
      <c r="B130" s="2" t="s">
        <v>508</v>
      </c>
      <c r="C130" s="2" t="s">
        <v>498</v>
      </c>
      <c r="D130" s="2" t="s">
        <v>499</v>
      </c>
      <c r="E130" s="6" t="s">
        <v>147</v>
      </c>
      <c r="F130" s="3">
        <v>1200</v>
      </c>
      <c r="G130" s="4">
        <v>60</v>
      </c>
      <c r="H130" s="5">
        <v>7.4999999999999997E-3</v>
      </c>
    </row>
    <row r="131" spans="1:8" x14ac:dyDescent="0.35">
      <c r="A131" s="2" t="s">
        <v>446</v>
      </c>
      <c r="B131" s="2" t="s">
        <v>508</v>
      </c>
      <c r="C131" s="2" t="s">
        <v>492</v>
      </c>
      <c r="D131" s="2" t="s">
        <v>493</v>
      </c>
      <c r="E131" s="2" t="s">
        <v>45</v>
      </c>
      <c r="F131" s="3">
        <v>600</v>
      </c>
      <c r="G131" s="4">
        <v>60</v>
      </c>
      <c r="H131" s="5">
        <v>7.4999999999999997E-3</v>
      </c>
    </row>
    <row r="132" spans="1:8" x14ac:dyDescent="0.35">
      <c r="A132" s="2" t="s">
        <v>446</v>
      </c>
      <c r="B132" s="2" t="s">
        <v>508</v>
      </c>
      <c r="C132" s="2" t="s">
        <v>500</v>
      </c>
      <c r="D132" s="2" t="s">
        <v>501</v>
      </c>
      <c r="E132" s="2" t="s">
        <v>46</v>
      </c>
      <c r="F132" s="3">
        <v>1450</v>
      </c>
      <c r="G132" s="4">
        <v>60</v>
      </c>
      <c r="H132" s="5">
        <v>7.4999999999999997E-3</v>
      </c>
    </row>
    <row r="133" spans="1:8" x14ac:dyDescent="0.35">
      <c r="A133" s="2" t="s">
        <v>446</v>
      </c>
      <c r="B133" s="2" t="s">
        <v>508</v>
      </c>
      <c r="C133" s="2" t="s">
        <v>502</v>
      </c>
      <c r="D133" s="2" t="s">
        <v>503</v>
      </c>
      <c r="E133" s="2" t="s">
        <v>504</v>
      </c>
      <c r="F133" s="3">
        <v>7000</v>
      </c>
      <c r="G133" s="4">
        <v>60</v>
      </c>
      <c r="H133" s="5">
        <v>7.4999999999999997E-3</v>
      </c>
    </row>
    <row r="134" spans="1:8" x14ac:dyDescent="0.35">
      <c r="A134" s="2" t="s">
        <v>446</v>
      </c>
      <c r="B134" s="2" t="s">
        <v>508</v>
      </c>
      <c r="C134" s="2" t="s">
        <v>505</v>
      </c>
      <c r="D134" s="2" t="s">
        <v>506</v>
      </c>
      <c r="E134" s="2" t="s">
        <v>507</v>
      </c>
      <c r="F134" s="3">
        <v>1100</v>
      </c>
      <c r="G134" s="4">
        <v>60</v>
      </c>
      <c r="H134" s="5">
        <v>7.4999999999999997E-3</v>
      </c>
    </row>
    <row r="135" spans="1:8" x14ac:dyDescent="0.35">
      <c r="A135" s="2" t="s">
        <v>446</v>
      </c>
      <c r="B135" s="2" t="s">
        <v>339</v>
      </c>
      <c r="C135" s="2" t="s">
        <v>448</v>
      </c>
      <c r="D135" s="2" t="s">
        <v>449</v>
      </c>
      <c r="E135" s="2" t="s">
        <v>300</v>
      </c>
      <c r="F135" s="3">
        <v>37.44</v>
      </c>
      <c r="G135" s="4">
        <v>60</v>
      </c>
      <c r="H135" s="5">
        <v>1.67E-2</v>
      </c>
    </row>
    <row r="136" spans="1:8" x14ac:dyDescent="0.35">
      <c r="A136" s="2" t="s">
        <v>446</v>
      </c>
      <c r="B136" s="2" t="s">
        <v>339</v>
      </c>
      <c r="C136" s="2" t="s">
        <v>450</v>
      </c>
      <c r="D136" s="2" t="s">
        <v>451</v>
      </c>
      <c r="E136" s="2" t="s">
        <v>452</v>
      </c>
      <c r="F136" s="3">
        <v>48</v>
      </c>
      <c r="G136" s="4">
        <v>1</v>
      </c>
      <c r="H136" s="5">
        <v>0</v>
      </c>
    </row>
    <row r="137" spans="1:8" x14ac:dyDescent="0.35">
      <c r="A137" s="2" t="s">
        <v>446</v>
      </c>
      <c r="B137" s="2" t="s">
        <v>339</v>
      </c>
      <c r="C137" s="2" t="s">
        <v>453</v>
      </c>
      <c r="D137" s="2" t="s">
        <v>454</v>
      </c>
      <c r="E137" s="2" t="s">
        <v>59</v>
      </c>
      <c r="F137" s="3">
        <v>99.8</v>
      </c>
      <c r="G137" s="4">
        <v>60</v>
      </c>
      <c r="H137" s="5">
        <v>1.67E-2</v>
      </c>
    </row>
    <row r="138" spans="1:8" x14ac:dyDescent="0.35">
      <c r="A138" s="2" t="s">
        <v>446</v>
      </c>
      <c r="B138" s="2" t="s">
        <v>339</v>
      </c>
      <c r="C138" s="2" t="s">
        <v>455</v>
      </c>
      <c r="D138" s="2" t="s">
        <v>456</v>
      </c>
      <c r="E138" s="2" t="s">
        <v>35</v>
      </c>
      <c r="F138" s="3">
        <v>1820</v>
      </c>
      <c r="G138" s="4">
        <v>60</v>
      </c>
      <c r="H138" s="5">
        <v>1.67E-2</v>
      </c>
    </row>
    <row r="139" spans="1:8" x14ac:dyDescent="0.35">
      <c r="A139" s="2" t="s">
        <v>446</v>
      </c>
      <c r="B139" s="2" t="s">
        <v>339</v>
      </c>
      <c r="C139" s="2" t="s">
        <v>457</v>
      </c>
      <c r="D139" s="2" t="s">
        <v>458</v>
      </c>
      <c r="E139" s="2" t="s">
        <v>303</v>
      </c>
      <c r="F139" s="3">
        <v>21.01</v>
      </c>
      <c r="G139" s="4">
        <v>60</v>
      </c>
      <c r="H139" s="5">
        <v>1.67E-2</v>
      </c>
    </row>
    <row r="140" spans="1:8" x14ac:dyDescent="0.35">
      <c r="A140" s="2" t="s">
        <v>446</v>
      </c>
      <c r="B140" s="2" t="s">
        <v>339</v>
      </c>
      <c r="C140" s="2" t="s">
        <v>459</v>
      </c>
      <c r="D140" s="2" t="s">
        <v>460</v>
      </c>
      <c r="E140" s="2" t="s">
        <v>461</v>
      </c>
      <c r="F140" s="3">
        <v>2380</v>
      </c>
      <c r="G140" s="4">
        <v>60</v>
      </c>
      <c r="H140" s="5">
        <v>1.67E-2</v>
      </c>
    </row>
    <row r="141" spans="1:8" x14ac:dyDescent="0.35">
      <c r="A141" s="2" t="s">
        <v>446</v>
      </c>
      <c r="B141" s="2" t="s">
        <v>339</v>
      </c>
      <c r="C141" s="2" t="s">
        <v>453</v>
      </c>
      <c r="D141" s="2" t="s">
        <v>454</v>
      </c>
      <c r="E141" s="2" t="s">
        <v>59</v>
      </c>
      <c r="F141" s="3">
        <v>172.74</v>
      </c>
      <c r="G141" s="4">
        <v>60</v>
      </c>
      <c r="H141" s="5">
        <v>1.67E-2</v>
      </c>
    </row>
    <row r="142" spans="1:8" x14ac:dyDescent="0.35">
      <c r="A142" s="2" t="s">
        <v>446</v>
      </c>
      <c r="B142" s="2" t="s">
        <v>339</v>
      </c>
      <c r="C142" s="2" t="s">
        <v>462</v>
      </c>
      <c r="D142" s="2" t="s">
        <v>463</v>
      </c>
      <c r="E142" s="2" t="s">
        <v>315</v>
      </c>
      <c r="F142" s="3">
        <v>54.2</v>
      </c>
      <c r="G142" s="4">
        <v>60</v>
      </c>
      <c r="H142" s="5">
        <v>1.67E-2</v>
      </c>
    </row>
    <row r="143" spans="1:8" x14ac:dyDescent="0.35">
      <c r="A143" s="2" t="s">
        <v>446</v>
      </c>
      <c r="B143" s="2" t="s">
        <v>339</v>
      </c>
      <c r="C143" s="2" t="s">
        <v>464</v>
      </c>
      <c r="D143" s="2" t="s">
        <v>465</v>
      </c>
      <c r="E143" s="6" t="s">
        <v>180</v>
      </c>
      <c r="F143" s="3">
        <v>171.8</v>
      </c>
      <c r="G143" s="4">
        <v>60</v>
      </c>
      <c r="H143" s="5">
        <v>1.67E-2</v>
      </c>
    </row>
    <row r="144" spans="1:8" x14ac:dyDescent="0.35">
      <c r="A144" s="2" t="s">
        <v>446</v>
      </c>
      <c r="B144" s="2" t="s">
        <v>339</v>
      </c>
      <c r="C144" s="2" t="s">
        <v>466</v>
      </c>
      <c r="D144" s="2" t="s">
        <v>467</v>
      </c>
      <c r="E144" s="2" t="s">
        <v>104</v>
      </c>
      <c r="F144" s="3">
        <v>19.899999999999999</v>
      </c>
      <c r="G144" s="4">
        <v>60</v>
      </c>
      <c r="H144" s="5">
        <v>1.67E-2</v>
      </c>
    </row>
    <row r="145" spans="1:8" x14ac:dyDescent="0.35">
      <c r="A145" s="2" t="s">
        <v>446</v>
      </c>
      <c r="B145" s="2" t="s">
        <v>339</v>
      </c>
      <c r="C145" s="2" t="s">
        <v>468</v>
      </c>
      <c r="D145" s="2" t="s">
        <v>469</v>
      </c>
      <c r="E145" s="2" t="s">
        <v>470</v>
      </c>
      <c r="F145" s="3">
        <v>148.34</v>
      </c>
      <c r="G145" s="4">
        <v>60</v>
      </c>
      <c r="H145" s="5">
        <v>1.67E-2</v>
      </c>
    </row>
    <row r="146" spans="1:8" x14ac:dyDescent="0.35">
      <c r="A146" s="2" t="s">
        <v>446</v>
      </c>
      <c r="B146" s="2" t="s">
        <v>339</v>
      </c>
      <c r="C146" s="2" t="s">
        <v>471</v>
      </c>
      <c r="D146" s="2" t="s">
        <v>472</v>
      </c>
      <c r="E146" s="2" t="s">
        <v>473</v>
      </c>
      <c r="F146" s="3">
        <v>566</v>
      </c>
      <c r="G146" s="4">
        <v>60</v>
      </c>
      <c r="H146" s="5">
        <v>1.67E-2</v>
      </c>
    </row>
    <row r="147" spans="1:8" x14ac:dyDescent="0.35">
      <c r="A147" s="2" t="s">
        <v>446</v>
      </c>
      <c r="B147" s="2" t="s">
        <v>339</v>
      </c>
      <c r="C147" s="2" t="s">
        <v>474</v>
      </c>
      <c r="D147" s="2" t="s">
        <v>475</v>
      </c>
      <c r="E147" s="2" t="s">
        <v>193</v>
      </c>
      <c r="F147" s="3">
        <v>235.2</v>
      </c>
      <c r="G147" s="4">
        <v>60</v>
      </c>
      <c r="H147" s="5">
        <v>1.67E-2</v>
      </c>
    </row>
    <row r="148" spans="1:8" x14ac:dyDescent="0.35">
      <c r="A148" s="2" t="s">
        <v>446</v>
      </c>
      <c r="B148" s="2" t="s">
        <v>339</v>
      </c>
      <c r="C148" s="2" t="s">
        <v>462</v>
      </c>
      <c r="D148" s="2" t="s">
        <v>463</v>
      </c>
      <c r="E148" s="2" t="s">
        <v>315</v>
      </c>
      <c r="F148" s="3">
        <v>89.5</v>
      </c>
      <c r="G148" s="4">
        <v>60</v>
      </c>
      <c r="H148" s="5">
        <v>1.67E-2</v>
      </c>
    </row>
    <row r="149" spans="1:8" x14ac:dyDescent="0.35">
      <c r="A149" s="2" t="s">
        <v>446</v>
      </c>
      <c r="B149" s="2" t="s">
        <v>339</v>
      </c>
      <c r="C149" s="2" t="s">
        <v>476</v>
      </c>
      <c r="D149" s="2" t="s">
        <v>477</v>
      </c>
      <c r="E149" s="2" t="s">
        <v>92</v>
      </c>
      <c r="F149" s="3">
        <v>1018</v>
      </c>
      <c r="G149" s="4">
        <v>36</v>
      </c>
      <c r="H149" s="5">
        <v>0</v>
      </c>
    </row>
    <row r="150" spans="1:8" x14ac:dyDescent="0.35">
      <c r="A150" s="2" t="s">
        <v>446</v>
      </c>
      <c r="B150" s="2" t="s">
        <v>339</v>
      </c>
      <c r="C150" s="2" t="s">
        <v>478</v>
      </c>
      <c r="D150" s="2" t="s">
        <v>479</v>
      </c>
      <c r="E150" s="2" t="s">
        <v>191</v>
      </c>
      <c r="F150" s="3">
        <v>242.5</v>
      </c>
      <c r="G150" s="4">
        <v>60</v>
      </c>
      <c r="H150" s="5">
        <v>1.67E-2</v>
      </c>
    </row>
    <row r="151" spans="1:8" x14ac:dyDescent="0.35">
      <c r="A151" s="2" t="s">
        <v>446</v>
      </c>
      <c r="B151" s="2" t="s">
        <v>339</v>
      </c>
      <c r="C151" s="2" t="s">
        <v>480</v>
      </c>
      <c r="D151" s="2" t="s">
        <v>481</v>
      </c>
      <c r="E151" s="2" t="s">
        <v>71</v>
      </c>
      <c r="F151" s="3">
        <v>1460</v>
      </c>
      <c r="G151" s="4">
        <v>60</v>
      </c>
      <c r="H151" s="5">
        <v>1.67E-2</v>
      </c>
    </row>
    <row r="152" spans="1:8" x14ac:dyDescent="0.35">
      <c r="A152" s="2" t="s">
        <v>446</v>
      </c>
      <c r="B152" s="2" t="s">
        <v>339</v>
      </c>
      <c r="C152" s="2" t="s">
        <v>482</v>
      </c>
      <c r="D152" s="2" t="s">
        <v>483</v>
      </c>
      <c r="E152" s="2" t="s">
        <v>322</v>
      </c>
      <c r="F152" s="3">
        <v>20.45</v>
      </c>
      <c r="G152" s="4">
        <v>60</v>
      </c>
      <c r="H152" s="5">
        <v>1.67E-2</v>
      </c>
    </row>
    <row r="153" spans="1:8" x14ac:dyDescent="0.35">
      <c r="A153" s="2" t="s">
        <v>446</v>
      </c>
      <c r="B153" s="2" t="s">
        <v>339</v>
      </c>
      <c r="C153" s="2" t="s">
        <v>464</v>
      </c>
      <c r="D153" s="2" t="s">
        <v>465</v>
      </c>
      <c r="E153" s="6" t="s">
        <v>180</v>
      </c>
      <c r="F153" s="3">
        <v>252</v>
      </c>
      <c r="G153" s="4">
        <v>60</v>
      </c>
      <c r="H153" s="5">
        <v>1.67E-2</v>
      </c>
    </row>
    <row r="154" spans="1:8" x14ac:dyDescent="0.35">
      <c r="A154" s="2" t="s">
        <v>446</v>
      </c>
      <c r="B154" s="2" t="s">
        <v>339</v>
      </c>
      <c r="C154" s="2" t="s">
        <v>476</v>
      </c>
      <c r="D154" s="2" t="s">
        <v>477</v>
      </c>
      <c r="E154" s="2" t="s">
        <v>92</v>
      </c>
      <c r="F154" s="3">
        <v>1018</v>
      </c>
      <c r="G154" s="4">
        <v>36</v>
      </c>
      <c r="H154" s="5">
        <v>0</v>
      </c>
    </row>
    <row r="155" spans="1:8" x14ac:dyDescent="0.35">
      <c r="A155" s="2" t="s">
        <v>446</v>
      </c>
      <c r="B155" s="2" t="s">
        <v>339</v>
      </c>
      <c r="C155" s="2" t="s">
        <v>484</v>
      </c>
      <c r="D155" s="2" t="s">
        <v>485</v>
      </c>
      <c r="E155" s="2" t="s">
        <v>486</v>
      </c>
      <c r="F155" s="3">
        <v>1172</v>
      </c>
      <c r="G155" s="4">
        <v>60</v>
      </c>
      <c r="H155" s="5">
        <v>1.67E-2</v>
      </c>
    </row>
    <row r="156" spans="1:8" x14ac:dyDescent="0.35">
      <c r="A156" s="2" t="s">
        <v>446</v>
      </c>
      <c r="B156" s="2" t="s">
        <v>339</v>
      </c>
      <c r="C156" s="2" t="s">
        <v>478</v>
      </c>
      <c r="D156" s="2" t="s">
        <v>479</v>
      </c>
      <c r="E156" s="2" t="s">
        <v>191</v>
      </c>
      <c r="F156" s="3">
        <v>0.01</v>
      </c>
      <c r="G156" s="4">
        <v>0</v>
      </c>
      <c r="H156" s="5">
        <v>0</v>
      </c>
    </row>
    <row r="157" spans="1:8" x14ac:dyDescent="0.35">
      <c r="A157" s="2" t="s">
        <v>446</v>
      </c>
      <c r="B157" s="2" t="s">
        <v>339</v>
      </c>
      <c r="C157" s="2" t="s">
        <v>487</v>
      </c>
      <c r="D157" s="2" t="s">
        <v>488</v>
      </c>
      <c r="E157" s="2" t="s">
        <v>489</v>
      </c>
      <c r="F157" s="3">
        <v>2700</v>
      </c>
      <c r="G157" s="4">
        <v>60</v>
      </c>
      <c r="H157" s="5">
        <v>1.67E-2</v>
      </c>
    </row>
    <row r="158" spans="1:8" x14ac:dyDescent="0.35">
      <c r="A158" s="2" t="s">
        <v>446</v>
      </c>
      <c r="B158" s="2" t="s">
        <v>339</v>
      </c>
      <c r="C158" s="2" t="s">
        <v>490</v>
      </c>
      <c r="D158" s="2" t="s">
        <v>491</v>
      </c>
      <c r="E158" s="2" t="s">
        <v>226</v>
      </c>
      <c r="F158" s="3">
        <v>4320</v>
      </c>
      <c r="G158" s="4">
        <v>60</v>
      </c>
      <c r="H158" s="5">
        <v>1.67E-2</v>
      </c>
    </row>
    <row r="159" spans="1:8" x14ac:dyDescent="0.35">
      <c r="A159" s="2" t="s">
        <v>446</v>
      </c>
      <c r="B159" s="2" t="s">
        <v>339</v>
      </c>
      <c r="C159" s="2" t="s">
        <v>492</v>
      </c>
      <c r="D159" s="2" t="s">
        <v>493</v>
      </c>
      <c r="E159" s="2" t="s">
        <v>45</v>
      </c>
      <c r="F159" s="3">
        <v>412.79</v>
      </c>
      <c r="G159" s="4">
        <v>60</v>
      </c>
      <c r="H159" s="5">
        <v>1.67E-2</v>
      </c>
    </row>
    <row r="160" spans="1:8" x14ac:dyDescent="0.35">
      <c r="A160" s="2" t="s">
        <v>446</v>
      </c>
      <c r="B160" s="2" t="s">
        <v>339</v>
      </c>
      <c r="C160" s="2" t="s">
        <v>494</v>
      </c>
      <c r="D160" s="2" t="s">
        <v>495</v>
      </c>
      <c r="E160" s="2" t="s">
        <v>271</v>
      </c>
      <c r="F160" s="3">
        <v>3411.03</v>
      </c>
      <c r="G160" s="4">
        <v>1</v>
      </c>
      <c r="H160" s="5">
        <v>0</v>
      </c>
    </row>
    <row r="161" spans="1:8" x14ac:dyDescent="0.35">
      <c r="A161" s="2" t="s">
        <v>446</v>
      </c>
      <c r="B161" s="2" t="s">
        <v>339</v>
      </c>
      <c r="C161" s="2" t="s">
        <v>490</v>
      </c>
      <c r="D161" s="2" t="s">
        <v>491</v>
      </c>
      <c r="E161" s="2" t="s">
        <v>226</v>
      </c>
      <c r="F161" s="3">
        <v>4320</v>
      </c>
      <c r="G161" s="4">
        <v>60</v>
      </c>
      <c r="H161" s="5">
        <v>1.67E-2</v>
      </c>
    </row>
    <row r="162" spans="1:8" x14ac:dyDescent="0.35">
      <c r="A162" s="2" t="s">
        <v>446</v>
      </c>
      <c r="B162" s="2" t="s">
        <v>339</v>
      </c>
      <c r="C162" s="2" t="s">
        <v>494</v>
      </c>
      <c r="D162" s="2" t="s">
        <v>495</v>
      </c>
      <c r="E162" s="2" t="s">
        <v>271</v>
      </c>
      <c r="F162" s="3">
        <v>3411.03</v>
      </c>
      <c r="G162" s="4">
        <v>1</v>
      </c>
      <c r="H162" s="5">
        <v>0</v>
      </c>
    </row>
    <row r="163" spans="1:8" x14ac:dyDescent="0.35">
      <c r="A163" s="2" t="s">
        <v>446</v>
      </c>
      <c r="B163" s="2" t="s">
        <v>339</v>
      </c>
      <c r="C163" s="2" t="s">
        <v>496</v>
      </c>
      <c r="D163" s="2" t="s">
        <v>497</v>
      </c>
      <c r="E163" s="2" t="s">
        <v>258</v>
      </c>
      <c r="F163" s="3">
        <v>97800</v>
      </c>
      <c r="G163" s="4">
        <v>60</v>
      </c>
      <c r="H163" s="5">
        <v>1.67E-2</v>
      </c>
    </row>
    <row r="164" spans="1:8" x14ac:dyDescent="0.35">
      <c r="A164" s="2" t="s">
        <v>446</v>
      </c>
      <c r="B164" s="2" t="s">
        <v>339</v>
      </c>
      <c r="C164" s="2" t="s">
        <v>492</v>
      </c>
      <c r="D164" s="2" t="s">
        <v>493</v>
      </c>
      <c r="E164" s="2" t="s">
        <v>45</v>
      </c>
      <c r="F164" s="3">
        <v>412.79</v>
      </c>
      <c r="G164" s="4">
        <v>60</v>
      </c>
      <c r="H164" s="5">
        <v>1.67E-2</v>
      </c>
    </row>
    <row r="165" spans="1:8" x14ac:dyDescent="0.35">
      <c r="A165" s="2" t="s">
        <v>446</v>
      </c>
      <c r="B165" s="2" t="s">
        <v>339</v>
      </c>
      <c r="C165" s="2" t="s">
        <v>498</v>
      </c>
      <c r="D165" s="2" t="s">
        <v>499</v>
      </c>
      <c r="E165" s="6" t="s">
        <v>147</v>
      </c>
      <c r="F165" s="3">
        <v>2456.7199999999998</v>
      </c>
      <c r="G165" s="4">
        <v>60</v>
      </c>
      <c r="H165" s="5">
        <v>1.67E-2</v>
      </c>
    </row>
    <row r="166" spans="1:8" x14ac:dyDescent="0.35">
      <c r="A166" s="2" t="s">
        <v>446</v>
      </c>
      <c r="B166" s="2" t="s">
        <v>339</v>
      </c>
      <c r="C166" s="2" t="s">
        <v>498</v>
      </c>
      <c r="D166" s="2" t="s">
        <v>499</v>
      </c>
      <c r="E166" s="6" t="s">
        <v>147</v>
      </c>
      <c r="F166" s="3">
        <v>2456.7199999999998</v>
      </c>
      <c r="G166" s="4">
        <v>60</v>
      </c>
      <c r="H166" s="5">
        <v>1.67E-2</v>
      </c>
    </row>
    <row r="167" spans="1:8" x14ac:dyDescent="0.35">
      <c r="A167" s="2" t="s">
        <v>446</v>
      </c>
      <c r="B167" s="2" t="s">
        <v>339</v>
      </c>
      <c r="C167" s="2" t="s">
        <v>492</v>
      </c>
      <c r="D167" s="2" t="s">
        <v>493</v>
      </c>
      <c r="E167" s="2" t="s">
        <v>45</v>
      </c>
      <c r="F167" s="3">
        <v>412.79</v>
      </c>
      <c r="G167" s="4">
        <v>60</v>
      </c>
      <c r="H167" s="5">
        <v>1.67E-2</v>
      </c>
    </row>
    <row r="168" spans="1:8" x14ac:dyDescent="0.35">
      <c r="A168" s="2" t="s">
        <v>446</v>
      </c>
      <c r="B168" s="2" t="s">
        <v>339</v>
      </c>
      <c r="C168" s="2" t="s">
        <v>500</v>
      </c>
      <c r="D168" s="2" t="s">
        <v>501</v>
      </c>
      <c r="E168" s="2" t="s">
        <v>46</v>
      </c>
      <c r="F168" s="3">
        <v>1796.58</v>
      </c>
      <c r="G168" s="4">
        <v>60</v>
      </c>
      <c r="H168" s="5">
        <v>1.67E-2</v>
      </c>
    </row>
    <row r="169" spans="1:8" x14ac:dyDescent="0.35">
      <c r="A169" s="2" t="s">
        <v>446</v>
      </c>
      <c r="B169" s="2" t="s">
        <v>339</v>
      </c>
      <c r="C169" s="2" t="s">
        <v>502</v>
      </c>
      <c r="D169" s="2" t="s">
        <v>503</v>
      </c>
      <c r="E169" s="2" t="s">
        <v>504</v>
      </c>
      <c r="F169" s="3">
        <v>6678</v>
      </c>
      <c r="G169" s="4">
        <v>60</v>
      </c>
      <c r="H169" s="5">
        <v>1.67E-2</v>
      </c>
    </row>
    <row r="170" spans="1:8" x14ac:dyDescent="0.35">
      <c r="A170" s="2" t="s">
        <v>446</v>
      </c>
      <c r="B170" s="2" t="s">
        <v>339</v>
      </c>
      <c r="C170" s="2" t="s">
        <v>505</v>
      </c>
      <c r="D170" s="2" t="s">
        <v>506</v>
      </c>
      <c r="E170" s="2" t="s">
        <v>507</v>
      </c>
      <c r="F170" s="3">
        <v>1800</v>
      </c>
      <c r="G170" s="4">
        <v>60</v>
      </c>
      <c r="H170" s="5">
        <v>1.67E-2</v>
      </c>
    </row>
    <row r="171" spans="1:8" x14ac:dyDescent="0.35">
      <c r="A171" s="2" t="s">
        <v>446</v>
      </c>
      <c r="B171" s="2" t="s">
        <v>509</v>
      </c>
      <c r="C171" s="2" t="s">
        <v>448</v>
      </c>
      <c r="D171" s="2" t="s">
        <v>449</v>
      </c>
      <c r="E171" s="2" t="s">
        <v>300</v>
      </c>
      <c r="F171" s="3">
        <v>28.5</v>
      </c>
      <c r="G171" s="4">
        <v>60</v>
      </c>
      <c r="H171" s="5">
        <v>0</v>
      </c>
    </row>
    <row r="172" spans="1:8" x14ac:dyDescent="0.35">
      <c r="A172" s="2" t="s">
        <v>446</v>
      </c>
      <c r="B172" s="2" t="s">
        <v>509</v>
      </c>
      <c r="C172" s="2" t="s">
        <v>450</v>
      </c>
      <c r="D172" s="2" t="s">
        <v>451</v>
      </c>
      <c r="E172" s="2" t="s">
        <v>452</v>
      </c>
      <c r="F172" s="3">
        <v>57.84</v>
      </c>
      <c r="G172" s="4">
        <v>1</v>
      </c>
      <c r="H172" s="5">
        <v>0</v>
      </c>
    </row>
    <row r="173" spans="1:8" x14ac:dyDescent="0.35">
      <c r="A173" s="2" t="s">
        <v>446</v>
      </c>
      <c r="B173" s="2" t="s">
        <v>509</v>
      </c>
      <c r="C173" s="2" t="s">
        <v>453</v>
      </c>
      <c r="D173" s="2" t="s">
        <v>454</v>
      </c>
      <c r="E173" s="2" t="s">
        <v>59</v>
      </c>
      <c r="F173" s="3">
        <v>250</v>
      </c>
      <c r="G173" s="4">
        <v>60</v>
      </c>
      <c r="H173" s="5">
        <v>0</v>
      </c>
    </row>
    <row r="174" spans="1:8" x14ac:dyDescent="0.35">
      <c r="A174" s="2" t="s">
        <v>446</v>
      </c>
      <c r="B174" s="2" t="s">
        <v>509</v>
      </c>
      <c r="C174" s="2" t="s">
        <v>455</v>
      </c>
      <c r="D174" s="2" t="s">
        <v>456</v>
      </c>
      <c r="E174" s="2" t="s">
        <v>35</v>
      </c>
      <c r="F174" s="3">
        <v>1400</v>
      </c>
      <c r="G174" s="4">
        <v>60</v>
      </c>
      <c r="H174" s="5">
        <v>0</v>
      </c>
    </row>
    <row r="175" spans="1:8" x14ac:dyDescent="0.35">
      <c r="A175" s="2" t="s">
        <v>446</v>
      </c>
      <c r="B175" s="2" t="s">
        <v>509</v>
      </c>
      <c r="C175" s="2" t="s">
        <v>457</v>
      </c>
      <c r="D175" s="2" t="s">
        <v>458</v>
      </c>
      <c r="E175" s="2" t="s">
        <v>303</v>
      </c>
      <c r="F175" s="3">
        <v>32.9</v>
      </c>
      <c r="G175" s="4">
        <v>24</v>
      </c>
      <c r="H175" s="5">
        <v>0</v>
      </c>
    </row>
    <row r="176" spans="1:8" x14ac:dyDescent="0.35">
      <c r="A176" s="2" t="s">
        <v>446</v>
      </c>
      <c r="B176" s="2" t="s">
        <v>509</v>
      </c>
      <c r="C176" s="2" t="s">
        <v>459</v>
      </c>
      <c r="D176" s="2" t="s">
        <v>460</v>
      </c>
      <c r="E176" s="2" t="s">
        <v>461</v>
      </c>
      <c r="F176" s="3">
        <v>300</v>
      </c>
      <c r="G176" s="4">
        <v>60</v>
      </c>
      <c r="H176" s="5">
        <v>0</v>
      </c>
    </row>
    <row r="177" spans="1:8" x14ac:dyDescent="0.35">
      <c r="A177" s="2" t="s">
        <v>446</v>
      </c>
      <c r="B177" s="2" t="s">
        <v>509</v>
      </c>
      <c r="C177" s="2" t="s">
        <v>453</v>
      </c>
      <c r="D177" s="2" t="s">
        <v>454</v>
      </c>
      <c r="E177" s="2" t="s">
        <v>59</v>
      </c>
      <c r="F177" s="3">
        <v>250</v>
      </c>
      <c r="G177" s="4">
        <v>60</v>
      </c>
      <c r="H177" s="5">
        <v>0</v>
      </c>
    </row>
    <row r="178" spans="1:8" x14ac:dyDescent="0.35">
      <c r="A178" s="2" t="s">
        <v>446</v>
      </c>
      <c r="B178" s="2" t="s">
        <v>509</v>
      </c>
      <c r="C178" s="2" t="s">
        <v>462</v>
      </c>
      <c r="D178" s="2" t="s">
        <v>463</v>
      </c>
      <c r="E178" s="2" t="s">
        <v>315</v>
      </c>
      <c r="F178" s="3">
        <v>120</v>
      </c>
      <c r="G178" s="4">
        <v>36</v>
      </c>
      <c r="H178" s="5">
        <v>0</v>
      </c>
    </row>
    <row r="179" spans="1:8" x14ac:dyDescent="0.35">
      <c r="A179" s="2" t="s">
        <v>446</v>
      </c>
      <c r="B179" s="2" t="s">
        <v>509</v>
      </c>
      <c r="C179" s="2" t="s">
        <v>464</v>
      </c>
      <c r="D179" s="2" t="s">
        <v>465</v>
      </c>
      <c r="E179" s="6" t="s">
        <v>180</v>
      </c>
      <c r="F179" s="3">
        <v>148</v>
      </c>
      <c r="G179" s="4">
        <v>48</v>
      </c>
      <c r="H179" s="5">
        <v>0</v>
      </c>
    </row>
    <row r="180" spans="1:8" x14ac:dyDescent="0.35">
      <c r="A180" s="2" t="s">
        <v>446</v>
      </c>
      <c r="B180" s="2" t="s">
        <v>509</v>
      </c>
      <c r="C180" s="2" t="s">
        <v>466</v>
      </c>
      <c r="D180" s="2" t="s">
        <v>467</v>
      </c>
      <c r="E180" s="2" t="s">
        <v>104</v>
      </c>
      <c r="F180" s="3">
        <v>28.44</v>
      </c>
      <c r="G180" s="4">
        <v>12</v>
      </c>
      <c r="H180" s="5">
        <v>0</v>
      </c>
    </row>
    <row r="181" spans="1:8" x14ac:dyDescent="0.35">
      <c r="A181" s="2" t="s">
        <v>446</v>
      </c>
      <c r="B181" s="2" t="s">
        <v>509</v>
      </c>
      <c r="C181" s="2" t="s">
        <v>468</v>
      </c>
      <c r="D181" s="2" t="s">
        <v>469</v>
      </c>
      <c r="E181" s="2" t="s">
        <v>470</v>
      </c>
      <c r="F181" s="3">
        <v>149.43</v>
      </c>
      <c r="G181" s="4">
        <v>6</v>
      </c>
      <c r="H181" s="5">
        <v>0</v>
      </c>
    </row>
    <row r="182" spans="1:8" x14ac:dyDescent="0.35">
      <c r="A182" s="2" t="s">
        <v>446</v>
      </c>
      <c r="B182" s="2" t="s">
        <v>509</v>
      </c>
      <c r="C182" s="2" t="s">
        <v>471</v>
      </c>
      <c r="D182" s="2" t="s">
        <v>472</v>
      </c>
      <c r="E182" s="2" t="s">
        <v>473</v>
      </c>
      <c r="F182" s="3">
        <v>1000</v>
      </c>
      <c r="G182" s="4">
        <v>60</v>
      </c>
      <c r="H182" s="5">
        <v>0</v>
      </c>
    </row>
    <row r="183" spans="1:8" x14ac:dyDescent="0.35">
      <c r="A183" s="2" t="s">
        <v>446</v>
      </c>
      <c r="B183" s="2" t="s">
        <v>509</v>
      </c>
      <c r="C183" s="2" t="s">
        <v>474</v>
      </c>
      <c r="D183" s="2" t="s">
        <v>475</v>
      </c>
      <c r="E183" s="2" t="s">
        <v>193</v>
      </c>
      <c r="F183" s="3">
        <v>199</v>
      </c>
      <c r="G183" s="4">
        <v>36</v>
      </c>
      <c r="H183" s="5">
        <v>0</v>
      </c>
    </row>
    <row r="184" spans="1:8" x14ac:dyDescent="0.35">
      <c r="A184" s="2" t="s">
        <v>446</v>
      </c>
      <c r="B184" s="2" t="s">
        <v>509</v>
      </c>
      <c r="C184" s="2" t="s">
        <v>462</v>
      </c>
      <c r="D184" s="2" t="s">
        <v>463</v>
      </c>
      <c r="E184" s="2" t="s">
        <v>315</v>
      </c>
      <c r="F184" s="3">
        <v>120</v>
      </c>
      <c r="G184" s="4">
        <v>36</v>
      </c>
      <c r="H184" s="5">
        <v>0</v>
      </c>
    </row>
    <row r="185" spans="1:8" x14ac:dyDescent="0.35">
      <c r="A185" s="2" t="s">
        <v>446</v>
      </c>
      <c r="B185" s="2" t="s">
        <v>509</v>
      </c>
      <c r="C185" s="2" t="s">
        <v>476</v>
      </c>
      <c r="D185" s="2" t="s">
        <v>477</v>
      </c>
      <c r="E185" s="2" t="s">
        <v>92</v>
      </c>
      <c r="F185" s="3">
        <v>1066.05</v>
      </c>
      <c r="G185" s="4">
        <v>36</v>
      </c>
      <c r="H185" s="5">
        <v>0</v>
      </c>
    </row>
    <row r="186" spans="1:8" x14ac:dyDescent="0.35">
      <c r="A186" s="2" t="s">
        <v>446</v>
      </c>
      <c r="B186" s="2" t="s">
        <v>509</v>
      </c>
      <c r="C186" s="2" t="s">
        <v>478</v>
      </c>
      <c r="D186" s="2" t="s">
        <v>479</v>
      </c>
      <c r="E186" s="2" t="s">
        <v>191</v>
      </c>
      <c r="F186" s="3">
        <v>8744.7900000000009</v>
      </c>
      <c r="G186" s="4">
        <v>60</v>
      </c>
      <c r="H186" s="5">
        <v>7.4999999999999997E-3</v>
      </c>
    </row>
    <row r="187" spans="1:8" x14ac:dyDescent="0.35">
      <c r="A187" s="2" t="s">
        <v>446</v>
      </c>
      <c r="B187" s="2" t="s">
        <v>509</v>
      </c>
      <c r="C187" s="2" t="s">
        <v>480</v>
      </c>
      <c r="D187" s="2" t="s">
        <v>481</v>
      </c>
      <c r="E187" s="2" t="s">
        <v>71</v>
      </c>
      <c r="F187" s="3">
        <v>299.5</v>
      </c>
      <c r="G187" s="4">
        <v>36</v>
      </c>
      <c r="H187" s="5">
        <v>0</v>
      </c>
    </row>
    <row r="188" spans="1:8" x14ac:dyDescent="0.35">
      <c r="A188" s="2" t="s">
        <v>446</v>
      </c>
      <c r="B188" s="2" t="s">
        <v>509</v>
      </c>
      <c r="C188" s="2" t="s">
        <v>482</v>
      </c>
      <c r="D188" s="2" t="s">
        <v>483</v>
      </c>
      <c r="E188" s="2" t="s">
        <v>322</v>
      </c>
      <c r="F188" s="3">
        <v>20</v>
      </c>
      <c r="G188" s="4">
        <v>60</v>
      </c>
      <c r="H188" s="5">
        <v>0</v>
      </c>
    </row>
    <row r="189" spans="1:8" x14ac:dyDescent="0.35">
      <c r="A189" s="2" t="s">
        <v>446</v>
      </c>
      <c r="B189" s="2" t="s">
        <v>509</v>
      </c>
      <c r="C189" s="2" t="s">
        <v>464</v>
      </c>
      <c r="D189" s="2" t="s">
        <v>465</v>
      </c>
      <c r="E189" s="6" t="s">
        <v>180</v>
      </c>
      <c r="F189" s="3">
        <v>120</v>
      </c>
      <c r="G189" s="4">
        <v>60</v>
      </c>
      <c r="H189" s="5">
        <v>0</v>
      </c>
    </row>
    <row r="190" spans="1:8" x14ac:dyDescent="0.35">
      <c r="A190" s="2" t="s">
        <v>446</v>
      </c>
      <c r="B190" s="2" t="s">
        <v>509</v>
      </c>
      <c r="C190" s="2" t="s">
        <v>476</v>
      </c>
      <c r="D190" s="2" t="s">
        <v>477</v>
      </c>
      <c r="E190" s="2" t="s">
        <v>92</v>
      </c>
      <c r="F190" s="3">
        <v>1066.05</v>
      </c>
      <c r="G190" s="4">
        <v>36</v>
      </c>
      <c r="H190" s="5">
        <v>0</v>
      </c>
    </row>
    <row r="191" spans="1:8" x14ac:dyDescent="0.35">
      <c r="A191" s="2" t="s">
        <v>446</v>
      </c>
      <c r="B191" s="2" t="s">
        <v>509</v>
      </c>
      <c r="C191" s="2" t="s">
        <v>484</v>
      </c>
      <c r="D191" s="2" t="s">
        <v>485</v>
      </c>
      <c r="E191" s="2" t="s">
        <v>486</v>
      </c>
      <c r="F191" s="3">
        <v>768.92</v>
      </c>
      <c r="G191" s="4">
        <v>36</v>
      </c>
      <c r="H191" s="5">
        <v>0</v>
      </c>
    </row>
    <row r="192" spans="1:8" x14ac:dyDescent="0.35">
      <c r="A192" s="2" t="s">
        <v>446</v>
      </c>
      <c r="B192" s="2" t="s">
        <v>509</v>
      </c>
      <c r="C192" s="2" t="s">
        <v>478</v>
      </c>
      <c r="D192" s="2" t="s">
        <v>479</v>
      </c>
      <c r="E192" s="2" t="s">
        <v>191</v>
      </c>
      <c r="F192" s="3">
        <v>1850</v>
      </c>
      <c r="G192" s="4">
        <v>60</v>
      </c>
      <c r="H192" s="5">
        <v>7.4999999999999997E-3</v>
      </c>
    </row>
    <row r="193" spans="1:8" x14ac:dyDescent="0.35">
      <c r="A193" s="2" t="s">
        <v>446</v>
      </c>
      <c r="B193" s="2" t="s">
        <v>509</v>
      </c>
      <c r="C193" s="2" t="s">
        <v>487</v>
      </c>
      <c r="D193" s="2" t="s">
        <v>488</v>
      </c>
      <c r="E193" s="2" t="s">
        <v>489</v>
      </c>
      <c r="F193" s="3">
        <v>15000</v>
      </c>
      <c r="G193" s="4">
        <v>60</v>
      </c>
      <c r="H193" s="5">
        <v>7.4999999999999997E-3</v>
      </c>
    </row>
    <row r="194" spans="1:8" x14ac:dyDescent="0.35">
      <c r="A194" s="2" t="s">
        <v>446</v>
      </c>
      <c r="B194" s="2" t="s">
        <v>509</v>
      </c>
      <c r="C194" s="2" t="s">
        <v>490</v>
      </c>
      <c r="D194" s="2" t="s">
        <v>491</v>
      </c>
      <c r="E194" s="2" t="s">
        <v>226</v>
      </c>
      <c r="F194" s="3">
        <v>3150</v>
      </c>
      <c r="G194" s="4">
        <v>60</v>
      </c>
      <c r="H194" s="5">
        <v>7.4999999999999997E-3</v>
      </c>
    </row>
    <row r="195" spans="1:8" x14ac:dyDescent="0.35">
      <c r="A195" s="2" t="s">
        <v>446</v>
      </c>
      <c r="B195" s="2" t="s">
        <v>509</v>
      </c>
      <c r="C195" s="2" t="s">
        <v>492</v>
      </c>
      <c r="D195" s="2" t="s">
        <v>493</v>
      </c>
      <c r="E195" s="2" t="s">
        <v>45</v>
      </c>
      <c r="F195" s="3">
        <v>600</v>
      </c>
      <c r="G195" s="4">
        <v>60</v>
      </c>
      <c r="H195" s="5">
        <v>7.4999999999999997E-3</v>
      </c>
    </row>
    <row r="196" spans="1:8" x14ac:dyDescent="0.35">
      <c r="A196" s="2" t="s">
        <v>446</v>
      </c>
      <c r="B196" s="2" t="s">
        <v>509</v>
      </c>
      <c r="C196" s="2" t="s">
        <v>494</v>
      </c>
      <c r="D196" s="2" t="s">
        <v>495</v>
      </c>
      <c r="E196" s="2" t="s">
        <v>271</v>
      </c>
      <c r="F196" s="3">
        <v>67163.08</v>
      </c>
      <c r="G196" s="4">
        <v>60</v>
      </c>
      <c r="H196" s="5">
        <v>7.4999999999999997E-3</v>
      </c>
    </row>
    <row r="197" spans="1:8" x14ac:dyDescent="0.35">
      <c r="A197" s="2" t="s">
        <v>446</v>
      </c>
      <c r="B197" s="2" t="s">
        <v>509</v>
      </c>
      <c r="C197" s="2" t="s">
        <v>490</v>
      </c>
      <c r="D197" s="2" t="s">
        <v>491</v>
      </c>
      <c r="E197" s="2" t="s">
        <v>226</v>
      </c>
      <c r="F197" s="3">
        <v>3150</v>
      </c>
      <c r="G197" s="4">
        <v>60</v>
      </c>
      <c r="H197" s="5">
        <v>7.4999999999999997E-3</v>
      </c>
    </row>
    <row r="198" spans="1:8" x14ac:dyDescent="0.35">
      <c r="A198" s="2" t="s">
        <v>446</v>
      </c>
      <c r="B198" s="2" t="s">
        <v>509</v>
      </c>
      <c r="C198" s="2" t="s">
        <v>494</v>
      </c>
      <c r="D198" s="2" t="s">
        <v>495</v>
      </c>
      <c r="E198" s="2" t="s">
        <v>271</v>
      </c>
      <c r="F198" s="3">
        <v>67163.08</v>
      </c>
      <c r="G198" s="4">
        <v>60</v>
      </c>
      <c r="H198" s="5">
        <v>7.4999999999999997E-3</v>
      </c>
    </row>
    <row r="199" spans="1:8" x14ac:dyDescent="0.35">
      <c r="A199" s="2" t="s">
        <v>446</v>
      </c>
      <c r="B199" s="2" t="s">
        <v>509</v>
      </c>
      <c r="C199" s="2" t="s">
        <v>496</v>
      </c>
      <c r="D199" s="2" t="s">
        <v>497</v>
      </c>
      <c r="E199" s="2" t="s">
        <v>258</v>
      </c>
      <c r="F199" s="3">
        <v>62549.4</v>
      </c>
      <c r="G199" s="4">
        <v>60</v>
      </c>
      <c r="H199" s="5">
        <v>7.4999999999999997E-3</v>
      </c>
    </row>
    <row r="200" spans="1:8" x14ac:dyDescent="0.35">
      <c r="A200" s="2" t="s">
        <v>446</v>
      </c>
      <c r="B200" s="2" t="s">
        <v>509</v>
      </c>
      <c r="C200" s="2" t="s">
        <v>492</v>
      </c>
      <c r="D200" s="2" t="s">
        <v>493</v>
      </c>
      <c r="E200" s="2" t="s">
        <v>45</v>
      </c>
      <c r="F200" s="3">
        <v>600</v>
      </c>
      <c r="G200" s="4">
        <v>60</v>
      </c>
      <c r="H200" s="5">
        <v>7.4999999999999997E-3</v>
      </c>
    </row>
    <row r="201" spans="1:8" x14ac:dyDescent="0.35">
      <c r="A201" s="2" t="s">
        <v>446</v>
      </c>
      <c r="B201" s="2" t="s">
        <v>509</v>
      </c>
      <c r="C201" s="2" t="s">
        <v>498</v>
      </c>
      <c r="D201" s="2" t="s">
        <v>499</v>
      </c>
      <c r="E201" s="6" t="s">
        <v>147</v>
      </c>
      <c r="F201" s="3">
        <v>1365</v>
      </c>
      <c r="G201" s="4">
        <v>60</v>
      </c>
      <c r="H201" s="5">
        <v>7.4999999999999997E-3</v>
      </c>
    </row>
    <row r="202" spans="1:8" x14ac:dyDescent="0.35">
      <c r="A202" s="2" t="s">
        <v>446</v>
      </c>
      <c r="B202" s="2" t="s">
        <v>509</v>
      </c>
      <c r="C202" s="2" t="s">
        <v>498</v>
      </c>
      <c r="D202" s="2" t="s">
        <v>499</v>
      </c>
      <c r="E202" s="6" t="s">
        <v>147</v>
      </c>
      <c r="F202" s="3">
        <v>1365</v>
      </c>
      <c r="G202" s="4">
        <v>60</v>
      </c>
      <c r="H202" s="5">
        <v>7.4999999999999997E-3</v>
      </c>
    </row>
    <row r="203" spans="1:8" x14ac:dyDescent="0.35">
      <c r="A203" s="2" t="s">
        <v>446</v>
      </c>
      <c r="B203" s="2" t="s">
        <v>509</v>
      </c>
      <c r="C203" s="2" t="s">
        <v>492</v>
      </c>
      <c r="D203" s="2" t="s">
        <v>493</v>
      </c>
      <c r="E203" s="2" t="s">
        <v>45</v>
      </c>
      <c r="F203" s="3">
        <v>600</v>
      </c>
      <c r="G203" s="4">
        <v>60</v>
      </c>
      <c r="H203" s="5">
        <v>7.4999999999999997E-3</v>
      </c>
    </row>
    <row r="204" spans="1:8" x14ac:dyDescent="0.35">
      <c r="A204" s="2" t="s">
        <v>446</v>
      </c>
      <c r="B204" s="2" t="s">
        <v>509</v>
      </c>
      <c r="C204" s="2" t="s">
        <v>500</v>
      </c>
      <c r="D204" s="2" t="s">
        <v>501</v>
      </c>
      <c r="E204" s="2" t="s">
        <v>46</v>
      </c>
      <c r="F204" s="3">
        <v>4372.3900000000003</v>
      </c>
      <c r="G204" s="4">
        <v>60</v>
      </c>
      <c r="H204" s="5">
        <v>7.4999999999999997E-3</v>
      </c>
    </row>
    <row r="205" spans="1:8" x14ac:dyDescent="0.35">
      <c r="A205" s="2" t="s">
        <v>446</v>
      </c>
      <c r="B205" s="2" t="s">
        <v>509</v>
      </c>
      <c r="C205" s="2" t="s">
        <v>502</v>
      </c>
      <c r="D205" s="2" t="s">
        <v>503</v>
      </c>
      <c r="E205" s="2" t="s">
        <v>504</v>
      </c>
      <c r="F205" s="3">
        <v>7000</v>
      </c>
      <c r="G205" s="4">
        <v>60</v>
      </c>
      <c r="H205" s="5">
        <v>7.4999999999999997E-3</v>
      </c>
    </row>
    <row r="206" spans="1:8" x14ac:dyDescent="0.35">
      <c r="A206" s="2" t="s">
        <v>446</v>
      </c>
      <c r="B206" s="2" t="s">
        <v>509</v>
      </c>
      <c r="C206" s="2" t="s">
        <v>505</v>
      </c>
      <c r="D206" s="2" t="s">
        <v>506</v>
      </c>
      <c r="E206" s="2" t="s">
        <v>507</v>
      </c>
      <c r="F206" s="3">
        <v>1929</v>
      </c>
      <c r="G206" s="4">
        <v>60</v>
      </c>
      <c r="H206" s="5">
        <v>7.4999999999999997E-3</v>
      </c>
    </row>
    <row r="207" spans="1:8" x14ac:dyDescent="0.35">
      <c r="A207" s="2" t="s">
        <v>446</v>
      </c>
      <c r="B207" s="2" t="s">
        <v>510</v>
      </c>
      <c r="C207" s="2" t="s">
        <v>448</v>
      </c>
      <c r="D207" s="2" t="s">
        <v>449</v>
      </c>
      <c r="E207" s="2" t="s">
        <v>300</v>
      </c>
      <c r="F207" s="3">
        <v>62.5</v>
      </c>
      <c r="G207" s="4">
        <v>12</v>
      </c>
      <c r="H207" s="5">
        <v>0</v>
      </c>
    </row>
    <row r="208" spans="1:8" x14ac:dyDescent="0.35">
      <c r="A208" s="2" t="s">
        <v>446</v>
      </c>
      <c r="B208" s="2" t="s">
        <v>510</v>
      </c>
      <c r="C208" s="2" t="s">
        <v>450</v>
      </c>
      <c r="D208" s="2" t="s">
        <v>451</v>
      </c>
      <c r="E208" s="2" t="s">
        <v>452</v>
      </c>
      <c r="F208" s="3">
        <v>87.5</v>
      </c>
      <c r="G208" s="4">
        <v>1</v>
      </c>
      <c r="H208" s="5">
        <v>0</v>
      </c>
    </row>
    <row r="209" spans="1:8" x14ac:dyDescent="0.35">
      <c r="A209" s="2" t="s">
        <v>446</v>
      </c>
      <c r="B209" s="2" t="s">
        <v>510</v>
      </c>
      <c r="C209" s="2" t="s">
        <v>453</v>
      </c>
      <c r="D209" s="2" t="s">
        <v>454</v>
      </c>
      <c r="E209" s="2" t="s">
        <v>59</v>
      </c>
      <c r="F209" s="3">
        <v>500</v>
      </c>
      <c r="G209" s="4">
        <v>12</v>
      </c>
      <c r="H209" s="5">
        <v>0</v>
      </c>
    </row>
    <row r="210" spans="1:8" x14ac:dyDescent="0.35">
      <c r="A210" s="2" t="s">
        <v>446</v>
      </c>
      <c r="B210" s="2" t="s">
        <v>510</v>
      </c>
      <c r="C210" s="2" t="s">
        <v>455</v>
      </c>
      <c r="D210" s="2" t="s">
        <v>456</v>
      </c>
      <c r="E210" s="2" t="s">
        <v>35</v>
      </c>
      <c r="F210" s="3">
        <v>1187.5</v>
      </c>
      <c r="G210" s="4">
        <v>18</v>
      </c>
      <c r="H210" s="5">
        <v>0</v>
      </c>
    </row>
    <row r="211" spans="1:8" x14ac:dyDescent="0.35">
      <c r="A211" s="2" t="s">
        <v>446</v>
      </c>
      <c r="B211" s="2" t="s">
        <v>510</v>
      </c>
      <c r="C211" s="2" t="s">
        <v>457</v>
      </c>
      <c r="D211" s="2" t="s">
        <v>458</v>
      </c>
      <c r="E211" s="2" t="s">
        <v>303</v>
      </c>
      <c r="F211" s="3">
        <v>137.5</v>
      </c>
      <c r="G211" s="4">
        <v>12</v>
      </c>
      <c r="H211" s="5">
        <v>0</v>
      </c>
    </row>
    <row r="212" spans="1:8" x14ac:dyDescent="0.35">
      <c r="A212" s="2" t="s">
        <v>446</v>
      </c>
      <c r="B212" s="2" t="s">
        <v>510</v>
      </c>
      <c r="C212" s="2" t="s">
        <v>459</v>
      </c>
      <c r="D212" s="2" t="s">
        <v>460</v>
      </c>
      <c r="E212" s="2" t="s">
        <v>461</v>
      </c>
      <c r="F212" s="3">
        <v>625</v>
      </c>
      <c r="G212" s="4">
        <v>24</v>
      </c>
      <c r="H212" s="5">
        <v>0</v>
      </c>
    </row>
    <row r="213" spans="1:8" x14ac:dyDescent="0.35">
      <c r="A213" s="2" t="s">
        <v>446</v>
      </c>
      <c r="B213" s="2" t="s">
        <v>510</v>
      </c>
      <c r="C213" s="2" t="s">
        <v>453</v>
      </c>
      <c r="D213" s="2" t="s">
        <v>454</v>
      </c>
      <c r="E213" s="2" t="s">
        <v>59</v>
      </c>
      <c r="F213" s="3">
        <v>500</v>
      </c>
      <c r="G213" s="4">
        <v>12</v>
      </c>
      <c r="H213" s="5">
        <v>0</v>
      </c>
    </row>
    <row r="214" spans="1:8" x14ac:dyDescent="0.35">
      <c r="A214" s="2" t="s">
        <v>446</v>
      </c>
      <c r="B214" s="2" t="s">
        <v>510</v>
      </c>
      <c r="C214" s="2" t="s">
        <v>462</v>
      </c>
      <c r="D214" s="2" t="s">
        <v>463</v>
      </c>
      <c r="E214" s="2" t="s">
        <v>315</v>
      </c>
      <c r="F214" s="3">
        <v>187.5</v>
      </c>
      <c r="G214" s="4">
        <v>24</v>
      </c>
      <c r="H214" s="5">
        <v>0</v>
      </c>
    </row>
    <row r="215" spans="1:8" x14ac:dyDescent="0.35">
      <c r="A215" s="2" t="s">
        <v>446</v>
      </c>
      <c r="B215" s="2" t="s">
        <v>510</v>
      </c>
      <c r="C215" s="2" t="s">
        <v>464</v>
      </c>
      <c r="D215" s="2" t="s">
        <v>465</v>
      </c>
      <c r="E215" s="6" t="s">
        <v>180</v>
      </c>
      <c r="F215" s="3">
        <v>625</v>
      </c>
      <c r="G215" s="4">
        <v>21</v>
      </c>
      <c r="H215" s="5">
        <v>0</v>
      </c>
    </row>
    <row r="216" spans="1:8" x14ac:dyDescent="0.35">
      <c r="A216" s="2" t="s">
        <v>446</v>
      </c>
      <c r="B216" s="2" t="s">
        <v>510</v>
      </c>
      <c r="C216" s="2" t="s">
        <v>466</v>
      </c>
      <c r="D216" s="2" t="s">
        <v>467</v>
      </c>
      <c r="E216" s="2" t="s">
        <v>104</v>
      </c>
      <c r="F216" s="3">
        <v>62.5</v>
      </c>
      <c r="G216" s="4">
        <v>12</v>
      </c>
      <c r="H216" s="5">
        <v>0</v>
      </c>
    </row>
    <row r="217" spans="1:8" x14ac:dyDescent="0.35">
      <c r="A217" s="2" t="s">
        <v>446</v>
      </c>
      <c r="B217" s="2" t="s">
        <v>510</v>
      </c>
      <c r="C217" s="2" t="s">
        <v>468</v>
      </c>
      <c r="D217" s="2" t="s">
        <v>469</v>
      </c>
      <c r="E217" s="2" t="s">
        <v>470</v>
      </c>
      <c r="F217" s="3">
        <v>312.5</v>
      </c>
      <c r="G217" s="4">
        <v>12</v>
      </c>
      <c r="H217" s="5">
        <v>0</v>
      </c>
    </row>
    <row r="218" spans="1:8" x14ac:dyDescent="0.35">
      <c r="A218" s="2" t="s">
        <v>446</v>
      </c>
      <c r="B218" s="2" t="s">
        <v>510</v>
      </c>
      <c r="C218" s="2" t="s">
        <v>471</v>
      </c>
      <c r="D218" s="2" t="s">
        <v>472</v>
      </c>
      <c r="E218" s="2" t="s">
        <v>473</v>
      </c>
      <c r="F218" s="3">
        <v>1125</v>
      </c>
      <c r="G218" s="4">
        <v>24</v>
      </c>
      <c r="H218" s="5">
        <v>0</v>
      </c>
    </row>
    <row r="219" spans="1:8" x14ac:dyDescent="0.35">
      <c r="A219" s="2" t="s">
        <v>446</v>
      </c>
      <c r="B219" s="2" t="s">
        <v>510</v>
      </c>
      <c r="C219" s="2" t="s">
        <v>474</v>
      </c>
      <c r="D219" s="2" t="s">
        <v>475</v>
      </c>
      <c r="E219" s="2" t="s">
        <v>193</v>
      </c>
      <c r="F219" s="3">
        <v>437.5</v>
      </c>
      <c r="G219" s="4">
        <v>24</v>
      </c>
      <c r="H219" s="5">
        <v>0</v>
      </c>
    </row>
    <row r="220" spans="1:8" x14ac:dyDescent="0.35">
      <c r="A220" s="2" t="s">
        <v>446</v>
      </c>
      <c r="B220" s="2" t="s">
        <v>510</v>
      </c>
      <c r="C220" s="2" t="s">
        <v>462</v>
      </c>
      <c r="D220" s="2" t="s">
        <v>463</v>
      </c>
      <c r="E220" s="2" t="s">
        <v>315</v>
      </c>
      <c r="F220" s="3">
        <v>187.5</v>
      </c>
      <c r="G220" s="4">
        <v>24</v>
      </c>
      <c r="H220" s="5">
        <v>0</v>
      </c>
    </row>
    <row r="221" spans="1:8" x14ac:dyDescent="0.35">
      <c r="A221" s="2" t="s">
        <v>446</v>
      </c>
      <c r="B221" s="2" t="s">
        <v>510</v>
      </c>
      <c r="C221" s="2" t="s">
        <v>476</v>
      </c>
      <c r="D221" s="2" t="s">
        <v>477</v>
      </c>
      <c r="E221" s="2" t="s">
        <v>92</v>
      </c>
      <c r="F221" s="3">
        <v>1187.5</v>
      </c>
      <c r="G221" s="4">
        <v>24</v>
      </c>
      <c r="H221" s="5">
        <v>0</v>
      </c>
    </row>
    <row r="222" spans="1:8" x14ac:dyDescent="0.35">
      <c r="A222" s="2" t="s">
        <v>446</v>
      </c>
      <c r="B222" s="2" t="s">
        <v>510</v>
      </c>
      <c r="C222" s="2" t="s">
        <v>478</v>
      </c>
      <c r="D222" s="2" t="s">
        <v>479</v>
      </c>
      <c r="E222" s="2" t="s">
        <v>191</v>
      </c>
      <c r="F222" s="3">
        <v>8750</v>
      </c>
      <c r="G222" s="4">
        <v>36</v>
      </c>
      <c r="H222" s="5">
        <v>0</v>
      </c>
    </row>
    <row r="223" spans="1:8" x14ac:dyDescent="0.35">
      <c r="A223" s="2" t="s">
        <v>446</v>
      </c>
      <c r="B223" s="2" t="s">
        <v>510</v>
      </c>
      <c r="C223" s="2" t="s">
        <v>480</v>
      </c>
      <c r="D223" s="2" t="s">
        <v>481</v>
      </c>
      <c r="E223" s="2" t="s">
        <v>71</v>
      </c>
      <c r="F223" s="3">
        <v>562.5</v>
      </c>
      <c r="G223" s="4">
        <v>24</v>
      </c>
      <c r="H223" s="5">
        <v>0</v>
      </c>
    </row>
    <row r="224" spans="1:8" x14ac:dyDescent="0.35">
      <c r="A224" s="2" t="s">
        <v>446</v>
      </c>
      <c r="B224" s="2" t="s">
        <v>510</v>
      </c>
      <c r="C224" s="2" t="s">
        <v>482</v>
      </c>
      <c r="D224" s="2" t="s">
        <v>483</v>
      </c>
      <c r="E224" s="2" t="s">
        <v>322</v>
      </c>
      <c r="F224" s="3">
        <v>62.5</v>
      </c>
      <c r="G224" s="4">
        <v>12</v>
      </c>
      <c r="H224" s="5">
        <v>0</v>
      </c>
    </row>
    <row r="225" spans="1:8" x14ac:dyDescent="0.35">
      <c r="A225" s="2" t="s">
        <v>446</v>
      </c>
      <c r="B225" s="2" t="s">
        <v>510</v>
      </c>
      <c r="C225" s="2" t="s">
        <v>464</v>
      </c>
      <c r="D225" s="2" t="s">
        <v>465</v>
      </c>
      <c r="E225" s="6" t="s">
        <v>180</v>
      </c>
      <c r="F225" s="3">
        <v>625</v>
      </c>
      <c r="G225" s="4">
        <v>21</v>
      </c>
      <c r="H225" s="5">
        <v>0</v>
      </c>
    </row>
    <row r="226" spans="1:8" x14ac:dyDescent="0.35">
      <c r="A226" s="2" t="s">
        <v>446</v>
      </c>
      <c r="B226" s="2" t="s">
        <v>510</v>
      </c>
      <c r="C226" s="2" t="s">
        <v>476</v>
      </c>
      <c r="D226" s="2" t="s">
        <v>477</v>
      </c>
      <c r="E226" s="2" t="s">
        <v>92</v>
      </c>
      <c r="F226" s="3">
        <v>1187.5</v>
      </c>
      <c r="G226" s="4">
        <v>24</v>
      </c>
      <c r="H226" s="5">
        <v>0</v>
      </c>
    </row>
    <row r="227" spans="1:8" x14ac:dyDescent="0.35">
      <c r="A227" s="2" t="s">
        <v>446</v>
      </c>
      <c r="B227" s="2" t="s">
        <v>510</v>
      </c>
      <c r="C227" s="2" t="s">
        <v>484</v>
      </c>
      <c r="D227" s="2" t="s">
        <v>485</v>
      </c>
      <c r="E227" s="2" t="s">
        <v>486</v>
      </c>
      <c r="F227" s="3">
        <v>937.5</v>
      </c>
      <c r="G227" s="4">
        <v>24</v>
      </c>
      <c r="H227" s="5">
        <v>0</v>
      </c>
    </row>
    <row r="228" spans="1:8" x14ac:dyDescent="0.35">
      <c r="A228" s="2" t="s">
        <v>446</v>
      </c>
      <c r="B228" s="2" t="s">
        <v>510</v>
      </c>
      <c r="C228" s="2" t="s">
        <v>478</v>
      </c>
      <c r="D228" s="2" t="s">
        <v>479</v>
      </c>
      <c r="E228" s="2" t="s">
        <v>191</v>
      </c>
      <c r="F228" s="3">
        <v>8750</v>
      </c>
      <c r="G228" s="4">
        <v>36</v>
      </c>
      <c r="H228" s="5">
        <v>0</v>
      </c>
    </row>
    <row r="229" spans="1:8" x14ac:dyDescent="0.35">
      <c r="A229" s="2" t="s">
        <v>446</v>
      </c>
      <c r="B229" s="2" t="s">
        <v>510</v>
      </c>
      <c r="C229" s="2" t="s">
        <v>487</v>
      </c>
      <c r="D229" s="2" t="s">
        <v>488</v>
      </c>
      <c r="E229" s="2" t="s">
        <v>489</v>
      </c>
      <c r="F229" s="3">
        <v>4375</v>
      </c>
      <c r="G229" s="4">
        <v>24</v>
      </c>
      <c r="H229" s="5">
        <v>0</v>
      </c>
    </row>
    <row r="230" spans="1:8" x14ac:dyDescent="0.35">
      <c r="A230" s="2" t="s">
        <v>446</v>
      </c>
      <c r="B230" s="2" t="s">
        <v>510</v>
      </c>
      <c r="C230" s="2" t="s">
        <v>490</v>
      </c>
      <c r="D230" s="2" t="s">
        <v>491</v>
      </c>
      <c r="E230" s="2" t="s">
        <v>226</v>
      </c>
      <c r="F230" s="3">
        <v>5625</v>
      </c>
      <c r="G230" s="4">
        <v>24</v>
      </c>
      <c r="H230" s="5">
        <v>0</v>
      </c>
    </row>
    <row r="231" spans="1:8" x14ac:dyDescent="0.35">
      <c r="A231" s="2" t="s">
        <v>446</v>
      </c>
      <c r="B231" s="2" t="s">
        <v>510</v>
      </c>
      <c r="C231" s="2" t="s">
        <v>492</v>
      </c>
      <c r="D231" s="2" t="s">
        <v>493</v>
      </c>
      <c r="E231" s="2" t="s">
        <v>45</v>
      </c>
      <c r="F231" s="3">
        <v>4375</v>
      </c>
      <c r="G231" s="4">
        <v>24</v>
      </c>
      <c r="H231" s="5">
        <v>0</v>
      </c>
    </row>
    <row r="232" spans="1:8" x14ac:dyDescent="0.35">
      <c r="A232" s="2" t="s">
        <v>446</v>
      </c>
      <c r="B232" s="2" t="s">
        <v>510</v>
      </c>
      <c r="C232" s="2" t="s">
        <v>494</v>
      </c>
      <c r="D232" s="2" t="s">
        <v>495</v>
      </c>
      <c r="E232" s="2" t="s">
        <v>271</v>
      </c>
      <c r="F232" s="3">
        <v>181250</v>
      </c>
      <c r="G232" s="4">
        <v>36</v>
      </c>
      <c r="H232" s="5">
        <v>0</v>
      </c>
    </row>
    <row r="233" spans="1:8" x14ac:dyDescent="0.35">
      <c r="A233" s="2" t="s">
        <v>446</v>
      </c>
      <c r="B233" s="2" t="s">
        <v>510</v>
      </c>
      <c r="C233" s="2" t="s">
        <v>490</v>
      </c>
      <c r="D233" s="2" t="s">
        <v>491</v>
      </c>
      <c r="E233" s="2" t="s">
        <v>226</v>
      </c>
      <c r="F233" s="3">
        <v>5625</v>
      </c>
      <c r="G233" s="4">
        <v>24</v>
      </c>
      <c r="H233" s="5">
        <v>0</v>
      </c>
    </row>
    <row r="234" spans="1:8" x14ac:dyDescent="0.35">
      <c r="A234" s="2" t="s">
        <v>446</v>
      </c>
      <c r="B234" s="2" t="s">
        <v>510</v>
      </c>
      <c r="C234" s="2" t="s">
        <v>494</v>
      </c>
      <c r="D234" s="2" t="s">
        <v>495</v>
      </c>
      <c r="E234" s="2" t="s">
        <v>271</v>
      </c>
      <c r="F234" s="3">
        <v>181250</v>
      </c>
      <c r="G234" s="4">
        <v>36</v>
      </c>
      <c r="H234" s="5">
        <v>0</v>
      </c>
    </row>
    <row r="235" spans="1:8" x14ac:dyDescent="0.35">
      <c r="A235" s="2" t="s">
        <v>446</v>
      </c>
      <c r="B235" s="2" t="s">
        <v>510</v>
      </c>
      <c r="C235" s="2" t="s">
        <v>496</v>
      </c>
      <c r="D235" s="2" t="s">
        <v>497</v>
      </c>
      <c r="E235" s="2" t="s">
        <v>258</v>
      </c>
      <c r="F235" s="3">
        <v>3125</v>
      </c>
      <c r="G235" s="4">
        <v>1</v>
      </c>
      <c r="H235" s="5">
        <v>0</v>
      </c>
    </row>
    <row r="236" spans="1:8" x14ac:dyDescent="0.35">
      <c r="A236" s="2" t="s">
        <v>446</v>
      </c>
      <c r="B236" s="2" t="s">
        <v>510</v>
      </c>
      <c r="C236" s="2" t="s">
        <v>492</v>
      </c>
      <c r="D236" s="2" t="s">
        <v>493</v>
      </c>
      <c r="E236" s="2" t="s">
        <v>45</v>
      </c>
      <c r="F236" s="3">
        <v>4375</v>
      </c>
      <c r="G236" s="4">
        <v>24</v>
      </c>
      <c r="H236" s="5">
        <v>0</v>
      </c>
    </row>
    <row r="237" spans="1:8" x14ac:dyDescent="0.35">
      <c r="A237" s="2" t="s">
        <v>446</v>
      </c>
      <c r="B237" s="2" t="s">
        <v>510</v>
      </c>
      <c r="C237" s="2" t="s">
        <v>498</v>
      </c>
      <c r="D237" s="2" t="s">
        <v>499</v>
      </c>
      <c r="E237" s="6" t="s">
        <v>147</v>
      </c>
      <c r="F237" s="3">
        <v>2375</v>
      </c>
      <c r="G237" s="4">
        <v>36</v>
      </c>
      <c r="H237" s="5">
        <v>0</v>
      </c>
    </row>
    <row r="238" spans="1:8" x14ac:dyDescent="0.35">
      <c r="A238" s="2" t="s">
        <v>446</v>
      </c>
      <c r="B238" s="2" t="s">
        <v>510</v>
      </c>
      <c r="C238" s="2" t="s">
        <v>498</v>
      </c>
      <c r="D238" s="2" t="s">
        <v>499</v>
      </c>
      <c r="E238" s="6" t="s">
        <v>147</v>
      </c>
      <c r="F238" s="3">
        <v>2375</v>
      </c>
      <c r="G238" s="4">
        <v>36</v>
      </c>
      <c r="H238" s="5">
        <v>0</v>
      </c>
    </row>
    <row r="239" spans="1:8" x14ac:dyDescent="0.35">
      <c r="A239" s="2" t="s">
        <v>446</v>
      </c>
      <c r="B239" s="2" t="s">
        <v>510</v>
      </c>
      <c r="C239" s="2" t="s">
        <v>492</v>
      </c>
      <c r="D239" s="2" t="s">
        <v>493</v>
      </c>
      <c r="E239" s="2" t="s">
        <v>45</v>
      </c>
      <c r="F239" s="3">
        <v>4375</v>
      </c>
      <c r="G239" s="4">
        <v>24</v>
      </c>
      <c r="H239" s="5">
        <v>0</v>
      </c>
    </row>
    <row r="240" spans="1:8" x14ac:dyDescent="0.35">
      <c r="A240" s="2" t="s">
        <v>446</v>
      </c>
      <c r="B240" s="2" t="s">
        <v>510</v>
      </c>
      <c r="C240" s="2" t="s">
        <v>500</v>
      </c>
      <c r="D240" s="2" t="s">
        <v>501</v>
      </c>
      <c r="E240" s="2" t="s">
        <v>46</v>
      </c>
      <c r="F240" s="3">
        <v>4375</v>
      </c>
      <c r="G240" s="4">
        <v>24</v>
      </c>
      <c r="H240" s="5">
        <v>0</v>
      </c>
    </row>
    <row r="241" spans="1:8" x14ac:dyDescent="0.35">
      <c r="A241" s="2" t="s">
        <v>446</v>
      </c>
      <c r="B241" s="2" t="s">
        <v>510</v>
      </c>
      <c r="C241" s="2" t="s">
        <v>502</v>
      </c>
      <c r="D241" s="2" t="s">
        <v>503</v>
      </c>
      <c r="E241" s="2" t="s">
        <v>504</v>
      </c>
      <c r="F241" s="3">
        <v>7500</v>
      </c>
      <c r="G241" s="4">
        <v>24</v>
      </c>
      <c r="H241" s="5">
        <v>0</v>
      </c>
    </row>
    <row r="242" spans="1:8" x14ac:dyDescent="0.35">
      <c r="A242" s="2" t="s">
        <v>446</v>
      </c>
      <c r="B242" s="2" t="s">
        <v>510</v>
      </c>
      <c r="C242" s="2" t="s">
        <v>505</v>
      </c>
      <c r="D242" s="2" t="s">
        <v>506</v>
      </c>
      <c r="E242" s="2" t="s">
        <v>507</v>
      </c>
      <c r="F242" s="3">
        <v>8625</v>
      </c>
      <c r="G242" s="4">
        <v>24</v>
      </c>
      <c r="H242" s="5">
        <v>0</v>
      </c>
    </row>
    <row r="243" spans="1:8" x14ac:dyDescent="0.35">
      <c r="A243" s="2" t="s">
        <v>511</v>
      </c>
      <c r="B243" s="2" t="s">
        <v>291</v>
      </c>
      <c r="C243" s="2" t="s">
        <v>512</v>
      </c>
      <c r="D243" s="2" t="s">
        <v>451</v>
      </c>
      <c r="E243" s="2" t="s">
        <v>452</v>
      </c>
      <c r="F243" s="3">
        <v>97.5</v>
      </c>
      <c r="G243" s="4">
        <v>1</v>
      </c>
      <c r="H243" s="5">
        <v>0</v>
      </c>
    </row>
    <row r="244" spans="1:8" x14ac:dyDescent="0.35">
      <c r="A244" s="2" t="s">
        <v>511</v>
      </c>
      <c r="B244" s="2" t="s">
        <v>291</v>
      </c>
      <c r="C244" s="2" t="s">
        <v>513</v>
      </c>
      <c r="D244" s="2" t="s">
        <v>514</v>
      </c>
      <c r="E244" s="2" t="s">
        <v>271</v>
      </c>
      <c r="F244" s="3">
        <v>41990</v>
      </c>
      <c r="G244" s="4">
        <v>60</v>
      </c>
      <c r="H244" s="5">
        <v>1.2500000000000001E-2</v>
      </c>
    </row>
    <row r="245" spans="1:8" x14ac:dyDescent="0.35">
      <c r="A245" s="2" t="s">
        <v>511</v>
      </c>
      <c r="B245" s="2" t="s">
        <v>291</v>
      </c>
      <c r="C245" s="2" t="s">
        <v>515</v>
      </c>
      <c r="D245" s="2" t="s">
        <v>516</v>
      </c>
      <c r="E245" s="2" t="s">
        <v>69</v>
      </c>
      <c r="F245" s="3">
        <v>0</v>
      </c>
      <c r="G245" s="4">
        <v>36</v>
      </c>
      <c r="H245" s="5">
        <v>0</v>
      </c>
    </row>
    <row r="246" spans="1:8" x14ac:dyDescent="0.35">
      <c r="A246" s="2" t="s">
        <v>511</v>
      </c>
      <c r="B246" s="2" t="s">
        <v>291</v>
      </c>
      <c r="C246" s="2" t="s">
        <v>500</v>
      </c>
      <c r="D246" s="2" t="s">
        <v>501</v>
      </c>
      <c r="E246" s="2" t="s">
        <v>46</v>
      </c>
      <c r="F246" s="3">
        <v>1300</v>
      </c>
      <c r="G246" s="4">
        <v>60</v>
      </c>
      <c r="H246" s="5">
        <v>7.4999999999999997E-3</v>
      </c>
    </row>
    <row r="247" spans="1:8" x14ac:dyDescent="0.35">
      <c r="A247" s="2" t="s">
        <v>511</v>
      </c>
      <c r="B247" s="2" t="s">
        <v>291</v>
      </c>
      <c r="C247" s="2" t="s">
        <v>498</v>
      </c>
      <c r="D247" s="2" t="s">
        <v>499</v>
      </c>
      <c r="E247" s="6" t="s">
        <v>147</v>
      </c>
      <c r="F247" s="3">
        <v>1800</v>
      </c>
      <c r="G247" s="4">
        <v>60</v>
      </c>
      <c r="H247" s="5">
        <v>7.4999999999999997E-3</v>
      </c>
    </row>
    <row r="248" spans="1:8" x14ac:dyDescent="0.35">
      <c r="A248" s="2" t="s">
        <v>511</v>
      </c>
      <c r="B248" s="2" t="s">
        <v>291</v>
      </c>
      <c r="C248" s="2" t="s">
        <v>517</v>
      </c>
      <c r="D248" s="2" t="s">
        <v>477</v>
      </c>
      <c r="E248" s="2" t="s">
        <v>92</v>
      </c>
      <c r="F248" s="3">
        <v>1240</v>
      </c>
      <c r="G248" s="4">
        <v>60</v>
      </c>
      <c r="H248" s="5">
        <v>0</v>
      </c>
    </row>
    <row r="249" spans="1:8" x14ac:dyDescent="0.35">
      <c r="A249" s="2" t="s">
        <v>511</v>
      </c>
      <c r="B249" s="2" t="s">
        <v>291</v>
      </c>
      <c r="C249" s="2" t="s">
        <v>518</v>
      </c>
      <c r="D249" s="2" t="s">
        <v>519</v>
      </c>
      <c r="E249" s="2" t="s">
        <v>215</v>
      </c>
      <c r="F249" s="3">
        <v>15</v>
      </c>
      <c r="G249" s="4">
        <v>12</v>
      </c>
      <c r="H249" s="5">
        <v>0</v>
      </c>
    </row>
    <row r="250" spans="1:8" x14ac:dyDescent="0.35">
      <c r="A250" s="2" t="s">
        <v>511</v>
      </c>
      <c r="B250" s="2" t="s">
        <v>291</v>
      </c>
      <c r="C250" s="2" t="s">
        <v>520</v>
      </c>
      <c r="D250" s="2" t="s">
        <v>449</v>
      </c>
      <c r="E250" s="2" t="s">
        <v>300</v>
      </c>
      <c r="F250" s="3">
        <v>53</v>
      </c>
      <c r="G250" s="4">
        <v>12</v>
      </c>
      <c r="H250" s="5">
        <v>0</v>
      </c>
    </row>
    <row r="251" spans="1:8" x14ac:dyDescent="0.35">
      <c r="A251" s="2" t="s">
        <v>511</v>
      </c>
      <c r="B251" s="2" t="s">
        <v>291</v>
      </c>
      <c r="C251" s="2" t="s">
        <v>521</v>
      </c>
      <c r="D251" s="2" t="s">
        <v>522</v>
      </c>
      <c r="E251" s="2" t="s">
        <v>59</v>
      </c>
      <c r="F251" s="3">
        <v>150</v>
      </c>
      <c r="G251" s="4">
        <v>12</v>
      </c>
      <c r="H251" s="5">
        <v>0</v>
      </c>
    </row>
    <row r="252" spans="1:8" x14ac:dyDescent="0.35">
      <c r="A252" s="2" t="s">
        <v>511</v>
      </c>
      <c r="B252" s="2" t="s">
        <v>291</v>
      </c>
      <c r="C252" s="2" t="s">
        <v>523</v>
      </c>
      <c r="D252" s="2" t="s">
        <v>524</v>
      </c>
      <c r="E252" s="2" t="s">
        <v>525</v>
      </c>
      <c r="F252" s="3">
        <v>350</v>
      </c>
      <c r="G252" s="4">
        <v>60</v>
      </c>
      <c r="H252" s="5">
        <v>0</v>
      </c>
    </row>
    <row r="253" spans="1:8" x14ac:dyDescent="0.35">
      <c r="A253" s="2" t="s">
        <v>511</v>
      </c>
      <c r="B253" s="2" t="s">
        <v>291</v>
      </c>
      <c r="C253" s="2" t="s">
        <v>526</v>
      </c>
      <c r="D253" s="2" t="s">
        <v>527</v>
      </c>
      <c r="E253" s="2" t="s">
        <v>315</v>
      </c>
      <c r="F253" s="3">
        <v>179.9</v>
      </c>
      <c r="G253" s="4">
        <v>36</v>
      </c>
      <c r="H253" s="5">
        <v>0</v>
      </c>
    </row>
    <row r="254" spans="1:8" x14ac:dyDescent="0.35">
      <c r="A254" s="2" t="s">
        <v>511</v>
      </c>
      <c r="B254" s="2" t="s">
        <v>291</v>
      </c>
      <c r="C254" s="2" t="s">
        <v>528</v>
      </c>
      <c r="D254" s="2" t="s">
        <v>529</v>
      </c>
      <c r="E254" s="2" t="s">
        <v>530</v>
      </c>
      <c r="F254" s="3">
        <v>45</v>
      </c>
      <c r="G254" s="4">
        <v>36</v>
      </c>
      <c r="H254" s="5">
        <v>0</v>
      </c>
    </row>
    <row r="255" spans="1:8" x14ac:dyDescent="0.35">
      <c r="A255" s="2" t="s">
        <v>511</v>
      </c>
      <c r="B255" s="2" t="s">
        <v>291</v>
      </c>
      <c r="C255" s="2" t="s">
        <v>531</v>
      </c>
      <c r="D255" s="2" t="s">
        <v>532</v>
      </c>
      <c r="E255" s="2" t="s">
        <v>443</v>
      </c>
      <c r="F255" s="3">
        <v>0</v>
      </c>
      <c r="G255" s="4">
        <v>12</v>
      </c>
      <c r="H255" s="5">
        <v>0</v>
      </c>
    </row>
    <row r="256" spans="1:8" x14ac:dyDescent="0.35">
      <c r="A256" s="2" t="s">
        <v>511</v>
      </c>
      <c r="B256" s="2" t="s">
        <v>291</v>
      </c>
      <c r="C256" s="2" t="s">
        <v>533</v>
      </c>
      <c r="D256" s="2" t="s">
        <v>534</v>
      </c>
      <c r="E256" s="2" t="s">
        <v>535</v>
      </c>
      <c r="F256" s="3">
        <v>55</v>
      </c>
      <c r="G256" s="4">
        <v>12</v>
      </c>
      <c r="H256" s="5">
        <v>0</v>
      </c>
    </row>
    <row r="257" spans="1:8" x14ac:dyDescent="0.35">
      <c r="A257" s="2" t="s">
        <v>511</v>
      </c>
      <c r="B257" s="2" t="s">
        <v>291</v>
      </c>
      <c r="C257" s="2" t="s">
        <v>536</v>
      </c>
      <c r="D257" s="2" t="s">
        <v>537</v>
      </c>
      <c r="E257" s="2" t="s">
        <v>248</v>
      </c>
      <c r="F257" s="3">
        <v>290</v>
      </c>
      <c r="G257" s="4">
        <v>12</v>
      </c>
      <c r="H257" s="5">
        <v>0</v>
      </c>
    </row>
    <row r="258" spans="1:8" x14ac:dyDescent="0.35">
      <c r="A258" s="2" t="s">
        <v>511</v>
      </c>
      <c r="B258" s="2" t="s">
        <v>291</v>
      </c>
      <c r="C258" s="2" t="s">
        <v>490</v>
      </c>
      <c r="D258" s="2" t="s">
        <v>491</v>
      </c>
      <c r="E258" s="2" t="s">
        <v>226</v>
      </c>
      <c r="F258" s="3">
        <v>2300</v>
      </c>
      <c r="G258" s="4">
        <v>60</v>
      </c>
      <c r="H258" s="5">
        <v>7.4999999999999997E-3</v>
      </c>
    </row>
    <row r="259" spans="1:8" x14ac:dyDescent="0.35">
      <c r="A259" s="2" t="s">
        <v>511</v>
      </c>
      <c r="B259" s="2" t="s">
        <v>291</v>
      </c>
      <c r="C259" s="2" t="s">
        <v>538</v>
      </c>
      <c r="D259" s="2" t="s">
        <v>539</v>
      </c>
      <c r="E259" s="2" t="s">
        <v>303</v>
      </c>
      <c r="F259" s="3">
        <v>65</v>
      </c>
      <c r="G259" s="4">
        <v>12</v>
      </c>
      <c r="H259" s="5">
        <v>0</v>
      </c>
    </row>
    <row r="260" spans="1:8" x14ac:dyDescent="0.35">
      <c r="A260" s="2" t="s">
        <v>511</v>
      </c>
      <c r="B260" s="2" t="s">
        <v>291</v>
      </c>
      <c r="C260" s="2" t="s">
        <v>540</v>
      </c>
      <c r="D260" s="2" t="s">
        <v>483</v>
      </c>
      <c r="E260" s="2" t="s">
        <v>322</v>
      </c>
      <c r="F260" s="3">
        <v>52</v>
      </c>
      <c r="G260" s="4">
        <v>12</v>
      </c>
      <c r="H260" s="5">
        <v>0</v>
      </c>
    </row>
    <row r="261" spans="1:8" x14ac:dyDescent="0.35">
      <c r="A261" s="2" t="s">
        <v>511</v>
      </c>
      <c r="B261" s="2" t="s">
        <v>291</v>
      </c>
      <c r="C261" s="2" t="s">
        <v>541</v>
      </c>
      <c r="D261" s="2" t="s">
        <v>542</v>
      </c>
      <c r="E261" s="2" t="s">
        <v>543</v>
      </c>
      <c r="F261" s="3">
        <v>4990</v>
      </c>
      <c r="G261" s="4">
        <v>60</v>
      </c>
      <c r="H261" s="5">
        <v>7.4999999999999997E-3</v>
      </c>
    </row>
    <row r="262" spans="1:8" x14ac:dyDescent="0.35">
      <c r="A262" s="2" t="s">
        <v>511</v>
      </c>
      <c r="B262" s="2" t="s">
        <v>291</v>
      </c>
      <c r="C262" s="2" t="s">
        <v>544</v>
      </c>
      <c r="D262" s="2" t="s">
        <v>545</v>
      </c>
      <c r="E262" s="2" t="s">
        <v>546</v>
      </c>
      <c r="F262" s="3">
        <v>30</v>
      </c>
      <c r="G262" s="4">
        <v>6</v>
      </c>
      <c r="H262" s="5">
        <v>0</v>
      </c>
    </row>
    <row r="263" spans="1:8" x14ac:dyDescent="0.35">
      <c r="A263" s="2" t="s">
        <v>511</v>
      </c>
      <c r="B263" s="2" t="s">
        <v>291</v>
      </c>
      <c r="C263" s="2" t="s">
        <v>547</v>
      </c>
      <c r="D263" s="2" t="s">
        <v>469</v>
      </c>
      <c r="E263" s="2" t="s">
        <v>470</v>
      </c>
      <c r="F263" s="3">
        <v>300</v>
      </c>
      <c r="G263" s="4">
        <v>12</v>
      </c>
      <c r="H263" s="5">
        <v>0</v>
      </c>
    </row>
    <row r="264" spans="1:8" x14ac:dyDescent="0.35">
      <c r="A264" s="2" t="s">
        <v>511</v>
      </c>
      <c r="B264" s="2" t="s">
        <v>291</v>
      </c>
      <c r="C264" s="2" t="s">
        <v>548</v>
      </c>
      <c r="D264" s="2" t="s">
        <v>465</v>
      </c>
      <c r="E264" s="6" t="s">
        <v>180</v>
      </c>
      <c r="F264" s="3">
        <v>350</v>
      </c>
      <c r="G264" s="4">
        <v>12</v>
      </c>
      <c r="H264" s="5">
        <v>0</v>
      </c>
    </row>
    <row r="265" spans="1:8" x14ac:dyDescent="0.35">
      <c r="A265" s="2" t="s">
        <v>511</v>
      </c>
      <c r="B265" s="2" t="s">
        <v>291</v>
      </c>
      <c r="C265" s="2" t="s">
        <v>549</v>
      </c>
      <c r="D265" s="2" t="s">
        <v>550</v>
      </c>
      <c r="E265" s="2" t="s">
        <v>82</v>
      </c>
      <c r="F265" s="3">
        <v>1990</v>
      </c>
      <c r="G265" s="4">
        <v>36</v>
      </c>
      <c r="H265" s="5">
        <v>0</v>
      </c>
    </row>
    <row r="266" spans="1:8" x14ac:dyDescent="0.35">
      <c r="A266" s="2" t="s">
        <v>511</v>
      </c>
      <c r="B266" s="2" t="s">
        <v>291</v>
      </c>
      <c r="C266" s="2" t="s">
        <v>549</v>
      </c>
      <c r="D266" s="2" t="s">
        <v>550</v>
      </c>
      <c r="E266" s="2" t="s">
        <v>82</v>
      </c>
      <c r="F266" s="3">
        <v>350</v>
      </c>
      <c r="G266" s="4">
        <v>60</v>
      </c>
      <c r="H266" s="5">
        <v>0</v>
      </c>
    </row>
    <row r="267" spans="1:8" x14ac:dyDescent="0.35">
      <c r="A267" s="2" t="s">
        <v>511</v>
      </c>
      <c r="B267" s="2" t="s">
        <v>291</v>
      </c>
      <c r="C267" s="2" t="s">
        <v>551</v>
      </c>
      <c r="D267" s="2" t="s">
        <v>552</v>
      </c>
      <c r="E267" s="2" t="s">
        <v>71</v>
      </c>
      <c r="F267" s="3">
        <v>332.5</v>
      </c>
      <c r="G267" s="4">
        <v>60</v>
      </c>
      <c r="H267" s="5">
        <v>0</v>
      </c>
    </row>
    <row r="268" spans="1:8" x14ac:dyDescent="0.35">
      <c r="A268" s="2" t="s">
        <v>511</v>
      </c>
      <c r="B268" s="2" t="s">
        <v>291</v>
      </c>
      <c r="C268" s="2" t="s">
        <v>553</v>
      </c>
      <c r="D268" s="2" t="s">
        <v>554</v>
      </c>
      <c r="E268" s="2" t="s">
        <v>322</v>
      </c>
      <c r="F268" s="3">
        <v>36.880000000000003</v>
      </c>
      <c r="G268" s="4">
        <v>36</v>
      </c>
      <c r="H268" s="5">
        <v>0</v>
      </c>
    </row>
    <row r="269" spans="1:8" x14ac:dyDescent="0.35">
      <c r="A269" s="2" t="s">
        <v>511</v>
      </c>
      <c r="B269" s="2" t="s">
        <v>291</v>
      </c>
      <c r="C269" s="2" t="s">
        <v>555</v>
      </c>
      <c r="D269" s="2" t="s">
        <v>475</v>
      </c>
      <c r="E269" s="2" t="s">
        <v>193</v>
      </c>
      <c r="F269" s="3">
        <v>300</v>
      </c>
      <c r="G269" s="4">
        <v>60</v>
      </c>
      <c r="H269" s="5">
        <v>0</v>
      </c>
    </row>
    <row r="270" spans="1:8" x14ac:dyDescent="0.35">
      <c r="A270" s="2" t="s">
        <v>511</v>
      </c>
      <c r="B270" s="2" t="s">
        <v>291</v>
      </c>
      <c r="C270" s="2" t="s">
        <v>556</v>
      </c>
      <c r="D270" s="2" t="s">
        <v>557</v>
      </c>
      <c r="E270" s="2" t="s">
        <v>424</v>
      </c>
      <c r="F270" s="3">
        <v>1225.49</v>
      </c>
      <c r="G270" s="4">
        <v>36</v>
      </c>
      <c r="H270" s="5">
        <v>0</v>
      </c>
    </row>
    <row r="271" spans="1:8" x14ac:dyDescent="0.35">
      <c r="A271" s="2" t="s">
        <v>511</v>
      </c>
      <c r="B271" s="2" t="s">
        <v>291</v>
      </c>
      <c r="C271" s="2" t="s">
        <v>558</v>
      </c>
      <c r="D271" s="2" t="s">
        <v>341</v>
      </c>
      <c r="E271" s="2" t="s">
        <v>102</v>
      </c>
      <c r="F271" s="3">
        <v>881</v>
      </c>
      <c r="G271" s="4">
        <v>2</v>
      </c>
      <c r="H271" s="5">
        <v>0</v>
      </c>
    </row>
    <row r="272" spans="1:8" x14ac:dyDescent="0.35">
      <c r="A272" s="2" t="s">
        <v>511</v>
      </c>
      <c r="B272" s="2" t="s">
        <v>291</v>
      </c>
      <c r="C272" s="2" t="s">
        <v>559</v>
      </c>
      <c r="D272" s="2" t="s">
        <v>560</v>
      </c>
      <c r="E272" s="2" t="s">
        <v>561</v>
      </c>
      <c r="F272" s="3">
        <v>915</v>
      </c>
      <c r="G272" s="4">
        <v>60</v>
      </c>
      <c r="H272" s="5">
        <v>7.4999999999999997E-3</v>
      </c>
    </row>
    <row r="273" spans="1:8" x14ac:dyDescent="0.35">
      <c r="A273" s="2" t="s">
        <v>511</v>
      </c>
      <c r="B273" s="2" t="s">
        <v>291</v>
      </c>
      <c r="C273" s="2" t="s">
        <v>562</v>
      </c>
      <c r="D273" s="2" t="s">
        <v>563</v>
      </c>
      <c r="E273" s="2" t="s">
        <v>564</v>
      </c>
      <c r="F273" s="3">
        <v>33.520000000000003</v>
      </c>
      <c r="G273" s="4">
        <v>12</v>
      </c>
      <c r="H273" s="5">
        <v>0</v>
      </c>
    </row>
    <row r="274" spans="1:8" x14ac:dyDescent="0.35">
      <c r="A274" s="2" t="s">
        <v>511</v>
      </c>
      <c r="B274" s="2" t="s">
        <v>291</v>
      </c>
      <c r="C274" s="2" t="s">
        <v>565</v>
      </c>
      <c r="D274" s="2" t="s">
        <v>566</v>
      </c>
      <c r="E274" s="2" t="s">
        <v>567</v>
      </c>
      <c r="F274" s="3">
        <v>24.49</v>
      </c>
      <c r="G274" s="4">
        <v>1</v>
      </c>
      <c r="H274" s="5">
        <v>0</v>
      </c>
    </row>
    <row r="275" spans="1:8" x14ac:dyDescent="0.35">
      <c r="A275" s="2" t="s">
        <v>511</v>
      </c>
      <c r="B275" s="2" t="s">
        <v>291</v>
      </c>
      <c r="C275" s="2" t="s">
        <v>568</v>
      </c>
      <c r="D275" s="2" t="s">
        <v>569</v>
      </c>
      <c r="E275" s="2" t="s">
        <v>570</v>
      </c>
      <c r="F275" s="3">
        <v>24.49</v>
      </c>
      <c r="G275" s="4">
        <v>1</v>
      </c>
      <c r="H275" s="5">
        <v>0</v>
      </c>
    </row>
    <row r="276" spans="1:8" x14ac:dyDescent="0.35">
      <c r="A276" s="2" t="s">
        <v>511</v>
      </c>
      <c r="B276" s="2" t="s">
        <v>291</v>
      </c>
      <c r="C276" s="2" t="s">
        <v>571</v>
      </c>
      <c r="D276" s="2" t="s">
        <v>572</v>
      </c>
      <c r="E276" s="2" t="s">
        <v>24</v>
      </c>
      <c r="F276" s="3">
        <v>338.46</v>
      </c>
      <c r="G276" s="4">
        <v>36</v>
      </c>
      <c r="H276" s="5">
        <v>0</v>
      </c>
    </row>
    <row r="277" spans="1:8" x14ac:dyDescent="0.35">
      <c r="A277" s="2" t="s">
        <v>511</v>
      </c>
      <c r="B277" s="2" t="s">
        <v>291</v>
      </c>
      <c r="C277" s="2" t="s">
        <v>571</v>
      </c>
      <c r="D277" s="2" t="s">
        <v>572</v>
      </c>
      <c r="E277" s="2" t="s">
        <v>24</v>
      </c>
      <c r="F277" s="3">
        <v>338.46</v>
      </c>
      <c r="G277" s="4">
        <v>36</v>
      </c>
      <c r="H277" s="5">
        <v>0</v>
      </c>
    </row>
    <row r="278" spans="1:8" x14ac:dyDescent="0.35">
      <c r="A278" s="2" t="s">
        <v>511</v>
      </c>
      <c r="B278" s="2" t="s">
        <v>573</v>
      </c>
      <c r="C278" s="2" t="s">
        <v>512</v>
      </c>
      <c r="D278" s="2" t="s">
        <v>451</v>
      </c>
      <c r="E278" s="2" t="s">
        <v>452</v>
      </c>
      <c r="F278" s="3">
        <v>52</v>
      </c>
      <c r="G278" s="4">
        <v>1</v>
      </c>
      <c r="H278" s="5">
        <v>0</v>
      </c>
    </row>
    <row r="279" spans="1:8" x14ac:dyDescent="0.35">
      <c r="A279" s="2" t="s">
        <v>511</v>
      </c>
      <c r="B279" s="2" t="s">
        <v>573</v>
      </c>
      <c r="C279" s="2" t="s">
        <v>513</v>
      </c>
      <c r="D279" s="2" t="s">
        <v>514</v>
      </c>
      <c r="E279" s="2" t="s">
        <v>271</v>
      </c>
      <c r="F279" s="3">
        <v>69955</v>
      </c>
      <c r="G279" s="4">
        <v>60</v>
      </c>
      <c r="H279" s="5">
        <v>7.4999999999999997E-3</v>
      </c>
    </row>
    <row r="280" spans="1:8" x14ac:dyDescent="0.35">
      <c r="A280" s="2" t="s">
        <v>511</v>
      </c>
      <c r="B280" s="2" t="s">
        <v>573</v>
      </c>
      <c r="C280" s="2" t="s">
        <v>515</v>
      </c>
      <c r="D280" s="2" t="s">
        <v>516</v>
      </c>
      <c r="E280" s="2" t="s">
        <v>69</v>
      </c>
      <c r="F280" s="3">
        <v>1190</v>
      </c>
      <c r="G280" s="4">
        <v>60</v>
      </c>
      <c r="H280" s="5">
        <v>0</v>
      </c>
    </row>
    <row r="281" spans="1:8" x14ac:dyDescent="0.35">
      <c r="A281" s="2" t="s">
        <v>511</v>
      </c>
      <c r="B281" s="2" t="s">
        <v>573</v>
      </c>
      <c r="C281" s="2" t="s">
        <v>500</v>
      </c>
      <c r="D281" s="2" t="s">
        <v>501</v>
      </c>
      <c r="E281" s="2" t="s">
        <v>46</v>
      </c>
      <c r="F281" s="3">
        <v>1145</v>
      </c>
      <c r="G281" s="4">
        <v>60</v>
      </c>
      <c r="H281" s="5">
        <v>7.4999999999999997E-3</v>
      </c>
    </row>
    <row r="282" spans="1:8" x14ac:dyDescent="0.35">
      <c r="A282" s="2" t="s">
        <v>511</v>
      </c>
      <c r="B282" s="2" t="s">
        <v>573</v>
      </c>
      <c r="C282" s="2" t="s">
        <v>498</v>
      </c>
      <c r="D282" s="2" t="s">
        <v>499</v>
      </c>
      <c r="E282" s="6" t="s">
        <v>147</v>
      </c>
      <c r="F282" s="3">
        <v>1150</v>
      </c>
      <c r="G282" s="4">
        <v>60</v>
      </c>
      <c r="H282" s="5">
        <v>7.4999999999999997E-3</v>
      </c>
    </row>
    <row r="283" spans="1:8" x14ac:dyDescent="0.35">
      <c r="A283" s="2" t="s">
        <v>511</v>
      </c>
      <c r="B283" s="2" t="s">
        <v>573</v>
      </c>
      <c r="C283" s="2" t="s">
        <v>517</v>
      </c>
      <c r="D283" s="2" t="s">
        <v>477</v>
      </c>
      <c r="E283" s="2" t="s">
        <v>92</v>
      </c>
      <c r="F283" s="3">
        <v>1240</v>
      </c>
      <c r="G283" s="4">
        <v>60</v>
      </c>
      <c r="H283" s="5">
        <v>0</v>
      </c>
    </row>
    <row r="284" spans="1:8" x14ac:dyDescent="0.35">
      <c r="A284" s="2" t="s">
        <v>511</v>
      </c>
      <c r="B284" s="2" t="s">
        <v>573</v>
      </c>
      <c r="C284" s="2" t="s">
        <v>518</v>
      </c>
      <c r="D284" s="2" t="s">
        <v>519</v>
      </c>
      <c r="E284" s="2" t="s">
        <v>215</v>
      </c>
      <c r="F284" s="3">
        <v>112</v>
      </c>
      <c r="G284" s="4">
        <v>24</v>
      </c>
      <c r="H284" s="5">
        <v>0</v>
      </c>
    </row>
    <row r="285" spans="1:8" x14ac:dyDescent="0.35">
      <c r="A285" s="2" t="s">
        <v>511</v>
      </c>
      <c r="B285" s="2" t="s">
        <v>573</v>
      </c>
      <c r="C285" s="2" t="s">
        <v>520</v>
      </c>
      <c r="D285" s="2" t="s">
        <v>449</v>
      </c>
      <c r="E285" s="2" t="s">
        <v>300</v>
      </c>
      <c r="F285" s="3">
        <v>45</v>
      </c>
      <c r="G285" s="4">
        <v>60</v>
      </c>
      <c r="H285" s="5">
        <v>0</v>
      </c>
    </row>
    <row r="286" spans="1:8" x14ac:dyDescent="0.35">
      <c r="A286" s="2" t="s">
        <v>511</v>
      </c>
      <c r="B286" s="2" t="s">
        <v>573</v>
      </c>
      <c r="C286" s="2" t="s">
        <v>521</v>
      </c>
      <c r="D286" s="2" t="s">
        <v>522</v>
      </c>
      <c r="E286" s="2" t="s">
        <v>59</v>
      </c>
      <c r="F286" s="3">
        <v>150</v>
      </c>
      <c r="G286" s="4">
        <v>60</v>
      </c>
      <c r="H286" s="5">
        <v>0</v>
      </c>
    </row>
    <row r="287" spans="1:8" x14ac:dyDescent="0.35">
      <c r="A287" s="2" t="s">
        <v>511</v>
      </c>
      <c r="B287" s="2" t="s">
        <v>573</v>
      </c>
      <c r="C287" s="2" t="s">
        <v>523</v>
      </c>
      <c r="D287" s="2" t="s">
        <v>524</v>
      </c>
      <c r="E287" s="2" t="s">
        <v>525</v>
      </c>
      <c r="F287" s="3">
        <v>217.2</v>
      </c>
      <c r="G287" s="4">
        <v>60</v>
      </c>
      <c r="H287" s="5">
        <v>0</v>
      </c>
    </row>
    <row r="288" spans="1:8" x14ac:dyDescent="0.35">
      <c r="A288" s="2" t="s">
        <v>511</v>
      </c>
      <c r="B288" s="2" t="s">
        <v>573</v>
      </c>
      <c r="C288" s="2" t="s">
        <v>526</v>
      </c>
      <c r="D288" s="2" t="s">
        <v>527</v>
      </c>
      <c r="E288" s="2" t="s">
        <v>315</v>
      </c>
      <c r="F288" s="3">
        <v>72</v>
      </c>
      <c r="G288" s="4">
        <v>60</v>
      </c>
      <c r="H288" s="5">
        <v>0</v>
      </c>
    </row>
    <row r="289" spans="1:8" x14ac:dyDescent="0.35">
      <c r="A289" s="2" t="s">
        <v>511</v>
      </c>
      <c r="B289" s="2" t="s">
        <v>573</v>
      </c>
      <c r="C289" s="2" t="s">
        <v>528</v>
      </c>
      <c r="D289" s="2" t="s">
        <v>529</v>
      </c>
      <c r="E289" s="2" t="s">
        <v>530</v>
      </c>
      <c r="F289" s="3">
        <v>45</v>
      </c>
      <c r="G289" s="4">
        <v>60</v>
      </c>
      <c r="H289" s="5">
        <v>0</v>
      </c>
    </row>
    <row r="290" spans="1:8" x14ac:dyDescent="0.35">
      <c r="A290" s="2" t="s">
        <v>511</v>
      </c>
      <c r="B290" s="2" t="s">
        <v>573</v>
      </c>
      <c r="C290" s="2" t="s">
        <v>531</v>
      </c>
      <c r="D290" s="2" t="s">
        <v>532</v>
      </c>
      <c r="E290" s="2" t="s">
        <v>443</v>
      </c>
      <c r="F290" s="3">
        <v>30</v>
      </c>
      <c r="G290" s="4">
        <v>1</v>
      </c>
      <c r="H290" s="5">
        <v>0</v>
      </c>
    </row>
    <row r="291" spans="1:8" x14ac:dyDescent="0.35">
      <c r="A291" s="2" t="s">
        <v>511</v>
      </c>
      <c r="B291" s="2" t="s">
        <v>573</v>
      </c>
      <c r="C291" s="2" t="s">
        <v>533</v>
      </c>
      <c r="D291" s="2" t="s">
        <v>534</v>
      </c>
      <c r="E291" s="2" t="s">
        <v>535</v>
      </c>
      <c r="F291" s="3">
        <v>13</v>
      </c>
      <c r="G291" s="4">
        <v>60</v>
      </c>
      <c r="H291" s="5">
        <v>0</v>
      </c>
    </row>
    <row r="292" spans="1:8" x14ac:dyDescent="0.35">
      <c r="A292" s="2" t="s">
        <v>511</v>
      </c>
      <c r="B292" s="2" t="s">
        <v>573</v>
      </c>
      <c r="C292" s="2" t="s">
        <v>536</v>
      </c>
      <c r="D292" s="2" t="s">
        <v>537</v>
      </c>
      <c r="E292" s="2" t="s">
        <v>248</v>
      </c>
      <c r="F292" s="3">
        <v>61.5</v>
      </c>
      <c r="G292" s="4">
        <v>60</v>
      </c>
      <c r="H292" s="5">
        <v>0</v>
      </c>
    </row>
    <row r="293" spans="1:8" x14ac:dyDescent="0.35">
      <c r="A293" s="2" t="s">
        <v>511</v>
      </c>
      <c r="B293" s="2" t="s">
        <v>573</v>
      </c>
      <c r="C293" s="2" t="s">
        <v>490</v>
      </c>
      <c r="D293" s="2" t="s">
        <v>491</v>
      </c>
      <c r="E293" s="2" t="s">
        <v>226</v>
      </c>
      <c r="F293" s="3">
        <v>1588</v>
      </c>
      <c r="G293" s="4">
        <v>60</v>
      </c>
      <c r="H293" s="5">
        <v>7.4999999999999997E-3</v>
      </c>
    </row>
    <row r="294" spans="1:8" x14ac:dyDescent="0.35">
      <c r="A294" s="2" t="s">
        <v>511</v>
      </c>
      <c r="B294" s="2" t="s">
        <v>573</v>
      </c>
      <c r="C294" s="2" t="s">
        <v>538</v>
      </c>
      <c r="D294" s="2" t="s">
        <v>539</v>
      </c>
      <c r="E294" s="2" t="s">
        <v>303</v>
      </c>
      <c r="F294" s="3">
        <v>19.809999999999999</v>
      </c>
      <c r="G294" s="4">
        <v>60</v>
      </c>
      <c r="H294" s="5">
        <v>0</v>
      </c>
    </row>
    <row r="295" spans="1:8" x14ac:dyDescent="0.35">
      <c r="A295" s="2" t="s">
        <v>511</v>
      </c>
      <c r="B295" s="2" t="s">
        <v>573</v>
      </c>
      <c r="C295" s="2" t="s">
        <v>540</v>
      </c>
      <c r="D295" s="2" t="s">
        <v>483</v>
      </c>
      <c r="E295" s="2" t="s">
        <v>322</v>
      </c>
      <c r="F295" s="3">
        <v>19.43</v>
      </c>
      <c r="G295" s="4">
        <v>60</v>
      </c>
      <c r="H295" s="5">
        <v>0</v>
      </c>
    </row>
    <row r="296" spans="1:8" x14ac:dyDescent="0.35">
      <c r="A296" s="2" t="s">
        <v>511</v>
      </c>
      <c r="B296" s="2" t="s">
        <v>573</v>
      </c>
      <c r="C296" s="2" t="s">
        <v>541</v>
      </c>
      <c r="D296" s="2" t="s">
        <v>542</v>
      </c>
      <c r="E296" s="2" t="s">
        <v>543</v>
      </c>
      <c r="F296" s="3">
        <v>67289.45</v>
      </c>
      <c r="G296" s="4">
        <v>60</v>
      </c>
      <c r="H296" s="5">
        <v>7.4999999999999997E-3</v>
      </c>
    </row>
    <row r="297" spans="1:8" x14ac:dyDescent="0.35">
      <c r="A297" s="2" t="s">
        <v>511</v>
      </c>
      <c r="B297" s="2" t="s">
        <v>573</v>
      </c>
      <c r="C297" s="2" t="s">
        <v>544</v>
      </c>
      <c r="D297" s="2" t="s">
        <v>545</v>
      </c>
      <c r="E297" s="2" t="s">
        <v>546</v>
      </c>
      <c r="F297" s="3">
        <v>12.54</v>
      </c>
      <c r="G297" s="4">
        <v>60</v>
      </c>
      <c r="H297" s="5">
        <v>0</v>
      </c>
    </row>
    <row r="298" spans="1:8" x14ac:dyDescent="0.35">
      <c r="A298" s="2" t="s">
        <v>511</v>
      </c>
      <c r="B298" s="2" t="s">
        <v>573</v>
      </c>
      <c r="C298" s="2" t="s">
        <v>547</v>
      </c>
      <c r="D298" s="2" t="s">
        <v>469</v>
      </c>
      <c r="E298" s="2" t="s">
        <v>470</v>
      </c>
      <c r="F298" s="3">
        <v>475</v>
      </c>
      <c r="G298" s="4">
        <v>60</v>
      </c>
      <c r="H298" s="5">
        <v>0</v>
      </c>
    </row>
    <row r="299" spans="1:8" x14ac:dyDescent="0.35">
      <c r="A299" s="2" t="s">
        <v>511</v>
      </c>
      <c r="B299" s="2" t="s">
        <v>573</v>
      </c>
      <c r="C299" s="2" t="s">
        <v>548</v>
      </c>
      <c r="D299" s="2" t="s">
        <v>465</v>
      </c>
      <c r="E299" s="6" t="s">
        <v>180</v>
      </c>
      <c r="F299" s="3">
        <v>283.38</v>
      </c>
      <c r="G299" s="4">
        <v>60</v>
      </c>
      <c r="H299" s="5">
        <v>0</v>
      </c>
    </row>
    <row r="300" spans="1:8" x14ac:dyDescent="0.35">
      <c r="A300" s="2" t="s">
        <v>511</v>
      </c>
      <c r="B300" s="2" t="s">
        <v>573</v>
      </c>
      <c r="C300" s="2" t="s">
        <v>549</v>
      </c>
      <c r="D300" s="2" t="s">
        <v>550</v>
      </c>
      <c r="E300" s="2" t="s">
        <v>82</v>
      </c>
      <c r="F300" s="3">
        <v>1225.49</v>
      </c>
      <c r="G300" s="4">
        <v>60</v>
      </c>
      <c r="H300" s="5">
        <v>0</v>
      </c>
    </row>
    <row r="301" spans="1:8" x14ac:dyDescent="0.35">
      <c r="A301" s="2" t="s">
        <v>511</v>
      </c>
      <c r="B301" s="2" t="s">
        <v>573</v>
      </c>
      <c r="C301" s="2" t="s">
        <v>549</v>
      </c>
      <c r="D301" s="2" t="s">
        <v>550</v>
      </c>
      <c r="E301" s="2" t="s">
        <v>82</v>
      </c>
      <c r="F301" s="3">
        <v>332.5</v>
      </c>
      <c r="G301" s="4">
        <v>60</v>
      </c>
      <c r="H301" s="5">
        <v>0</v>
      </c>
    </row>
    <row r="302" spans="1:8" x14ac:dyDescent="0.35">
      <c r="A302" s="2" t="s">
        <v>511</v>
      </c>
      <c r="B302" s="2" t="s">
        <v>573</v>
      </c>
      <c r="C302" s="2" t="s">
        <v>551</v>
      </c>
      <c r="D302" s="2" t="s">
        <v>552</v>
      </c>
      <c r="E302" s="2" t="s">
        <v>71</v>
      </c>
      <c r="F302" s="3">
        <v>332.5</v>
      </c>
      <c r="G302" s="4">
        <v>60</v>
      </c>
      <c r="H302" s="5">
        <v>0</v>
      </c>
    </row>
    <row r="303" spans="1:8" x14ac:dyDescent="0.35">
      <c r="A303" s="2" t="s">
        <v>511</v>
      </c>
      <c r="B303" s="2" t="s">
        <v>573</v>
      </c>
      <c r="C303" s="2" t="s">
        <v>553</v>
      </c>
      <c r="D303" s="2" t="s">
        <v>554</v>
      </c>
      <c r="E303" s="2" t="s">
        <v>322</v>
      </c>
      <c r="F303" s="3">
        <v>36.880000000000003</v>
      </c>
      <c r="G303" s="4">
        <v>60</v>
      </c>
      <c r="H303" s="5">
        <v>0</v>
      </c>
    </row>
    <row r="304" spans="1:8" x14ac:dyDescent="0.35">
      <c r="A304" s="2" t="s">
        <v>511</v>
      </c>
      <c r="B304" s="2" t="s">
        <v>573</v>
      </c>
      <c r="C304" s="2" t="s">
        <v>555</v>
      </c>
      <c r="D304" s="2" t="s">
        <v>475</v>
      </c>
      <c r="E304" s="2" t="s">
        <v>193</v>
      </c>
      <c r="F304" s="3">
        <v>223.44</v>
      </c>
      <c r="G304" s="4">
        <v>60</v>
      </c>
      <c r="H304" s="5">
        <v>0</v>
      </c>
    </row>
    <row r="305" spans="1:8" x14ac:dyDescent="0.35">
      <c r="A305" s="2" t="s">
        <v>511</v>
      </c>
      <c r="B305" s="2" t="s">
        <v>573</v>
      </c>
      <c r="C305" s="2" t="s">
        <v>556</v>
      </c>
      <c r="D305" s="2" t="s">
        <v>557</v>
      </c>
      <c r="E305" s="2" t="s">
        <v>424</v>
      </c>
      <c r="F305" s="3">
        <v>1196.02</v>
      </c>
      <c r="G305" s="4">
        <v>60</v>
      </c>
      <c r="H305" s="5">
        <v>0</v>
      </c>
    </row>
    <row r="306" spans="1:8" x14ac:dyDescent="0.35">
      <c r="A306" s="2" t="s">
        <v>511</v>
      </c>
      <c r="B306" s="2" t="s">
        <v>573</v>
      </c>
      <c r="C306" s="2" t="s">
        <v>558</v>
      </c>
      <c r="D306" s="2" t="s">
        <v>341</v>
      </c>
      <c r="E306" s="2" t="s">
        <v>102</v>
      </c>
      <c r="F306" s="3">
        <v>800</v>
      </c>
      <c r="G306" s="4">
        <v>36</v>
      </c>
      <c r="H306" s="5">
        <v>0</v>
      </c>
    </row>
    <row r="307" spans="1:8" x14ac:dyDescent="0.35">
      <c r="A307" s="2" t="s">
        <v>511</v>
      </c>
      <c r="B307" s="2" t="s">
        <v>573</v>
      </c>
      <c r="C307" s="2" t="s">
        <v>559</v>
      </c>
      <c r="D307" s="2" t="s">
        <v>560</v>
      </c>
      <c r="E307" s="2" t="s">
        <v>561</v>
      </c>
      <c r="F307" s="3">
        <v>209</v>
      </c>
      <c r="G307" s="4">
        <v>36</v>
      </c>
      <c r="H307" s="5">
        <v>7.4999999999999997E-3</v>
      </c>
    </row>
    <row r="308" spans="1:8" x14ac:dyDescent="0.35">
      <c r="A308" s="2" t="s">
        <v>511</v>
      </c>
      <c r="B308" s="2" t="s">
        <v>573</v>
      </c>
      <c r="C308" s="2" t="s">
        <v>562</v>
      </c>
      <c r="D308" s="2" t="s">
        <v>563</v>
      </c>
      <c r="E308" s="2" t="s">
        <v>564</v>
      </c>
      <c r="F308" s="3">
        <v>33.520000000000003</v>
      </c>
      <c r="G308" s="4">
        <v>36</v>
      </c>
      <c r="H308" s="5">
        <v>0</v>
      </c>
    </row>
    <row r="309" spans="1:8" x14ac:dyDescent="0.35">
      <c r="A309" s="2" t="s">
        <v>511</v>
      </c>
      <c r="B309" s="2" t="s">
        <v>573</v>
      </c>
      <c r="C309" s="2" t="s">
        <v>565</v>
      </c>
      <c r="D309" s="2" t="s">
        <v>566</v>
      </c>
      <c r="E309" s="2" t="s">
        <v>567</v>
      </c>
      <c r="F309" s="3">
        <v>24.49</v>
      </c>
      <c r="G309" s="4">
        <v>1</v>
      </c>
      <c r="H309" s="5">
        <v>0</v>
      </c>
    </row>
    <row r="310" spans="1:8" x14ac:dyDescent="0.35">
      <c r="A310" s="2" t="s">
        <v>511</v>
      </c>
      <c r="B310" s="2" t="s">
        <v>573</v>
      </c>
      <c r="C310" s="2" t="s">
        <v>568</v>
      </c>
      <c r="D310" s="2" t="s">
        <v>569</v>
      </c>
      <c r="E310" s="2" t="s">
        <v>570</v>
      </c>
      <c r="F310" s="3">
        <v>24.49</v>
      </c>
      <c r="G310" s="4">
        <v>1</v>
      </c>
      <c r="H310" s="5">
        <v>0</v>
      </c>
    </row>
    <row r="311" spans="1:8" x14ac:dyDescent="0.35">
      <c r="A311" s="2" t="s">
        <v>511</v>
      </c>
      <c r="B311" s="2" t="s">
        <v>573</v>
      </c>
      <c r="C311" s="2" t="s">
        <v>571</v>
      </c>
      <c r="D311" s="2" t="s">
        <v>572</v>
      </c>
      <c r="E311" s="2" t="s">
        <v>24</v>
      </c>
      <c r="F311" s="3">
        <v>338.46</v>
      </c>
      <c r="G311" s="4">
        <v>12</v>
      </c>
      <c r="H311" s="5">
        <v>0</v>
      </c>
    </row>
    <row r="312" spans="1:8" x14ac:dyDescent="0.35">
      <c r="A312" s="2" t="s">
        <v>511</v>
      </c>
      <c r="B312" s="2" t="s">
        <v>573</v>
      </c>
      <c r="C312" s="2" t="s">
        <v>571</v>
      </c>
      <c r="D312" s="2" t="s">
        <v>572</v>
      </c>
      <c r="E312" s="2" t="s">
        <v>24</v>
      </c>
      <c r="F312" s="3">
        <v>75.52</v>
      </c>
      <c r="G312" s="4">
        <v>36</v>
      </c>
      <c r="H312" s="5">
        <v>0</v>
      </c>
    </row>
    <row r="313" spans="1:8" x14ac:dyDescent="0.35">
      <c r="A313" s="2" t="s">
        <v>511</v>
      </c>
      <c r="B313" s="2" t="s">
        <v>447</v>
      </c>
      <c r="C313" s="2" t="s">
        <v>512</v>
      </c>
      <c r="D313" s="2" t="s">
        <v>451</v>
      </c>
      <c r="E313" s="2" t="s">
        <v>452</v>
      </c>
      <c r="F313" s="3">
        <v>52</v>
      </c>
      <c r="G313" s="4">
        <v>1</v>
      </c>
      <c r="H313" s="5">
        <v>0</v>
      </c>
    </row>
    <row r="314" spans="1:8" x14ac:dyDescent="0.35">
      <c r="A314" s="2" t="s">
        <v>511</v>
      </c>
      <c r="B314" s="2" t="s">
        <v>447</v>
      </c>
      <c r="C314" s="2" t="s">
        <v>513</v>
      </c>
      <c r="D314" s="2" t="s">
        <v>514</v>
      </c>
      <c r="E314" s="2" t="s">
        <v>271</v>
      </c>
      <c r="F314" s="3">
        <v>95000</v>
      </c>
      <c r="G314" s="4">
        <v>60</v>
      </c>
      <c r="H314" s="5">
        <v>7.4999999999999997E-3</v>
      </c>
    </row>
    <row r="315" spans="1:8" x14ac:dyDescent="0.35">
      <c r="A315" s="2" t="s">
        <v>511</v>
      </c>
      <c r="B315" s="2" t="s">
        <v>447</v>
      </c>
      <c r="C315" s="2" t="s">
        <v>515</v>
      </c>
      <c r="D315" s="2" t="s">
        <v>516</v>
      </c>
      <c r="E315" s="2" t="s">
        <v>69</v>
      </c>
      <c r="F315" s="3">
        <v>1190</v>
      </c>
      <c r="G315" s="4">
        <v>60</v>
      </c>
      <c r="H315" s="5">
        <v>0</v>
      </c>
    </row>
    <row r="316" spans="1:8" x14ac:dyDescent="0.35">
      <c r="A316" s="2" t="s">
        <v>511</v>
      </c>
      <c r="B316" s="2" t="s">
        <v>447</v>
      </c>
      <c r="C316" s="2" t="s">
        <v>500</v>
      </c>
      <c r="D316" s="2" t="s">
        <v>501</v>
      </c>
      <c r="E316" s="2" t="s">
        <v>46</v>
      </c>
      <c r="F316" s="3">
        <v>1145</v>
      </c>
      <c r="G316" s="4">
        <v>60</v>
      </c>
      <c r="H316" s="5">
        <v>7.4999999999999997E-3</v>
      </c>
    </row>
    <row r="317" spans="1:8" x14ac:dyDescent="0.35">
      <c r="A317" s="2" t="s">
        <v>511</v>
      </c>
      <c r="B317" s="2" t="s">
        <v>447</v>
      </c>
      <c r="C317" s="2" t="s">
        <v>498</v>
      </c>
      <c r="D317" s="2" t="s">
        <v>499</v>
      </c>
      <c r="E317" s="6" t="s">
        <v>147</v>
      </c>
      <c r="F317" s="3">
        <v>1150</v>
      </c>
      <c r="G317" s="4">
        <v>60</v>
      </c>
      <c r="H317" s="5">
        <v>7.4999999999999997E-3</v>
      </c>
    </row>
    <row r="318" spans="1:8" x14ac:dyDescent="0.35">
      <c r="A318" s="2" t="s">
        <v>511</v>
      </c>
      <c r="B318" s="2" t="s">
        <v>447</v>
      </c>
      <c r="C318" s="2" t="s">
        <v>517</v>
      </c>
      <c r="D318" s="2" t="s">
        <v>477</v>
      </c>
      <c r="E318" s="2" t="s">
        <v>92</v>
      </c>
      <c r="F318" s="3">
        <v>1240</v>
      </c>
      <c r="G318" s="4">
        <v>60</v>
      </c>
      <c r="H318" s="5">
        <v>0</v>
      </c>
    </row>
    <row r="319" spans="1:8" x14ac:dyDescent="0.35">
      <c r="A319" s="2" t="s">
        <v>511</v>
      </c>
      <c r="B319" s="2" t="s">
        <v>447</v>
      </c>
      <c r="C319" s="2" t="s">
        <v>518</v>
      </c>
      <c r="D319" s="2" t="s">
        <v>519</v>
      </c>
      <c r="E319" s="2" t="s">
        <v>215</v>
      </c>
      <c r="F319" s="3">
        <v>112</v>
      </c>
      <c r="G319" s="4">
        <v>24</v>
      </c>
      <c r="H319" s="5">
        <v>0</v>
      </c>
    </row>
    <row r="320" spans="1:8" x14ac:dyDescent="0.35">
      <c r="A320" s="2" t="s">
        <v>511</v>
      </c>
      <c r="B320" s="2" t="s">
        <v>447</v>
      </c>
      <c r="C320" s="2" t="s">
        <v>520</v>
      </c>
      <c r="D320" s="2" t="s">
        <v>449</v>
      </c>
      <c r="E320" s="2" t="s">
        <v>300</v>
      </c>
      <c r="F320" s="3">
        <v>45</v>
      </c>
      <c r="G320" s="4">
        <v>60</v>
      </c>
      <c r="H320" s="5">
        <v>0</v>
      </c>
    </row>
    <row r="321" spans="1:8" x14ac:dyDescent="0.35">
      <c r="A321" s="2" t="s">
        <v>511</v>
      </c>
      <c r="B321" s="2" t="s">
        <v>447</v>
      </c>
      <c r="C321" s="2" t="s">
        <v>521</v>
      </c>
      <c r="D321" s="2" t="s">
        <v>522</v>
      </c>
      <c r="E321" s="2" t="s">
        <v>59</v>
      </c>
      <c r="F321" s="3">
        <v>150</v>
      </c>
      <c r="G321" s="4">
        <v>60</v>
      </c>
      <c r="H321" s="5">
        <v>0</v>
      </c>
    </row>
    <row r="322" spans="1:8" x14ac:dyDescent="0.35">
      <c r="A322" s="2" t="s">
        <v>511</v>
      </c>
      <c r="B322" s="2" t="s">
        <v>447</v>
      </c>
      <c r="C322" s="2" t="s">
        <v>523</v>
      </c>
      <c r="D322" s="2" t="s">
        <v>524</v>
      </c>
      <c r="E322" s="2" t="s">
        <v>525</v>
      </c>
      <c r="F322" s="3">
        <v>217.2</v>
      </c>
      <c r="G322" s="4">
        <v>60</v>
      </c>
      <c r="H322" s="5">
        <v>0</v>
      </c>
    </row>
    <row r="323" spans="1:8" x14ac:dyDescent="0.35">
      <c r="A323" s="2" t="s">
        <v>511</v>
      </c>
      <c r="B323" s="2" t="s">
        <v>447</v>
      </c>
      <c r="C323" s="2" t="s">
        <v>526</v>
      </c>
      <c r="D323" s="2" t="s">
        <v>527</v>
      </c>
      <c r="E323" s="2" t="s">
        <v>315</v>
      </c>
      <c r="F323" s="3">
        <v>72</v>
      </c>
      <c r="G323" s="4">
        <v>60</v>
      </c>
      <c r="H323" s="5">
        <v>0</v>
      </c>
    </row>
    <row r="324" spans="1:8" x14ac:dyDescent="0.35">
      <c r="A324" s="2" t="s">
        <v>511</v>
      </c>
      <c r="B324" s="2" t="s">
        <v>447</v>
      </c>
      <c r="C324" s="2" t="s">
        <v>528</v>
      </c>
      <c r="D324" s="2" t="s">
        <v>529</v>
      </c>
      <c r="E324" s="2" t="s">
        <v>530</v>
      </c>
      <c r="F324" s="3">
        <v>45</v>
      </c>
      <c r="G324" s="4">
        <v>60</v>
      </c>
      <c r="H324" s="5">
        <v>0</v>
      </c>
    </row>
    <row r="325" spans="1:8" x14ac:dyDescent="0.35">
      <c r="A325" s="2" t="s">
        <v>511</v>
      </c>
      <c r="B325" s="2" t="s">
        <v>447</v>
      </c>
      <c r="C325" s="2" t="s">
        <v>531</v>
      </c>
      <c r="D325" s="2" t="s">
        <v>532</v>
      </c>
      <c r="E325" s="2" t="s">
        <v>443</v>
      </c>
      <c r="F325" s="3">
        <v>30</v>
      </c>
      <c r="G325" s="4">
        <v>1</v>
      </c>
      <c r="H325" s="5">
        <v>0</v>
      </c>
    </row>
    <row r="326" spans="1:8" x14ac:dyDescent="0.35">
      <c r="A326" s="2" t="s">
        <v>511</v>
      </c>
      <c r="B326" s="2" t="s">
        <v>447</v>
      </c>
      <c r="C326" s="2" t="s">
        <v>533</v>
      </c>
      <c r="D326" s="2" t="s">
        <v>534</v>
      </c>
      <c r="E326" s="2" t="s">
        <v>535</v>
      </c>
      <c r="F326" s="3">
        <v>13</v>
      </c>
      <c r="G326" s="4">
        <v>60</v>
      </c>
      <c r="H326" s="5">
        <v>0</v>
      </c>
    </row>
    <row r="327" spans="1:8" x14ac:dyDescent="0.35">
      <c r="A327" s="2" t="s">
        <v>511</v>
      </c>
      <c r="B327" s="2" t="s">
        <v>447</v>
      </c>
      <c r="C327" s="2" t="s">
        <v>536</v>
      </c>
      <c r="D327" s="2" t="s">
        <v>537</v>
      </c>
      <c r="E327" s="2" t="s">
        <v>248</v>
      </c>
      <c r="F327" s="3">
        <v>61.5</v>
      </c>
      <c r="G327" s="4">
        <v>60</v>
      </c>
      <c r="H327" s="5">
        <v>0</v>
      </c>
    </row>
    <row r="328" spans="1:8" x14ac:dyDescent="0.35">
      <c r="A328" s="2" t="s">
        <v>511</v>
      </c>
      <c r="B328" s="2" t="s">
        <v>447</v>
      </c>
      <c r="C328" s="2" t="s">
        <v>490</v>
      </c>
      <c r="D328" s="2" t="s">
        <v>491</v>
      </c>
      <c r="E328" s="2" t="s">
        <v>226</v>
      </c>
      <c r="F328" s="3">
        <v>1588</v>
      </c>
      <c r="G328" s="4">
        <v>60</v>
      </c>
      <c r="H328" s="5">
        <v>7.4999999999999997E-3</v>
      </c>
    </row>
    <row r="329" spans="1:8" x14ac:dyDescent="0.35">
      <c r="A329" s="2" t="s">
        <v>511</v>
      </c>
      <c r="B329" s="2" t="s">
        <v>447</v>
      </c>
      <c r="C329" s="2" t="s">
        <v>538</v>
      </c>
      <c r="D329" s="2" t="s">
        <v>539</v>
      </c>
      <c r="E329" s="2" t="s">
        <v>303</v>
      </c>
      <c r="F329" s="3">
        <v>19.809999999999999</v>
      </c>
      <c r="G329" s="4">
        <v>60</v>
      </c>
      <c r="H329" s="5">
        <v>0</v>
      </c>
    </row>
    <row r="330" spans="1:8" x14ac:dyDescent="0.35">
      <c r="A330" s="2" t="s">
        <v>511</v>
      </c>
      <c r="B330" s="2" t="s">
        <v>447</v>
      </c>
      <c r="C330" s="2" t="s">
        <v>540</v>
      </c>
      <c r="D330" s="2" t="s">
        <v>483</v>
      </c>
      <c r="E330" s="2" t="s">
        <v>322</v>
      </c>
      <c r="F330" s="3">
        <v>19.43</v>
      </c>
      <c r="G330" s="4">
        <v>60</v>
      </c>
      <c r="H330" s="5">
        <v>0</v>
      </c>
    </row>
    <row r="331" spans="1:8" x14ac:dyDescent="0.35">
      <c r="A331" s="2" t="s">
        <v>511</v>
      </c>
      <c r="B331" s="2" t="s">
        <v>447</v>
      </c>
      <c r="C331" s="2" t="s">
        <v>541</v>
      </c>
      <c r="D331" s="2" t="s">
        <v>542</v>
      </c>
      <c r="E331" s="2" t="s">
        <v>543</v>
      </c>
      <c r="F331" s="3">
        <v>89900</v>
      </c>
      <c r="G331" s="4">
        <v>60</v>
      </c>
      <c r="H331" s="5">
        <v>7.4999999999999997E-3</v>
      </c>
    </row>
    <row r="332" spans="1:8" x14ac:dyDescent="0.35">
      <c r="A332" s="2" t="s">
        <v>511</v>
      </c>
      <c r="B332" s="2" t="s">
        <v>447</v>
      </c>
      <c r="C332" s="2" t="s">
        <v>544</v>
      </c>
      <c r="D332" s="2" t="s">
        <v>545</v>
      </c>
      <c r="E332" s="2" t="s">
        <v>546</v>
      </c>
      <c r="F332" s="3">
        <v>12.54</v>
      </c>
      <c r="G332" s="4">
        <v>60</v>
      </c>
      <c r="H332" s="5">
        <v>0</v>
      </c>
    </row>
    <row r="333" spans="1:8" x14ac:dyDescent="0.35">
      <c r="A333" s="2" t="s">
        <v>511</v>
      </c>
      <c r="B333" s="2" t="s">
        <v>447</v>
      </c>
      <c r="C333" s="2" t="s">
        <v>547</v>
      </c>
      <c r="D333" s="2" t="s">
        <v>469</v>
      </c>
      <c r="E333" s="2" t="s">
        <v>470</v>
      </c>
      <c r="F333" s="3">
        <v>475</v>
      </c>
      <c r="G333" s="4">
        <v>60</v>
      </c>
      <c r="H333" s="5">
        <v>0</v>
      </c>
    </row>
    <row r="334" spans="1:8" x14ac:dyDescent="0.35">
      <c r="A334" s="2" t="s">
        <v>511</v>
      </c>
      <c r="B334" s="2" t="s">
        <v>447</v>
      </c>
      <c r="C334" s="2" t="s">
        <v>548</v>
      </c>
      <c r="D334" s="2" t="s">
        <v>465</v>
      </c>
      <c r="E334" s="6" t="s">
        <v>180</v>
      </c>
      <c r="F334" s="3">
        <v>283.38</v>
      </c>
      <c r="G334" s="4">
        <v>60</v>
      </c>
      <c r="H334" s="5">
        <v>0</v>
      </c>
    </row>
    <row r="335" spans="1:8" x14ac:dyDescent="0.35">
      <c r="A335" s="2" t="s">
        <v>511</v>
      </c>
      <c r="B335" s="2" t="s">
        <v>447</v>
      </c>
      <c r="C335" s="2" t="s">
        <v>549</v>
      </c>
      <c r="D335" s="2" t="s">
        <v>550</v>
      </c>
      <c r="E335" s="2" t="s">
        <v>82</v>
      </c>
      <c r="F335" s="3">
        <v>1225.49</v>
      </c>
      <c r="G335" s="4">
        <v>60</v>
      </c>
      <c r="H335" s="5">
        <v>0</v>
      </c>
    </row>
    <row r="336" spans="1:8" x14ac:dyDescent="0.35">
      <c r="A336" s="2" t="s">
        <v>511</v>
      </c>
      <c r="B336" s="2" t="s">
        <v>447</v>
      </c>
      <c r="C336" s="2" t="s">
        <v>549</v>
      </c>
      <c r="D336" s="2" t="s">
        <v>550</v>
      </c>
      <c r="E336" s="2" t="s">
        <v>82</v>
      </c>
      <c r="F336" s="3">
        <v>332.5</v>
      </c>
      <c r="G336" s="4">
        <v>60</v>
      </c>
      <c r="H336" s="5">
        <v>0</v>
      </c>
    </row>
    <row r="337" spans="1:8" x14ac:dyDescent="0.35">
      <c r="A337" s="2" t="s">
        <v>511</v>
      </c>
      <c r="B337" s="2" t="s">
        <v>447</v>
      </c>
      <c r="C337" s="2" t="s">
        <v>551</v>
      </c>
      <c r="D337" s="2" t="s">
        <v>552</v>
      </c>
      <c r="E337" s="2" t="s">
        <v>71</v>
      </c>
      <c r="F337" s="3">
        <v>332.5</v>
      </c>
      <c r="G337" s="4">
        <v>60</v>
      </c>
      <c r="H337" s="5">
        <v>0</v>
      </c>
    </row>
    <row r="338" spans="1:8" x14ac:dyDescent="0.35">
      <c r="A338" s="2" t="s">
        <v>511</v>
      </c>
      <c r="B338" s="2" t="s">
        <v>447</v>
      </c>
      <c r="C338" s="2" t="s">
        <v>553</v>
      </c>
      <c r="D338" s="2" t="s">
        <v>554</v>
      </c>
      <c r="E338" s="2" t="s">
        <v>322</v>
      </c>
      <c r="F338" s="3">
        <v>36.880000000000003</v>
      </c>
      <c r="G338" s="4">
        <v>60</v>
      </c>
      <c r="H338" s="5">
        <v>0</v>
      </c>
    </row>
    <row r="339" spans="1:8" x14ac:dyDescent="0.35">
      <c r="A339" s="2" t="s">
        <v>511</v>
      </c>
      <c r="B339" s="2" t="s">
        <v>447</v>
      </c>
      <c r="C339" s="2" t="s">
        <v>555</v>
      </c>
      <c r="D339" s="2" t="s">
        <v>475</v>
      </c>
      <c r="E339" s="2" t="s">
        <v>193</v>
      </c>
      <c r="F339" s="3">
        <v>223.44</v>
      </c>
      <c r="G339" s="4">
        <v>60</v>
      </c>
      <c r="H339" s="5">
        <v>0</v>
      </c>
    </row>
    <row r="340" spans="1:8" x14ac:dyDescent="0.35">
      <c r="A340" s="2" t="s">
        <v>511</v>
      </c>
      <c r="B340" s="2" t="s">
        <v>447</v>
      </c>
      <c r="C340" s="2" t="s">
        <v>556</v>
      </c>
      <c r="D340" s="2" t="s">
        <v>557</v>
      </c>
      <c r="E340" s="2" t="s">
        <v>424</v>
      </c>
      <c r="F340" s="3">
        <v>1196.02</v>
      </c>
      <c r="G340" s="4">
        <v>60</v>
      </c>
      <c r="H340" s="5">
        <v>0</v>
      </c>
    </row>
    <row r="341" spans="1:8" x14ac:dyDescent="0.35">
      <c r="A341" s="2" t="s">
        <v>511</v>
      </c>
      <c r="B341" s="2" t="s">
        <v>447</v>
      </c>
      <c r="C341" s="2" t="s">
        <v>558</v>
      </c>
      <c r="D341" s="2" t="s">
        <v>341</v>
      </c>
      <c r="E341" s="2" t="s">
        <v>102</v>
      </c>
      <c r="F341" s="3">
        <v>800</v>
      </c>
      <c r="G341" s="4">
        <v>36</v>
      </c>
      <c r="H341" s="5">
        <v>0</v>
      </c>
    </row>
    <row r="342" spans="1:8" x14ac:dyDescent="0.35">
      <c r="A342" s="2" t="s">
        <v>511</v>
      </c>
      <c r="B342" s="2" t="s">
        <v>447</v>
      </c>
      <c r="C342" s="2" t="s">
        <v>559</v>
      </c>
      <c r="D342" s="2" t="s">
        <v>560</v>
      </c>
      <c r="E342" s="2" t="s">
        <v>561</v>
      </c>
      <c r="F342" s="3">
        <v>209</v>
      </c>
      <c r="G342" s="4">
        <v>36</v>
      </c>
      <c r="H342" s="5">
        <v>7.4999999999999997E-3</v>
      </c>
    </row>
    <row r="343" spans="1:8" x14ac:dyDescent="0.35">
      <c r="A343" s="2" t="s">
        <v>511</v>
      </c>
      <c r="B343" s="2" t="s">
        <v>447</v>
      </c>
      <c r="C343" s="2" t="s">
        <v>562</v>
      </c>
      <c r="D343" s="2" t="s">
        <v>563</v>
      </c>
      <c r="E343" s="2" t="s">
        <v>564</v>
      </c>
      <c r="F343" s="3">
        <v>33.520000000000003</v>
      </c>
      <c r="G343" s="4">
        <v>36</v>
      </c>
      <c r="H343" s="5">
        <v>0</v>
      </c>
    </row>
    <row r="344" spans="1:8" x14ac:dyDescent="0.35">
      <c r="A344" s="2" t="s">
        <v>511</v>
      </c>
      <c r="B344" s="2" t="s">
        <v>447</v>
      </c>
      <c r="C344" s="2" t="s">
        <v>565</v>
      </c>
      <c r="D344" s="2" t="s">
        <v>566</v>
      </c>
      <c r="E344" s="2" t="s">
        <v>567</v>
      </c>
      <c r="F344" s="3">
        <v>24.49</v>
      </c>
      <c r="G344" s="4">
        <v>1</v>
      </c>
      <c r="H344" s="5">
        <v>0</v>
      </c>
    </row>
    <row r="345" spans="1:8" x14ac:dyDescent="0.35">
      <c r="A345" s="2" t="s">
        <v>511</v>
      </c>
      <c r="B345" s="2" t="s">
        <v>447</v>
      </c>
      <c r="C345" s="2" t="s">
        <v>568</v>
      </c>
      <c r="D345" s="2" t="s">
        <v>569</v>
      </c>
      <c r="E345" s="2" t="s">
        <v>570</v>
      </c>
      <c r="F345" s="3">
        <v>24.49</v>
      </c>
      <c r="G345" s="4">
        <v>1</v>
      </c>
      <c r="H345" s="5">
        <v>0</v>
      </c>
    </row>
    <row r="346" spans="1:8" x14ac:dyDescent="0.35">
      <c r="A346" s="2" t="s">
        <v>511</v>
      </c>
      <c r="B346" s="2" t="s">
        <v>447</v>
      </c>
      <c r="C346" s="2" t="s">
        <v>571</v>
      </c>
      <c r="D346" s="2" t="s">
        <v>572</v>
      </c>
      <c r="E346" s="2" t="s">
        <v>24</v>
      </c>
      <c r="F346" s="3">
        <v>338.46</v>
      </c>
      <c r="G346" s="4">
        <v>12</v>
      </c>
      <c r="H346" s="5">
        <v>0</v>
      </c>
    </row>
    <row r="347" spans="1:8" x14ac:dyDescent="0.35">
      <c r="A347" s="2" t="s">
        <v>511</v>
      </c>
      <c r="B347" s="2" t="s">
        <v>447</v>
      </c>
      <c r="C347" s="2" t="s">
        <v>571</v>
      </c>
      <c r="D347" s="2" t="s">
        <v>572</v>
      </c>
      <c r="E347" s="2" t="s">
        <v>24</v>
      </c>
      <c r="F347" s="3">
        <v>75.52</v>
      </c>
      <c r="G347" s="4">
        <v>36</v>
      </c>
      <c r="H347" s="5">
        <v>0</v>
      </c>
    </row>
    <row r="348" spans="1:8" x14ac:dyDescent="0.35">
      <c r="A348" s="2" t="s">
        <v>511</v>
      </c>
      <c r="B348" s="2" t="s">
        <v>574</v>
      </c>
      <c r="C348" s="2" t="s">
        <v>512</v>
      </c>
      <c r="D348" s="2" t="s">
        <v>451</v>
      </c>
      <c r="E348" s="2" t="s">
        <v>452</v>
      </c>
      <c r="F348" s="3">
        <v>52</v>
      </c>
      <c r="G348" s="4">
        <v>1</v>
      </c>
      <c r="H348" s="5">
        <v>0</v>
      </c>
    </row>
    <row r="349" spans="1:8" x14ac:dyDescent="0.35">
      <c r="A349" s="2" t="s">
        <v>511</v>
      </c>
      <c r="B349" s="2" t="s">
        <v>574</v>
      </c>
      <c r="C349" s="2" t="s">
        <v>513</v>
      </c>
      <c r="D349" s="2" t="s">
        <v>514</v>
      </c>
      <c r="E349" s="2" t="s">
        <v>271</v>
      </c>
      <c r="F349" s="3">
        <v>69955</v>
      </c>
      <c r="G349" s="4">
        <v>60</v>
      </c>
      <c r="H349" s="5">
        <v>7.4999999999999997E-3</v>
      </c>
    </row>
    <row r="350" spans="1:8" x14ac:dyDescent="0.35">
      <c r="A350" s="2" t="s">
        <v>511</v>
      </c>
      <c r="B350" s="2" t="s">
        <v>574</v>
      </c>
      <c r="C350" s="2" t="s">
        <v>515</v>
      </c>
      <c r="D350" s="2" t="s">
        <v>516</v>
      </c>
      <c r="E350" s="2" t="s">
        <v>69</v>
      </c>
      <c r="F350" s="3">
        <v>1190</v>
      </c>
      <c r="G350" s="4">
        <v>60</v>
      </c>
      <c r="H350" s="5">
        <v>0</v>
      </c>
    </row>
    <row r="351" spans="1:8" x14ac:dyDescent="0.35">
      <c r="A351" s="2" t="s">
        <v>511</v>
      </c>
      <c r="B351" s="2" t="s">
        <v>574</v>
      </c>
      <c r="C351" s="2" t="s">
        <v>500</v>
      </c>
      <c r="D351" s="2" t="s">
        <v>501</v>
      </c>
      <c r="E351" s="2" t="s">
        <v>46</v>
      </c>
      <c r="F351" s="3">
        <v>1145</v>
      </c>
      <c r="G351" s="4">
        <v>60</v>
      </c>
      <c r="H351" s="5">
        <v>7.4999999999999997E-3</v>
      </c>
    </row>
    <row r="352" spans="1:8" x14ac:dyDescent="0.35">
      <c r="A352" s="2" t="s">
        <v>511</v>
      </c>
      <c r="B352" s="2" t="s">
        <v>574</v>
      </c>
      <c r="C352" s="2" t="s">
        <v>498</v>
      </c>
      <c r="D352" s="2" t="s">
        <v>499</v>
      </c>
      <c r="E352" s="6" t="s">
        <v>147</v>
      </c>
      <c r="F352" s="3">
        <v>1150</v>
      </c>
      <c r="G352" s="4">
        <v>60</v>
      </c>
      <c r="H352" s="5">
        <v>7.4999999999999997E-3</v>
      </c>
    </row>
    <row r="353" spans="1:8" x14ac:dyDescent="0.35">
      <c r="A353" s="2" t="s">
        <v>511</v>
      </c>
      <c r="B353" s="2" t="s">
        <v>574</v>
      </c>
      <c r="C353" s="2" t="s">
        <v>517</v>
      </c>
      <c r="D353" s="2" t="s">
        <v>477</v>
      </c>
      <c r="E353" s="2" t="s">
        <v>92</v>
      </c>
      <c r="F353" s="3">
        <v>1240</v>
      </c>
      <c r="G353" s="4">
        <v>60</v>
      </c>
      <c r="H353" s="5">
        <v>0</v>
      </c>
    </row>
    <row r="354" spans="1:8" x14ac:dyDescent="0.35">
      <c r="A354" s="2" t="s">
        <v>511</v>
      </c>
      <c r="B354" s="2" t="s">
        <v>574</v>
      </c>
      <c r="C354" s="2" t="s">
        <v>518</v>
      </c>
      <c r="D354" s="2" t="s">
        <v>519</v>
      </c>
      <c r="E354" s="2" t="s">
        <v>215</v>
      </c>
      <c r="F354" s="3">
        <v>112</v>
      </c>
      <c r="G354" s="4">
        <v>24</v>
      </c>
      <c r="H354" s="5">
        <v>0</v>
      </c>
    </row>
    <row r="355" spans="1:8" x14ac:dyDescent="0.35">
      <c r="A355" s="2" t="s">
        <v>511</v>
      </c>
      <c r="B355" s="2" t="s">
        <v>574</v>
      </c>
      <c r="C355" s="2" t="s">
        <v>520</v>
      </c>
      <c r="D355" s="2" t="s">
        <v>449</v>
      </c>
      <c r="E355" s="2" t="s">
        <v>300</v>
      </c>
      <c r="F355" s="3">
        <v>45</v>
      </c>
      <c r="G355" s="4">
        <v>60</v>
      </c>
      <c r="H355" s="5">
        <v>0</v>
      </c>
    </row>
    <row r="356" spans="1:8" x14ac:dyDescent="0.35">
      <c r="A356" s="2" t="s">
        <v>511</v>
      </c>
      <c r="B356" s="2" t="s">
        <v>574</v>
      </c>
      <c r="C356" s="2" t="s">
        <v>521</v>
      </c>
      <c r="D356" s="2" t="s">
        <v>522</v>
      </c>
      <c r="E356" s="2" t="s">
        <v>59</v>
      </c>
      <c r="F356" s="3">
        <v>150</v>
      </c>
      <c r="G356" s="4">
        <v>60</v>
      </c>
      <c r="H356" s="5">
        <v>0</v>
      </c>
    </row>
    <row r="357" spans="1:8" x14ac:dyDescent="0.35">
      <c r="A357" s="2" t="s">
        <v>511</v>
      </c>
      <c r="B357" s="2" t="s">
        <v>574</v>
      </c>
      <c r="C357" s="2" t="s">
        <v>523</v>
      </c>
      <c r="D357" s="2" t="s">
        <v>524</v>
      </c>
      <c r="E357" s="2" t="s">
        <v>525</v>
      </c>
      <c r="F357" s="3">
        <v>217.2</v>
      </c>
      <c r="G357" s="4">
        <v>60</v>
      </c>
      <c r="H357" s="5">
        <v>0</v>
      </c>
    </row>
    <row r="358" spans="1:8" x14ac:dyDescent="0.35">
      <c r="A358" s="2" t="s">
        <v>511</v>
      </c>
      <c r="B358" s="2" t="s">
        <v>574</v>
      </c>
      <c r="C358" s="2" t="s">
        <v>526</v>
      </c>
      <c r="D358" s="2" t="s">
        <v>527</v>
      </c>
      <c r="E358" s="2" t="s">
        <v>315</v>
      </c>
      <c r="F358" s="3">
        <v>72</v>
      </c>
      <c r="G358" s="4">
        <v>60</v>
      </c>
      <c r="H358" s="5">
        <v>0</v>
      </c>
    </row>
    <row r="359" spans="1:8" x14ac:dyDescent="0.35">
      <c r="A359" s="2" t="s">
        <v>511</v>
      </c>
      <c r="B359" s="2" t="s">
        <v>574</v>
      </c>
      <c r="C359" s="2" t="s">
        <v>528</v>
      </c>
      <c r="D359" s="2" t="s">
        <v>529</v>
      </c>
      <c r="E359" s="2" t="s">
        <v>530</v>
      </c>
      <c r="F359" s="3">
        <v>45</v>
      </c>
      <c r="G359" s="4">
        <v>60</v>
      </c>
      <c r="H359" s="5">
        <v>0</v>
      </c>
    </row>
    <row r="360" spans="1:8" x14ac:dyDescent="0.35">
      <c r="A360" s="2" t="s">
        <v>511</v>
      </c>
      <c r="B360" s="2" t="s">
        <v>574</v>
      </c>
      <c r="C360" s="2" t="s">
        <v>531</v>
      </c>
      <c r="D360" s="2" t="s">
        <v>532</v>
      </c>
      <c r="E360" s="2" t="s">
        <v>443</v>
      </c>
      <c r="F360" s="3">
        <v>125</v>
      </c>
      <c r="G360" s="4">
        <v>1</v>
      </c>
      <c r="H360" s="5">
        <v>0</v>
      </c>
    </row>
    <row r="361" spans="1:8" x14ac:dyDescent="0.35">
      <c r="A361" s="2" t="s">
        <v>511</v>
      </c>
      <c r="B361" s="2" t="s">
        <v>574</v>
      </c>
      <c r="C361" s="2" t="s">
        <v>533</v>
      </c>
      <c r="D361" s="2" t="s">
        <v>534</v>
      </c>
      <c r="E361" s="2" t="s">
        <v>535</v>
      </c>
      <c r="F361" s="3">
        <v>13</v>
      </c>
      <c r="G361" s="4">
        <v>60</v>
      </c>
      <c r="H361" s="5">
        <v>0</v>
      </c>
    </row>
    <row r="362" spans="1:8" x14ac:dyDescent="0.35">
      <c r="A362" s="2" t="s">
        <v>511</v>
      </c>
      <c r="B362" s="2" t="s">
        <v>574</v>
      </c>
      <c r="C362" s="2" t="s">
        <v>536</v>
      </c>
      <c r="D362" s="2" t="s">
        <v>537</v>
      </c>
      <c r="E362" s="2" t="s">
        <v>248</v>
      </c>
      <c r="F362" s="3">
        <v>61.5</v>
      </c>
      <c r="G362" s="4">
        <v>60</v>
      </c>
      <c r="H362" s="5">
        <v>0</v>
      </c>
    </row>
    <row r="363" spans="1:8" x14ac:dyDescent="0.35">
      <c r="A363" s="2" t="s">
        <v>511</v>
      </c>
      <c r="B363" s="2" t="s">
        <v>574</v>
      </c>
      <c r="C363" s="2" t="s">
        <v>490</v>
      </c>
      <c r="D363" s="2" t="s">
        <v>491</v>
      </c>
      <c r="E363" s="2" t="s">
        <v>226</v>
      </c>
      <c r="F363" s="3">
        <v>1588</v>
      </c>
      <c r="G363" s="4">
        <v>60</v>
      </c>
      <c r="H363" s="5">
        <v>7.4999999999999997E-3</v>
      </c>
    </row>
    <row r="364" spans="1:8" x14ac:dyDescent="0.35">
      <c r="A364" s="2" t="s">
        <v>511</v>
      </c>
      <c r="B364" s="2" t="s">
        <v>574</v>
      </c>
      <c r="C364" s="2" t="s">
        <v>538</v>
      </c>
      <c r="D364" s="2" t="s">
        <v>539</v>
      </c>
      <c r="E364" s="2" t="s">
        <v>303</v>
      </c>
      <c r="F364" s="3">
        <v>19.809999999999999</v>
      </c>
      <c r="G364" s="4">
        <v>60</v>
      </c>
      <c r="H364" s="5">
        <v>0</v>
      </c>
    </row>
    <row r="365" spans="1:8" x14ac:dyDescent="0.35">
      <c r="A365" s="2" t="s">
        <v>511</v>
      </c>
      <c r="B365" s="2" t="s">
        <v>574</v>
      </c>
      <c r="C365" s="2" t="s">
        <v>540</v>
      </c>
      <c r="D365" s="2" t="s">
        <v>483</v>
      </c>
      <c r="E365" s="2" t="s">
        <v>322</v>
      </c>
      <c r="F365" s="3">
        <v>19.43</v>
      </c>
      <c r="G365" s="4">
        <v>60</v>
      </c>
      <c r="H365" s="5">
        <v>0</v>
      </c>
    </row>
    <row r="366" spans="1:8" x14ac:dyDescent="0.35">
      <c r="A366" s="2" t="s">
        <v>511</v>
      </c>
      <c r="B366" s="2" t="s">
        <v>574</v>
      </c>
      <c r="C366" s="2" t="s">
        <v>541</v>
      </c>
      <c r="D366" s="2" t="s">
        <v>542</v>
      </c>
      <c r="E366" s="2" t="s">
        <v>543</v>
      </c>
      <c r="F366" s="3">
        <v>67289.45</v>
      </c>
      <c r="G366" s="4">
        <v>60</v>
      </c>
      <c r="H366" s="5">
        <v>7.4999999999999997E-3</v>
      </c>
    </row>
    <row r="367" spans="1:8" x14ac:dyDescent="0.35">
      <c r="A367" s="2" t="s">
        <v>511</v>
      </c>
      <c r="B367" s="2" t="s">
        <v>574</v>
      </c>
      <c r="C367" s="2" t="s">
        <v>544</v>
      </c>
      <c r="D367" s="2" t="s">
        <v>545</v>
      </c>
      <c r="E367" s="2" t="s">
        <v>546</v>
      </c>
      <c r="F367" s="3">
        <v>12.54</v>
      </c>
      <c r="G367" s="4">
        <v>60</v>
      </c>
      <c r="H367" s="5">
        <v>0</v>
      </c>
    </row>
    <row r="368" spans="1:8" x14ac:dyDescent="0.35">
      <c r="A368" s="2" t="s">
        <v>511</v>
      </c>
      <c r="B368" s="2" t="s">
        <v>574</v>
      </c>
      <c r="C368" s="2" t="s">
        <v>547</v>
      </c>
      <c r="D368" s="2" t="s">
        <v>469</v>
      </c>
      <c r="E368" s="2" t="s">
        <v>470</v>
      </c>
      <c r="F368" s="3">
        <v>475</v>
      </c>
      <c r="G368" s="4">
        <v>60</v>
      </c>
      <c r="H368" s="5">
        <v>0</v>
      </c>
    </row>
    <row r="369" spans="1:8" x14ac:dyDescent="0.35">
      <c r="A369" s="2" t="s">
        <v>511</v>
      </c>
      <c r="B369" s="2" t="s">
        <v>574</v>
      </c>
      <c r="C369" s="2" t="s">
        <v>548</v>
      </c>
      <c r="D369" s="2" t="s">
        <v>465</v>
      </c>
      <c r="E369" s="6" t="s">
        <v>180</v>
      </c>
      <c r="F369" s="3">
        <v>283.38</v>
      </c>
      <c r="G369" s="4">
        <v>60</v>
      </c>
      <c r="H369" s="5">
        <v>0</v>
      </c>
    </row>
    <row r="370" spans="1:8" x14ac:dyDescent="0.35">
      <c r="A370" s="2" t="s">
        <v>511</v>
      </c>
      <c r="B370" s="2" t="s">
        <v>574</v>
      </c>
      <c r="C370" s="2" t="s">
        <v>549</v>
      </c>
      <c r="D370" s="2" t="s">
        <v>550</v>
      </c>
      <c r="E370" s="2" t="s">
        <v>82</v>
      </c>
      <c r="F370" s="3">
        <v>1225.49</v>
      </c>
      <c r="G370" s="4">
        <v>60</v>
      </c>
      <c r="H370" s="5">
        <v>0</v>
      </c>
    </row>
    <row r="371" spans="1:8" x14ac:dyDescent="0.35">
      <c r="A371" s="2" t="s">
        <v>511</v>
      </c>
      <c r="B371" s="2" t="s">
        <v>574</v>
      </c>
      <c r="C371" s="2" t="s">
        <v>549</v>
      </c>
      <c r="D371" s="2" t="s">
        <v>550</v>
      </c>
      <c r="E371" s="2" t="s">
        <v>82</v>
      </c>
      <c r="F371" s="3">
        <v>332.5</v>
      </c>
      <c r="G371" s="4">
        <v>60</v>
      </c>
      <c r="H371" s="5">
        <v>0</v>
      </c>
    </row>
    <row r="372" spans="1:8" x14ac:dyDescent="0.35">
      <c r="A372" s="2" t="s">
        <v>511</v>
      </c>
      <c r="B372" s="2" t="s">
        <v>574</v>
      </c>
      <c r="C372" s="2" t="s">
        <v>551</v>
      </c>
      <c r="D372" s="2" t="s">
        <v>552</v>
      </c>
      <c r="E372" s="2" t="s">
        <v>71</v>
      </c>
      <c r="F372" s="3">
        <v>332.5</v>
      </c>
      <c r="G372" s="4">
        <v>60</v>
      </c>
      <c r="H372" s="5">
        <v>0</v>
      </c>
    </row>
    <row r="373" spans="1:8" x14ac:dyDescent="0.35">
      <c r="A373" s="2" t="s">
        <v>511</v>
      </c>
      <c r="B373" s="2" t="s">
        <v>574</v>
      </c>
      <c r="C373" s="2" t="s">
        <v>553</v>
      </c>
      <c r="D373" s="2" t="s">
        <v>554</v>
      </c>
      <c r="E373" s="2" t="s">
        <v>322</v>
      </c>
      <c r="F373" s="3">
        <v>36.880000000000003</v>
      </c>
      <c r="G373" s="4">
        <v>60</v>
      </c>
      <c r="H373" s="5">
        <v>0</v>
      </c>
    </row>
    <row r="374" spans="1:8" x14ac:dyDescent="0.35">
      <c r="A374" s="2" t="s">
        <v>511</v>
      </c>
      <c r="B374" s="2" t="s">
        <v>574</v>
      </c>
      <c r="C374" s="2" t="s">
        <v>555</v>
      </c>
      <c r="D374" s="2" t="s">
        <v>475</v>
      </c>
      <c r="E374" s="2" t="s">
        <v>193</v>
      </c>
      <c r="F374" s="3">
        <v>223.44</v>
      </c>
      <c r="G374" s="4">
        <v>60</v>
      </c>
      <c r="H374" s="5">
        <v>0</v>
      </c>
    </row>
    <row r="375" spans="1:8" x14ac:dyDescent="0.35">
      <c r="A375" s="2" t="s">
        <v>511</v>
      </c>
      <c r="B375" s="2" t="s">
        <v>574</v>
      </c>
      <c r="C375" s="2" t="s">
        <v>556</v>
      </c>
      <c r="D375" s="2" t="s">
        <v>557</v>
      </c>
      <c r="E375" s="2" t="s">
        <v>424</v>
      </c>
      <c r="F375" s="3">
        <v>1196.02</v>
      </c>
      <c r="G375" s="4">
        <v>60</v>
      </c>
      <c r="H375" s="5">
        <v>0</v>
      </c>
    </row>
    <row r="376" spans="1:8" x14ac:dyDescent="0.35">
      <c r="A376" s="2" t="s">
        <v>511</v>
      </c>
      <c r="B376" s="2" t="s">
        <v>574</v>
      </c>
      <c r="C376" s="2" t="s">
        <v>558</v>
      </c>
      <c r="D376" s="2" t="s">
        <v>341</v>
      </c>
      <c r="E376" s="2" t="s">
        <v>102</v>
      </c>
      <c r="F376" s="3">
        <v>800</v>
      </c>
      <c r="G376" s="4">
        <v>36</v>
      </c>
      <c r="H376" s="5">
        <v>0</v>
      </c>
    </row>
    <row r="377" spans="1:8" x14ac:dyDescent="0.35">
      <c r="A377" s="2" t="s">
        <v>511</v>
      </c>
      <c r="B377" s="2" t="s">
        <v>574</v>
      </c>
      <c r="C377" s="2" t="s">
        <v>559</v>
      </c>
      <c r="D377" s="2" t="s">
        <v>560</v>
      </c>
      <c r="E377" s="2" t="s">
        <v>561</v>
      </c>
      <c r="F377" s="3">
        <v>209</v>
      </c>
      <c r="G377" s="4">
        <v>36</v>
      </c>
      <c r="H377" s="5">
        <v>7.4999999999999997E-3</v>
      </c>
    </row>
    <row r="378" spans="1:8" x14ac:dyDescent="0.35">
      <c r="A378" s="2" t="s">
        <v>511</v>
      </c>
      <c r="B378" s="2" t="s">
        <v>574</v>
      </c>
      <c r="C378" s="2" t="s">
        <v>562</v>
      </c>
      <c r="D378" s="2" t="s">
        <v>563</v>
      </c>
      <c r="E378" s="2" t="s">
        <v>564</v>
      </c>
      <c r="F378" s="3">
        <v>33.520000000000003</v>
      </c>
      <c r="G378" s="4">
        <v>36</v>
      </c>
      <c r="H378" s="5">
        <v>0</v>
      </c>
    </row>
    <row r="379" spans="1:8" x14ac:dyDescent="0.35">
      <c r="A379" s="2" t="s">
        <v>511</v>
      </c>
      <c r="B379" s="2" t="s">
        <v>574</v>
      </c>
      <c r="C379" s="2" t="s">
        <v>565</v>
      </c>
      <c r="D379" s="2" t="s">
        <v>566</v>
      </c>
      <c r="E379" s="2" t="s">
        <v>567</v>
      </c>
      <c r="F379" s="3">
        <v>24.49</v>
      </c>
      <c r="G379" s="4">
        <v>1</v>
      </c>
      <c r="H379" s="5">
        <v>0</v>
      </c>
    </row>
    <row r="380" spans="1:8" x14ac:dyDescent="0.35">
      <c r="A380" s="2" t="s">
        <v>511</v>
      </c>
      <c r="B380" s="2" t="s">
        <v>574</v>
      </c>
      <c r="C380" s="2" t="s">
        <v>568</v>
      </c>
      <c r="D380" s="2" t="s">
        <v>569</v>
      </c>
      <c r="E380" s="2" t="s">
        <v>570</v>
      </c>
      <c r="F380" s="3">
        <v>24.49</v>
      </c>
      <c r="G380" s="4">
        <v>1</v>
      </c>
      <c r="H380" s="5">
        <v>0</v>
      </c>
    </row>
    <row r="381" spans="1:8" x14ac:dyDescent="0.35">
      <c r="A381" s="2" t="s">
        <v>511</v>
      </c>
      <c r="B381" s="2" t="s">
        <v>574</v>
      </c>
      <c r="C381" s="2" t="s">
        <v>571</v>
      </c>
      <c r="D381" s="2" t="s">
        <v>572</v>
      </c>
      <c r="E381" s="2" t="s">
        <v>24</v>
      </c>
      <c r="F381" s="3">
        <v>338.46</v>
      </c>
      <c r="G381" s="4">
        <v>12</v>
      </c>
      <c r="H381" s="5">
        <v>0</v>
      </c>
    </row>
    <row r="382" spans="1:8" x14ac:dyDescent="0.35">
      <c r="A382" s="2" t="s">
        <v>511</v>
      </c>
      <c r="B382" s="2" t="s">
        <v>574</v>
      </c>
      <c r="C382" s="2" t="s">
        <v>571</v>
      </c>
      <c r="D382" s="2" t="s">
        <v>572</v>
      </c>
      <c r="E382" s="2" t="s">
        <v>24</v>
      </c>
      <c r="F382" s="3">
        <v>75.52</v>
      </c>
      <c r="G382" s="4">
        <v>36</v>
      </c>
      <c r="H382" s="5">
        <v>0</v>
      </c>
    </row>
    <row r="383" spans="1:8" x14ac:dyDescent="0.35">
      <c r="A383" s="2" t="s">
        <v>511</v>
      </c>
      <c r="B383" s="2" t="s">
        <v>509</v>
      </c>
      <c r="C383" s="2" t="s">
        <v>512</v>
      </c>
      <c r="D383" s="2" t="s">
        <v>451</v>
      </c>
      <c r="E383" s="2" t="s">
        <v>452</v>
      </c>
      <c r="F383" s="3">
        <v>56.17</v>
      </c>
      <c r="G383" s="4">
        <v>1</v>
      </c>
      <c r="H383" s="5">
        <v>0</v>
      </c>
    </row>
    <row r="384" spans="1:8" x14ac:dyDescent="0.35">
      <c r="A384" s="2" t="s">
        <v>511</v>
      </c>
      <c r="B384" s="2" t="s">
        <v>509</v>
      </c>
      <c r="C384" s="2" t="s">
        <v>513</v>
      </c>
      <c r="D384" s="2" t="s">
        <v>514</v>
      </c>
      <c r="E384" s="2" t="s">
        <v>271</v>
      </c>
      <c r="F384" s="3">
        <v>9998</v>
      </c>
      <c r="G384" s="4">
        <v>36</v>
      </c>
      <c r="H384" s="5">
        <v>7.4999999999999997E-3</v>
      </c>
    </row>
    <row r="385" spans="1:8" x14ac:dyDescent="0.35">
      <c r="A385" s="2" t="s">
        <v>511</v>
      </c>
      <c r="B385" s="2" t="s">
        <v>509</v>
      </c>
      <c r="C385" s="2" t="s">
        <v>515</v>
      </c>
      <c r="D385" s="2" t="s">
        <v>516</v>
      </c>
      <c r="E385" s="2" t="s">
        <v>69</v>
      </c>
      <c r="F385" s="3">
        <v>1190</v>
      </c>
      <c r="G385" s="4">
        <v>36</v>
      </c>
      <c r="H385" s="5">
        <v>0</v>
      </c>
    </row>
    <row r="386" spans="1:8" x14ac:dyDescent="0.35">
      <c r="A386" s="2" t="s">
        <v>511</v>
      </c>
      <c r="B386" s="2" t="s">
        <v>509</v>
      </c>
      <c r="C386" s="2" t="s">
        <v>500</v>
      </c>
      <c r="D386" s="2" t="s">
        <v>501</v>
      </c>
      <c r="E386" s="2" t="s">
        <v>46</v>
      </c>
      <c r="F386" s="3">
        <v>1912.38</v>
      </c>
      <c r="G386" s="4">
        <v>36</v>
      </c>
      <c r="H386" s="5">
        <v>7.4999999999999997E-3</v>
      </c>
    </row>
    <row r="387" spans="1:8" x14ac:dyDescent="0.35">
      <c r="A387" s="2" t="s">
        <v>511</v>
      </c>
      <c r="B387" s="2" t="s">
        <v>509</v>
      </c>
      <c r="C387" s="2" t="s">
        <v>498</v>
      </c>
      <c r="D387" s="2" t="s">
        <v>499</v>
      </c>
      <c r="E387" s="6" t="s">
        <v>147</v>
      </c>
      <c r="F387" s="3">
        <v>1916.68</v>
      </c>
      <c r="G387" s="4">
        <v>18</v>
      </c>
      <c r="H387" s="5">
        <v>7.4999999999999997E-3</v>
      </c>
    </row>
    <row r="388" spans="1:8" x14ac:dyDescent="0.35">
      <c r="A388" s="2" t="s">
        <v>511</v>
      </c>
      <c r="B388" s="2" t="s">
        <v>509</v>
      </c>
      <c r="C388" s="2" t="s">
        <v>517</v>
      </c>
      <c r="D388" s="2" t="s">
        <v>477</v>
      </c>
      <c r="E388" s="2" t="s">
        <v>92</v>
      </c>
      <c r="F388" s="3">
        <v>1261.74</v>
      </c>
      <c r="G388" s="4">
        <v>36</v>
      </c>
      <c r="H388" s="5">
        <v>0</v>
      </c>
    </row>
    <row r="389" spans="1:8" x14ac:dyDescent="0.35">
      <c r="A389" s="2" t="s">
        <v>511</v>
      </c>
      <c r="B389" s="2" t="s">
        <v>509</v>
      </c>
      <c r="C389" s="2" t="s">
        <v>518</v>
      </c>
      <c r="D389" s="2" t="s">
        <v>519</v>
      </c>
      <c r="E389" s="2" t="s">
        <v>215</v>
      </c>
      <c r="F389" s="3">
        <v>118.9</v>
      </c>
      <c r="G389" s="4">
        <v>25</v>
      </c>
      <c r="H389" s="5">
        <v>0</v>
      </c>
    </row>
    <row r="390" spans="1:8" x14ac:dyDescent="0.35">
      <c r="A390" s="2" t="s">
        <v>511</v>
      </c>
      <c r="B390" s="2" t="s">
        <v>509</v>
      </c>
      <c r="C390" s="2" t="s">
        <v>520</v>
      </c>
      <c r="D390" s="2" t="s">
        <v>449</v>
      </c>
      <c r="E390" s="2" t="s">
        <v>300</v>
      </c>
      <c r="F390" s="3">
        <v>21.75</v>
      </c>
      <c r="G390" s="4">
        <v>10</v>
      </c>
      <c r="H390" s="5">
        <v>0</v>
      </c>
    </row>
    <row r="391" spans="1:8" x14ac:dyDescent="0.35">
      <c r="A391" s="2" t="s">
        <v>511</v>
      </c>
      <c r="B391" s="2" t="s">
        <v>509</v>
      </c>
      <c r="C391" s="2" t="s">
        <v>521</v>
      </c>
      <c r="D391" s="2" t="s">
        <v>522</v>
      </c>
      <c r="E391" s="2" t="s">
        <v>59</v>
      </c>
      <c r="F391" s="3">
        <v>580.32000000000005</v>
      </c>
      <c r="G391" s="4">
        <v>25</v>
      </c>
      <c r="H391" s="5">
        <v>0</v>
      </c>
    </row>
    <row r="392" spans="1:8" x14ac:dyDescent="0.35">
      <c r="A392" s="2" t="s">
        <v>511</v>
      </c>
      <c r="B392" s="2" t="s">
        <v>509</v>
      </c>
      <c r="C392" s="2" t="s">
        <v>523</v>
      </c>
      <c r="D392" s="2" t="s">
        <v>524</v>
      </c>
      <c r="E392" s="2" t="s">
        <v>525</v>
      </c>
      <c r="F392" s="3">
        <v>576.47</v>
      </c>
      <c r="G392" s="4">
        <v>20</v>
      </c>
      <c r="H392" s="5">
        <v>0</v>
      </c>
    </row>
    <row r="393" spans="1:8" x14ac:dyDescent="0.35">
      <c r="A393" s="2" t="s">
        <v>511</v>
      </c>
      <c r="B393" s="2" t="s">
        <v>509</v>
      </c>
      <c r="C393" s="2" t="s">
        <v>526</v>
      </c>
      <c r="D393" s="2" t="s">
        <v>527</v>
      </c>
      <c r="E393" s="2" t="s">
        <v>315</v>
      </c>
      <c r="F393" s="3">
        <v>32.19</v>
      </c>
      <c r="G393" s="4">
        <v>12</v>
      </c>
      <c r="H393" s="5">
        <v>0</v>
      </c>
    </row>
    <row r="394" spans="1:8" x14ac:dyDescent="0.35">
      <c r="A394" s="2" t="s">
        <v>511</v>
      </c>
      <c r="B394" s="2" t="s">
        <v>509</v>
      </c>
      <c r="C394" s="2" t="s">
        <v>528</v>
      </c>
      <c r="D394" s="2" t="s">
        <v>529</v>
      </c>
      <c r="E394" s="2" t="s">
        <v>530</v>
      </c>
      <c r="F394" s="3">
        <v>58.5</v>
      </c>
      <c r="G394" s="4">
        <v>10</v>
      </c>
      <c r="H394" s="5">
        <v>0</v>
      </c>
    </row>
    <row r="395" spans="1:8" x14ac:dyDescent="0.35">
      <c r="A395" s="2" t="s">
        <v>511</v>
      </c>
      <c r="B395" s="2" t="s">
        <v>509</v>
      </c>
      <c r="C395" s="2" t="s">
        <v>531</v>
      </c>
      <c r="D395" s="2" t="s">
        <v>532</v>
      </c>
      <c r="E395" s="2" t="s">
        <v>443</v>
      </c>
      <c r="F395" s="3">
        <v>34</v>
      </c>
      <c r="G395" s="4">
        <v>1</v>
      </c>
      <c r="H395" s="5">
        <v>0</v>
      </c>
    </row>
    <row r="396" spans="1:8" x14ac:dyDescent="0.35">
      <c r="A396" s="2" t="s">
        <v>511</v>
      </c>
      <c r="B396" s="2" t="s">
        <v>509</v>
      </c>
      <c r="C396" s="2" t="s">
        <v>533</v>
      </c>
      <c r="D396" s="2" t="s">
        <v>534</v>
      </c>
      <c r="E396" s="2" t="s">
        <v>535</v>
      </c>
      <c r="F396" s="3">
        <v>67.61</v>
      </c>
      <c r="G396" s="4">
        <v>12</v>
      </c>
      <c r="H396" s="5">
        <v>0</v>
      </c>
    </row>
    <row r="397" spans="1:8" x14ac:dyDescent="0.35">
      <c r="A397" s="2" t="s">
        <v>511</v>
      </c>
      <c r="B397" s="2" t="s">
        <v>509</v>
      </c>
      <c r="C397" s="2" t="s">
        <v>536</v>
      </c>
      <c r="D397" s="2" t="s">
        <v>537</v>
      </c>
      <c r="E397" s="2" t="s">
        <v>248</v>
      </c>
      <c r="F397" s="3">
        <v>108.34</v>
      </c>
      <c r="G397" s="4">
        <v>36</v>
      </c>
      <c r="H397" s="5">
        <v>0</v>
      </c>
    </row>
    <row r="398" spans="1:8" x14ac:dyDescent="0.35">
      <c r="A398" s="2" t="s">
        <v>511</v>
      </c>
      <c r="B398" s="2" t="s">
        <v>509</v>
      </c>
      <c r="C398" s="2" t="s">
        <v>490</v>
      </c>
      <c r="D398" s="2" t="s">
        <v>491</v>
      </c>
      <c r="E398" s="2" t="s">
        <v>226</v>
      </c>
      <c r="F398" s="3">
        <v>7600</v>
      </c>
      <c r="G398" s="4">
        <v>36</v>
      </c>
      <c r="H398" s="5">
        <v>7.4999999999999997E-3</v>
      </c>
    </row>
    <row r="399" spans="1:8" x14ac:dyDescent="0.35">
      <c r="A399" s="2" t="s">
        <v>511</v>
      </c>
      <c r="B399" s="2" t="s">
        <v>509</v>
      </c>
      <c r="C399" s="2" t="s">
        <v>538</v>
      </c>
      <c r="D399" s="2" t="s">
        <v>539</v>
      </c>
      <c r="E399" s="2" t="s">
        <v>303</v>
      </c>
      <c r="F399" s="3">
        <v>87.85</v>
      </c>
      <c r="G399" s="4">
        <v>12</v>
      </c>
      <c r="H399" s="5">
        <v>0</v>
      </c>
    </row>
    <row r="400" spans="1:8" x14ac:dyDescent="0.35">
      <c r="A400" s="2" t="s">
        <v>511</v>
      </c>
      <c r="B400" s="2" t="s">
        <v>509</v>
      </c>
      <c r="C400" s="2" t="s">
        <v>540</v>
      </c>
      <c r="D400" s="2" t="s">
        <v>483</v>
      </c>
      <c r="E400" s="2" t="s">
        <v>322</v>
      </c>
      <c r="F400" s="3">
        <v>44.07</v>
      </c>
      <c r="G400" s="4">
        <v>10</v>
      </c>
      <c r="H400" s="5">
        <v>0</v>
      </c>
    </row>
    <row r="401" spans="1:8" x14ac:dyDescent="0.35">
      <c r="A401" s="2" t="s">
        <v>511</v>
      </c>
      <c r="B401" s="2" t="s">
        <v>509</v>
      </c>
      <c r="C401" s="2" t="s">
        <v>541</v>
      </c>
      <c r="D401" s="2" t="s">
        <v>542</v>
      </c>
      <c r="E401" s="2" t="s">
        <v>543</v>
      </c>
      <c r="F401" s="3">
        <v>3749.77</v>
      </c>
      <c r="G401" s="4">
        <v>1</v>
      </c>
      <c r="H401" s="5">
        <v>7.4999999999999997E-3</v>
      </c>
    </row>
    <row r="402" spans="1:8" x14ac:dyDescent="0.35">
      <c r="A402" s="2" t="s">
        <v>511</v>
      </c>
      <c r="B402" s="2" t="s">
        <v>509</v>
      </c>
      <c r="C402" s="2" t="s">
        <v>544</v>
      </c>
      <c r="D402" s="2" t="s">
        <v>545</v>
      </c>
      <c r="E402" s="2" t="s">
        <v>546</v>
      </c>
      <c r="F402" s="3">
        <v>12.54</v>
      </c>
      <c r="G402" s="4">
        <v>10</v>
      </c>
      <c r="H402" s="5">
        <v>0</v>
      </c>
    </row>
    <row r="403" spans="1:8" x14ac:dyDescent="0.35">
      <c r="A403" s="2" t="s">
        <v>511</v>
      </c>
      <c r="B403" s="2" t="s">
        <v>509</v>
      </c>
      <c r="C403" s="2" t="s">
        <v>547</v>
      </c>
      <c r="D403" s="2" t="s">
        <v>469</v>
      </c>
      <c r="E403" s="2" t="s">
        <v>470</v>
      </c>
      <c r="F403" s="3">
        <v>200</v>
      </c>
      <c r="G403" s="4">
        <v>12</v>
      </c>
      <c r="H403" s="5">
        <v>0</v>
      </c>
    </row>
    <row r="404" spans="1:8" x14ac:dyDescent="0.35">
      <c r="A404" s="2" t="s">
        <v>511</v>
      </c>
      <c r="B404" s="2" t="s">
        <v>509</v>
      </c>
      <c r="C404" s="2" t="s">
        <v>548</v>
      </c>
      <c r="D404" s="2" t="s">
        <v>465</v>
      </c>
      <c r="E404" s="6" t="s">
        <v>180</v>
      </c>
      <c r="F404" s="3">
        <v>361.23</v>
      </c>
      <c r="G404" s="4">
        <v>36</v>
      </c>
      <c r="H404" s="5">
        <v>0</v>
      </c>
    </row>
    <row r="405" spans="1:8" x14ac:dyDescent="0.35">
      <c r="A405" s="2" t="s">
        <v>511</v>
      </c>
      <c r="B405" s="2" t="s">
        <v>509</v>
      </c>
      <c r="C405" s="2" t="s">
        <v>549</v>
      </c>
      <c r="D405" s="2" t="s">
        <v>550</v>
      </c>
      <c r="E405" s="2" t="s">
        <v>82</v>
      </c>
      <c r="F405" s="3">
        <v>415</v>
      </c>
      <c r="G405" s="4">
        <v>24</v>
      </c>
      <c r="H405" s="5">
        <v>0</v>
      </c>
    </row>
    <row r="406" spans="1:8" x14ac:dyDescent="0.35">
      <c r="A406" s="2" t="s">
        <v>511</v>
      </c>
      <c r="B406" s="2" t="s">
        <v>509</v>
      </c>
      <c r="C406" s="2" t="s">
        <v>549</v>
      </c>
      <c r="D406" s="2" t="s">
        <v>550</v>
      </c>
      <c r="E406" s="2" t="s">
        <v>82</v>
      </c>
      <c r="F406" s="3">
        <v>558</v>
      </c>
      <c r="G406" s="4">
        <v>24</v>
      </c>
      <c r="H406" s="5">
        <v>0</v>
      </c>
    </row>
    <row r="407" spans="1:8" x14ac:dyDescent="0.35">
      <c r="A407" s="2" t="s">
        <v>511</v>
      </c>
      <c r="B407" s="2" t="s">
        <v>509</v>
      </c>
      <c r="C407" s="2" t="s">
        <v>551</v>
      </c>
      <c r="D407" s="2" t="s">
        <v>552</v>
      </c>
      <c r="E407" s="2" t="s">
        <v>71</v>
      </c>
      <c r="F407" s="3">
        <v>2200</v>
      </c>
      <c r="G407" s="4">
        <v>24</v>
      </c>
      <c r="H407" s="5">
        <v>0</v>
      </c>
    </row>
    <row r="408" spans="1:8" x14ac:dyDescent="0.35">
      <c r="A408" s="2" t="s">
        <v>511</v>
      </c>
      <c r="B408" s="2" t="s">
        <v>509</v>
      </c>
      <c r="C408" s="2" t="s">
        <v>553</v>
      </c>
      <c r="D408" s="2" t="s">
        <v>554</v>
      </c>
      <c r="E408" s="2" t="s">
        <v>322</v>
      </c>
      <c r="F408" s="3">
        <v>44.07</v>
      </c>
      <c r="G408" s="4">
        <v>10</v>
      </c>
      <c r="H408" s="5">
        <v>0</v>
      </c>
    </row>
    <row r="409" spans="1:8" x14ac:dyDescent="0.35">
      <c r="A409" s="2" t="s">
        <v>511</v>
      </c>
      <c r="B409" s="2" t="s">
        <v>509</v>
      </c>
      <c r="C409" s="2" t="s">
        <v>555</v>
      </c>
      <c r="D409" s="2" t="s">
        <v>475</v>
      </c>
      <c r="E409" s="2" t="s">
        <v>193</v>
      </c>
      <c r="F409" s="3">
        <v>891.44</v>
      </c>
      <c r="G409" s="4">
        <v>36</v>
      </c>
      <c r="H409" s="5">
        <v>0</v>
      </c>
    </row>
    <row r="410" spans="1:8" x14ac:dyDescent="0.35">
      <c r="A410" s="2" t="s">
        <v>511</v>
      </c>
      <c r="B410" s="2" t="s">
        <v>509</v>
      </c>
      <c r="C410" s="2" t="s">
        <v>556</v>
      </c>
      <c r="D410" s="2" t="s">
        <v>557</v>
      </c>
      <c r="E410" s="2" t="s">
        <v>424</v>
      </c>
      <c r="F410" s="3">
        <v>585.48</v>
      </c>
      <c r="G410" s="4">
        <v>36</v>
      </c>
      <c r="H410" s="5">
        <v>0</v>
      </c>
    </row>
    <row r="411" spans="1:8" x14ac:dyDescent="0.35">
      <c r="A411" s="2" t="s">
        <v>511</v>
      </c>
      <c r="B411" s="2" t="s">
        <v>509</v>
      </c>
      <c r="C411" s="2" t="s">
        <v>558</v>
      </c>
      <c r="D411" s="2" t="s">
        <v>341</v>
      </c>
      <c r="E411" s="2" t="s">
        <v>102</v>
      </c>
      <c r="F411" s="3">
        <v>1970</v>
      </c>
      <c r="G411" s="4">
        <v>24</v>
      </c>
      <c r="H411" s="5">
        <v>0</v>
      </c>
    </row>
    <row r="412" spans="1:8" x14ac:dyDescent="0.35">
      <c r="A412" s="2" t="s">
        <v>511</v>
      </c>
      <c r="B412" s="2" t="s">
        <v>509</v>
      </c>
      <c r="C412" s="2" t="s">
        <v>559</v>
      </c>
      <c r="D412" s="2" t="s">
        <v>560</v>
      </c>
      <c r="E412" s="2" t="s">
        <v>561</v>
      </c>
      <c r="F412" s="3">
        <v>1500</v>
      </c>
      <c r="G412" s="4">
        <v>36</v>
      </c>
      <c r="H412" s="5">
        <v>7.4999999999999997E-3</v>
      </c>
    </row>
    <row r="413" spans="1:8" x14ac:dyDescent="0.35">
      <c r="A413" s="2" t="s">
        <v>511</v>
      </c>
      <c r="B413" s="2" t="s">
        <v>509</v>
      </c>
      <c r="C413" s="2" t="s">
        <v>562</v>
      </c>
      <c r="D413" s="2" t="s">
        <v>563</v>
      </c>
      <c r="E413" s="2" t="s">
        <v>564</v>
      </c>
      <c r="F413" s="3">
        <v>33.520000000000003</v>
      </c>
      <c r="G413" s="4">
        <v>7</v>
      </c>
      <c r="H413" s="5">
        <v>0</v>
      </c>
    </row>
    <row r="414" spans="1:8" x14ac:dyDescent="0.35">
      <c r="A414" s="2" t="s">
        <v>511</v>
      </c>
      <c r="B414" s="2" t="s">
        <v>509</v>
      </c>
      <c r="C414" s="2" t="s">
        <v>565</v>
      </c>
      <c r="D414" s="2" t="s">
        <v>566</v>
      </c>
      <c r="E414" s="2" t="s">
        <v>567</v>
      </c>
      <c r="F414" s="3">
        <v>259</v>
      </c>
      <c r="G414" s="4">
        <v>7</v>
      </c>
      <c r="H414" s="5">
        <v>0</v>
      </c>
    </row>
    <row r="415" spans="1:8" x14ac:dyDescent="0.35">
      <c r="A415" s="2" t="s">
        <v>511</v>
      </c>
      <c r="B415" s="2" t="s">
        <v>509</v>
      </c>
      <c r="C415" s="2" t="s">
        <v>568</v>
      </c>
      <c r="D415" s="2" t="s">
        <v>569</v>
      </c>
      <c r="E415" s="2" t="s">
        <v>570</v>
      </c>
      <c r="F415" s="3">
        <v>259</v>
      </c>
      <c r="G415" s="4">
        <v>7</v>
      </c>
      <c r="H415" s="5">
        <v>0</v>
      </c>
    </row>
    <row r="416" spans="1:8" x14ac:dyDescent="0.35">
      <c r="A416" s="2" t="s">
        <v>511</v>
      </c>
      <c r="B416" s="2" t="s">
        <v>509</v>
      </c>
      <c r="C416" s="2" t="s">
        <v>571</v>
      </c>
      <c r="D416" s="2" t="s">
        <v>572</v>
      </c>
      <c r="E416" s="2" t="s">
        <v>24</v>
      </c>
      <c r="F416" s="3">
        <v>500.4</v>
      </c>
      <c r="G416" s="4">
        <v>48</v>
      </c>
      <c r="H416" s="5">
        <v>0</v>
      </c>
    </row>
    <row r="417" spans="1:8" x14ac:dyDescent="0.35">
      <c r="A417" s="2" t="s">
        <v>511</v>
      </c>
      <c r="B417" s="2" t="s">
        <v>509</v>
      </c>
      <c r="C417" s="2" t="s">
        <v>571</v>
      </c>
      <c r="D417" s="2" t="s">
        <v>572</v>
      </c>
      <c r="E417" s="2" t="s">
        <v>24</v>
      </c>
      <c r="F417" s="3">
        <v>500.4</v>
      </c>
      <c r="G417" s="4">
        <v>48</v>
      </c>
      <c r="H417" s="5">
        <v>0</v>
      </c>
    </row>
    <row r="418" spans="1:8" x14ac:dyDescent="0.35">
      <c r="A418" s="2" t="s">
        <v>511</v>
      </c>
      <c r="B418" s="2" t="s">
        <v>510</v>
      </c>
      <c r="C418" s="2" t="s">
        <v>512</v>
      </c>
      <c r="D418" s="2" t="s">
        <v>451</v>
      </c>
      <c r="E418" s="2" t="s">
        <v>452</v>
      </c>
      <c r="F418" s="3">
        <v>89.6</v>
      </c>
      <c r="G418" s="4">
        <v>1</v>
      </c>
      <c r="H418" s="5">
        <v>0</v>
      </c>
    </row>
    <row r="419" spans="1:8" x14ac:dyDescent="0.35">
      <c r="A419" s="2" t="s">
        <v>511</v>
      </c>
      <c r="B419" s="2" t="s">
        <v>510</v>
      </c>
      <c r="C419" s="2" t="s">
        <v>513</v>
      </c>
      <c r="D419" s="2" t="s">
        <v>514</v>
      </c>
      <c r="E419" s="2" t="s">
        <v>271</v>
      </c>
      <c r="F419" s="3">
        <v>172800</v>
      </c>
      <c r="G419" s="4">
        <v>48</v>
      </c>
      <c r="H419" s="5">
        <v>0</v>
      </c>
    </row>
    <row r="420" spans="1:8" x14ac:dyDescent="0.35">
      <c r="A420" s="2" t="s">
        <v>511</v>
      </c>
      <c r="B420" s="2" t="s">
        <v>510</v>
      </c>
      <c r="C420" s="2" t="s">
        <v>515</v>
      </c>
      <c r="D420" s="2" t="s">
        <v>516</v>
      </c>
      <c r="E420" s="2" t="s">
        <v>69</v>
      </c>
      <c r="F420" s="3">
        <v>2048</v>
      </c>
      <c r="G420" s="4">
        <v>24</v>
      </c>
      <c r="H420" s="5">
        <v>0</v>
      </c>
    </row>
    <row r="421" spans="1:8" x14ac:dyDescent="0.35">
      <c r="A421" s="2" t="s">
        <v>511</v>
      </c>
      <c r="B421" s="2" t="s">
        <v>510</v>
      </c>
      <c r="C421" s="2" t="s">
        <v>500</v>
      </c>
      <c r="D421" s="2" t="s">
        <v>501</v>
      </c>
      <c r="E421" s="2" t="s">
        <v>46</v>
      </c>
      <c r="F421" s="3">
        <v>4480</v>
      </c>
      <c r="G421" s="4">
        <v>24</v>
      </c>
      <c r="H421" s="5">
        <v>0</v>
      </c>
    </row>
    <row r="422" spans="1:8" x14ac:dyDescent="0.35">
      <c r="A422" s="2" t="s">
        <v>511</v>
      </c>
      <c r="B422" s="2" t="s">
        <v>510</v>
      </c>
      <c r="C422" s="2" t="s">
        <v>498</v>
      </c>
      <c r="D422" s="2" t="s">
        <v>499</v>
      </c>
      <c r="E422" s="6" t="s">
        <v>147</v>
      </c>
      <c r="F422" s="3">
        <v>2432</v>
      </c>
      <c r="G422" s="4">
        <v>36</v>
      </c>
      <c r="H422" s="5">
        <v>0</v>
      </c>
    </row>
    <row r="423" spans="1:8" x14ac:dyDescent="0.35">
      <c r="A423" s="2" t="s">
        <v>511</v>
      </c>
      <c r="B423" s="2" t="s">
        <v>510</v>
      </c>
      <c r="C423" s="2" t="s">
        <v>517</v>
      </c>
      <c r="D423" s="2" t="s">
        <v>477</v>
      </c>
      <c r="E423" s="2" t="s">
        <v>92</v>
      </c>
      <c r="F423" s="3">
        <v>1216</v>
      </c>
      <c r="G423" s="4">
        <v>12</v>
      </c>
      <c r="H423" s="5">
        <v>0</v>
      </c>
    </row>
    <row r="424" spans="1:8" x14ac:dyDescent="0.35">
      <c r="A424" s="2" t="s">
        <v>511</v>
      </c>
      <c r="B424" s="2" t="s">
        <v>510</v>
      </c>
      <c r="C424" s="2" t="s">
        <v>518</v>
      </c>
      <c r="D424" s="2" t="s">
        <v>519</v>
      </c>
      <c r="E424" s="2" t="s">
        <v>215</v>
      </c>
      <c r="F424" s="3">
        <v>24.32</v>
      </c>
      <c r="G424" s="4">
        <v>1</v>
      </c>
      <c r="H424" s="5">
        <v>0</v>
      </c>
    </row>
    <row r="425" spans="1:8" x14ac:dyDescent="0.35">
      <c r="A425" s="2" t="s">
        <v>511</v>
      </c>
      <c r="B425" s="2" t="s">
        <v>510</v>
      </c>
      <c r="C425" s="2" t="s">
        <v>520</v>
      </c>
      <c r="D425" s="2" t="s">
        <v>449</v>
      </c>
      <c r="E425" s="2" t="s">
        <v>300</v>
      </c>
      <c r="F425" s="3">
        <v>64</v>
      </c>
      <c r="G425" s="4">
        <v>12</v>
      </c>
      <c r="H425" s="5">
        <v>0</v>
      </c>
    </row>
    <row r="426" spans="1:8" x14ac:dyDescent="0.35">
      <c r="A426" s="2" t="s">
        <v>511</v>
      </c>
      <c r="B426" s="2" t="s">
        <v>510</v>
      </c>
      <c r="C426" s="2" t="s">
        <v>521</v>
      </c>
      <c r="D426" s="2" t="s">
        <v>522</v>
      </c>
      <c r="E426" s="2" t="s">
        <v>59</v>
      </c>
      <c r="F426" s="3">
        <v>512</v>
      </c>
      <c r="G426" s="4">
        <v>12</v>
      </c>
      <c r="H426" s="5">
        <v>0</v>
      </c>
    </row>
    <row r="427" spans="1:8" x14ac:dyDescent="0.35">
      <c r="A427" s="2" t="s">
        <v>511</v>
      </c>
      <c r="B427" s="2" t="s">
        <v>510</v>
      </c>
      <c r="C427" s="2" t="s">
        <v>523</v>
      </c>
      <c r="D427" s="2" t="s">
        <v>524</v>
      </c>
      <c r="E427" s="2" t="s">
        <v>525</v>
      </c>
      <c r="F427" s="3">
        <v>448</v>
      </c>
      <c r="G427" s="4">
        <v>12</v>
      </c>
      <c r="H427" s="5">
        <v>0</v>
      </c>
    </row>
    <row r="428" spans="1:8" x14ac:dyDescent="0.35">
      <c r="A428" s="2" t="s">
        <v>511</v>
      </c>
      <c r="B428" s="2" t="s">
        <v>510</v>
      </c>
      <c r="C428" s="2" t="s">
        <v>526</v>
      </c>
      <c r="D428" s="2" t="s">
        <v>527</v>
      </c>
      <c r="E428" s="2" t="s">
        <v>315</v>
      </c>
      <c r="F428" s="3">
        <v>198.4</v>
      </c>
      <c r="G428" s="4">
        <v>4</v>
      </c>
      <c r="H428" s="5">
        <v>0</v>
      </c>
    </row>
    <row r="429" spans="1:8" x14ac:dyDescent="0.35">
      <c r="A429" s="2" t="s">
        <v>511</v>
      </c>
      <c r="B429" s="2" t="s">
        <v>510</v>
      </c>
      <c r="C429" s="2" t="s">
        <v>528</v>
      </c>
      <c r="D429" s="2" t="s">
        <v>529</v>
      </c>
      <c r="E429" s="2" t="s">
        <v>530</v>
      </c>
      <c r="F429" s="3">
        <v>66.56</v>
      </c>
      <c r="G429" s="4">
        <v>24</v>
      </c>
      <c r="H429" s="5">
        <v>0</v>
      </c>
    </row>
    <row r="430" spans="1:8" x14ac:dyDescent="0.35">
      <c r="A430" s="2" t="s">
        <v>511</v>
      </c>
      <c r="B430" s="2" t="s">
        <v>510</v>
      </c>
      <c r="C430" s="2" t="s">
        <v>531</v>
      </c>
      <c r="D430" s="2" t="s">
        <v>532</v>
      </c>
      <c r="E430" s="2" t="s">
        <v>443</v>
      </c>
      <c r="F430" s="3">
        <v>256</v>
      </c>
      <c r="G430" s="4">
        <v>24</v>
      </c>
      <c r="H430" s="5">
        <v>0</v>
      </c>
    </row>
    <row r="431" spans="1:8" x14ac:dyDescent="0.35">
      <c r="A431" s="2" t="s">
        <v>511</v>
      </c>
      <c r="B431" s="2" t="s">
        <v>510</v>
      </c>
      <c r="C431" s="2" t="s">
        <v>533</v>
      </c>
      <c r="D431" s="2" t="s">
        <v>534</v>
      </c>
      <c r="E431" s="2" t="s">
        <v>535</v>
      </c>
      <c r="F431" s="3">
        <v>115.2</v>
      </c>
      <c r="G431" s="4">
        <v>24</v>
      </c>
      <c r="H431" s="5">
        <v>0</v>
      </c>
    </row>
    <row r="432" spans="1:8" x14ac:dyDescent="0.35">
      <c r="A432" s="2" t="s">
        <v>511</v>
      </c>
      <c r="B432" s="2" t="s">
        <v>510</v>
      </c>
      <c r="C432" s="2" t="s">
        <v>536</v>
      </c>
      <c r="D432" s="2" t="s">
        <v>537</v>
      </c>
      <c r="E432" s="2" t="s">
        <v>248</v>
      </c>
      <c r="F432" s="3">
        <v>1139.2</v>
      </c>
      <c r="G432" s="4">
        <v>12</v>
      </c>
      <c r="H432" s="5">
        <v>0</v>
      </c>
    </row>
    <row r="433" spans="1:8" x14ac:dyDescent="0.35">
      <c r="A433" s="2" t="s">
        <v>511</v>
      </c>
      <c r="B433" s="2" t="s">
        <v>510</v>
      </c>
      <c r="C433" s="2" t="s">
        <v>490</v>
      </c>
      <c r="D433" s="2" t="s">
        <v>491</v>
      </c>
      <c r="E433" s="2" t="s">
        <v>226</v>
      </c>
      <c r="F433" s="3">
        <v>3392</v>
      </c>
      <c r="G433" s="4">
        <v>24</v>
      </c>
      <c r="H433" s="5">
        <v>0</v>
      </c>
    </row>
    <row r="434" spans="1:8" x14ac:dyDescent="0.35">
      <c r="A434" s="2" t="s">
        <v>511</v>
      </c>
      <c r="B434" s="2" t="s">
        <v>510</v>
      </c>
      <c r="C434" s="2" t="s">
        <v>538</v>
      </c>
      <c r="D434" s="2" t="s">
        <v>539</v>
      </c>
      <c r="E434" s="2" t="s">
        <v>303</v>
      </c>
      <c r="F434" s="3">
        <v>76.8</v>
      </c>
      <c r="G434" s="4">
        <v>12</v>
      </c>
      <c r="H434" s="5">
        <v>0</v>
      </c>
    </row>
    <row r="435" spans="1:8" x14ac:dyDescent="0.35">
      <c r="A435" s="2" t="s">
        <v>511</v>
      </c>
      <c r="B435" s="2" t="s">
        <v>510</v>
      </c>
      <c r="C435" s="2" t="s">
        <v>540</v>
      </c>
      <c r="D435" s="2" t="s">
        <v>483</v>
      </c>
      <c r="E435" s="2" t="s">
        <v>322</v>
      </c>
      <c r="F435" s="3">
        <v>64</v>
      </c>
      <c r="G435" s="4">
        <v>12</v>
      </c>
      <c r="H435" s="5">
        <v>0</v>
      </c>
    </row>
    <row r="436" spans="1:8" x14ac:dyDescent="0.35">
      <c r="A436" s="2" t="s">
        <v>511</v>
      </c>
      <c r="B436" s="2" t="s">
        <v>510</v>
      </c>
      <c r="C436" s="2" t="s">
        <v>541</v>
      </c>
      <c r="D436" s="2" t="s">
        <v>542</v>
      </c>
      <c r="E436" s="2" t="s">
        <v>543</v>
      </c>
      <c r="F436" s="3">
        <v>57600</v>
      </c>
      <c r="G436" s="4">
        <v>36</v>
      </c>
      <c r="H436" s="5">
        <v>0</v>
      </c>
    </row>
    <row r="437" spans="1:8" x14ac:dyDescent="0.35">
      <c r="A437" s="2" t="s">
        <v>511</v>
      </c>
      <c r="B437" s="2" t="s">
        <v>510</v>
      </c>
      <c r="C437" s="2" t="s">
        <v>544</v>
      </c>
      <c r="D437" s="2" t="s">
        <v>545</v>
      </c>
      <c r="E437" s="2" t="s">
        <v>546</v>
      </c>
      <c r="F437" s="3">
        <v>58.88</v>
      </c>
      <c r="G437" s="4">
        <v>12</v>
      </c>
      <c r="H437" s="5">
        <v>0</v>
      </c>
    </row>
    <row r="438" spans="1:8" x14ac:dyDescent="0.35">
      <c r="A438" s="2" t="s">
        <v>511</v>
      </c>
      <c r="B438" s="2" t="s">
        <v>510</v>
      </c>
      <c r="C438" s="2" t="s">
        <v>547</v>
      </c>
      <c r="D438" s="2" t="s">
        <v>469</v>
      </c>
      <c r="E438" s="2" t="s">
        <v>470</v>
      </c>
      <c r="F438" s="3">
        <v>320</v>
      </c>
      <c r="G438" s="4">
        <v>12</v>
      </c>
      <c r="H438" s="5">
        <v>0</v>
      </c>
    </row>
    <row r="439" spans="1:8" x14ac:dyDescent="0.35">
      <c r="A439" s="2" t="s">
        <v>511</v>
      </c>
      <c r="B439" s="2" t="s">
        <v>510</v>
      </c>
      <c r="C439" s="2" t="s">
        <v>548</v>
      </c>
      <c r="D439" s="2" t="s">
        <v>465</v>
      </c>
      <c r="E439" s="6" t="s">
        <v>180</v>
      </c>
      <c r="F439" s="3">
        <v>640</v>
      </c>
      <c r="G439" s="4">
        <v>24</v>
      </c>
      <c r="H439" s="5">
        <v>0</v>
      </c>
    </row>
    <row r="440" spans="1:8" x14ac:dyDescent="0.35">
      <c r="A440" s="2" t="s">
        <v>511</v>
      </c>
      <c r="B440" s="2" t="s">
        <v>510</v>
      </c>
      <c r="C440" s="2" t="s">
        <v>549</v>
      </c>
      <c r="D440" s="2" t="s">
        <v>550</v>
      </c>
      <c r="E440" s="2" t="s">
        <v>82</v>
      </c>
      <c r="F440" s="3">
        <v>2304</v>
      </c>
      <c r="G440" s="4">
        <v>24</v>
      </c>
      <c r="H440" s="5">
        <v>0</v>
      </c>
    </row>
    <row r="441" spans="1:8" x14ac:dyDescent="0.35">
      <c r="A441" s="2" t="s">
        <v>511</v>
      </c>
      <c r="B441" s="2" t="s">
        <v>510</v>
      </c>
      <c r="C441" s="2" t="s">
        <v>549</v>
      </c>
      <c r="D441" s="2" t="s">
        <v>550</v>
      </c>
      <c r="E441" s="2" t="s">
        <v>82</v>
      </c>
      <c r="F441" s="3">
        <v>2304</v>
      </c>
      <c r="G441" s="4">
        <v>24</v>
      </c>
      <c r="H441" s="5">
        <v>0</v>
      </c>
    </row>
    <row r="442" spans="1:8" x14ac:dyDescent="0.35">
      <c r="A442" s="2" t="s">
        <v>511</v>
      </c>
      <c r="B442" s="2" t="s">
        <v>510</v>
      </c>
      <c r="C442" s="2" t="s">
        <v>551</v>
      </c>
      <c r="D442" s="2" t="s">
        <v>552</v>
      </c>
      <c r="E442" s="2" t="s">
        <v>71</v>
      </c>
      <c r="F442" s="3">
        <v>2048</v>
      </c>
      <c r="G442" s="4">
        <v>12</v>
      </c>
      <c r="H442" s="5">
        <v>0</v>
      </c>
    </row>
    <row r="443" spans="1:8" x14ac:dyDescent="0.35">
      <c r="A443" s="2" t="s">
        <v>511</v>
      </c>
      <c r="B443" s="2" t="s">
        <v>510</v>
      </c>
      <c r="C443" s="2" t="s">
        <v>553</v>
      </c>
      <c r="D443" s="2" t="s">
        <v>554</v>
      </c>
      <c r="E443" s="2" t="s">
        <v>322</v>
      </c>
      <c r="F443" s="3">
        <v>64</v>
      </c>
      <c r="G443" s="4">
        <v>12</v>
      </c>
      <c r="H443" s="5">
        <v>0</v>
      </c>
    </row>
    <row r="444" spans="1:8" x14ac:dyDescent="0.35">
      <c r="A444" s="2" t="s">
        <v>511</v>
      </c>
      <c r="B444" s="2" t="s">
        <v>510</v>
      </c>
      <c r="C444" s="2" t="s">
        <v>555</v>
      </c>
      <c r="D444" s="2" t="s">
        <v>475</v>
      </c>
      <c r="E444" s="2" t="s">
        <v>193</v>
      </c>
      <c r="F444" s="3">
        <v>320</v>
      </c>
      <c r="G444" s="4">
        <v>12</v>
      </c>
      <c r="H444" s="5">
        <v>0</v>
      </c>
    </row>
    <row r="445" spans="1:8" x14ac:dyDescent="0.35">
      <c r="A445" s="2" t="s">
        <v>511</v>
      </c>
      <c r="B445" s="2" t="s">
        <v>510</v>
      </c>
      <c r="C445" s="2" t="s">
        <v>556</v>
      </c>
      <c r="D445" s="2" t="s">
        <v>557</v>
      </c>
      <c r="E445" s="2" t="s">
        <v>424</v>
      </c>
      <c r="F445" s="3">
        <v>2745.6</v>
      </c>
      <c r="G445" s="4">
        <v>24</v>
      </c>
      <c r="H445" s="5">
        <v>0</v>
      </c>
    </row>
    <row r="446" spans="1:8" x14ac:dyDescent="0.35">
      <c r="A446" s="2" t="s">
        <v>511</v>
      </c>
      <c r="B446" s="2" t="s">
        <v>510</v>
      </c>
      <c r="C446" s="2" t="s">
        <v>558</v>
      </c>
      <c r="D446" s="2" t="s">
        <v>341</v>
      </c>
      <c r="E446" s="2" t="s">
        <v>102</v>
      </c>
      <c r="F446" s="3">
        <v>190.44</v>
      </c>
      <c r="G446" s="4">
        <v>1</v>
      </c>
      <c r="H446" s="5">
        <v>0</v>
      </c>
    </row>
    <row r="447" spans="1:8" x14ac:dyDescent="0.35">
      <c r="A447" s="2" t="s">
        <v>511</v>
      </c>
      <c r="B447" s="2" t="s">
        <v>510</v>
      </c>
      <c r="C447" s="2" t="s">
        <v>559</v>
      </c>
      <c r="D447" s="2" t="s">
        <v>560</v>
      </c>
      <c r="E447" s="2" t="s">
        <v>561</v>
      </c>
      <c r="F447" s="3">
        <v>330.24</v>
      </c>
      <c r="G447" s="4">
        <v>12</v>
      </c>
      <c r="H447" s="5">
        <v>0</v>
      </c>
    </row>
    <row r="448" spans="1:8" x14ac:dyDescent="0.35">
      <c r="A448" s="2" t="s">
        <v>511</v>
      </c>
      <c r="B448" s="2" t="s">
        <v>510</v>
      </c>
      <c r="C448" s="2" t="s">
        <v>562</v>
      </c>
      <c r="D448" s="2" t="s">
        <v>563</v>
      </c>
      <c r="E448" s="2" t="s">
        <v>564</v>
      </c>
      <c r="F448" s="3">
        <v>20.48</v>
      </c>
      <c r="G448" s="4">
        <v>12</v>
      </c>
      <c r="H448" s="5">
        <v>0</v>
      </c>
    </row>
    <row r="449" spans="1:8" x14ac:dyDescent="0.35">
      <c r="A449" s="2" t="s">
        <v>511</v>
      </c>
      <c r="B449" s="2" t="s">
        <v>510</v>
      </c>
      <c r="C449" s="2" t="s">
        <v>565</v>
      </c>
      <c r="D449" s="2" t="s">
        <v>566</v>
      </c>
      <c r="E449" s="2" t="s">
        <v>567</v>
      </c>
      <c r="F449" s="3">
        <v>57.6</v>
      </c>
      <c r="G449" s="4">
        <v>1</v>
      </c>
      <c r="H449" s="5">
        <v>0</v>
      </c>
    </row>
    <row r="450" spans="1:8" x14ac:dyDescent="0.35">
      <c r="A450" s="2" t="s">
        <v>511</v>
      </c>
      <c r="B450" s="2" t="s">
        <v>510</v>
      </c>
      <c r="C450" s="2" t="s">
        <v>568</v>
      </c>
      <c r="D450" s="2" t="s">
        <v>569</v>
      </c>
      <c r="E450" s="2" t="s">
        <v>570</v>
      </c>
      <c r="F450" s="3">
        <v>57.6</v>
      </c>
      <c r="G450" s="4">
        <v>1</v>
      </c>
      <c r="H450" s="5">
        <v>0</v>
      </c>
    </row>
    <row r="451" spans="1:8" x14ac:dyDescent="0.35">
      <c r="A451" s="2" t="s">
        <v>511</v>
      </c>
      <c r="B451" s="2" t="s">
        <v>510</v>
      </c>
      <c r="C451" s="2" t="s">
        <v>571</v>
      </c>
      <c r="D451" s="2" t="s">
        <v>572</v>
      </c>
      <c r="E451" s="2" t="s">
        <v>24</v>
      </c>
      <c r="F451" s="3">
        <v>640</v>
      </c>
      <c r="G451" s="4">
        <v>12</v>
      </c>
      <c r="H451" s="5">
        <v>0</v>
      </c>
    </row>
    <row r="452" spans="1:8" x14ac:dyDescent="0.35">
      <c r="A452" s="2" t="s">
        <v>511</v>
      </c>
      <c r="B452" s="2" t="s">
        <v>510</v>
      </c>
      <c r="C452" s="2" t="s">
        <v>571</v>
      </c>
      <c r="D452" s="2" t="s">
        <v>572</v>
      </c>
      <c r="E452" s="2" t="s">
        <v>24</v>
      </c>
      <c r="F452" s="3">
        <v>640</v>
      </c>
      <c r="G452" s="4">
        <v>12</v>
      </c>
      <c r="H452" s="5">
        <v>0</v>
      </c>
    </row>
    <row r="453" spans="1:8" ht="14.5" customHeight="1" x14ac:dyDescent="0.35">
      <c r="A453" s="2" t="s">
        <v>575</v>
      </c>
      <c r="B453" s="2" t="s">
        <v>339</v>
      </c>
      <c r="C453" s="2" t="s">
        <v>576</v>
      </c>
      <c r="D453" s="2" t="s">
        <v>577</v>
      </c>
      <c r="E453" s="2" t="s">
        <v>578</v>
      </c>
      <c r="F453" s="3">
        <v>699</v>
      </c>
      <c r="G453" s="4">
        <v>60</v>
      </c>
      <c r="H453" s="5">
        <v>1.67E-2</v>
      </c>
    </row>
    <row r="454" spans="1:8" x14ac:dyDescent="0.35">
      <c r="A454" s="2" t="s">
        <v>575</v>
      </c>
      <c r="B454" s="2" t="s">
        <v>339</v>
      </c>
      <c r="C454" s="2" t="s">
        <v>579</v>
      </c>
      <c r="D454" s="2" t="s">
        <v>580</v>
      </c>
      <c r="E454" s="2" t="s">
        <v>35</v>
      </c>
      <c r="F454" s="3">
        <v>699</v>
      </c>
      <c r="G454" s="4">
        <v>60</v>
      </c>
      <c r="H454" s="5">
        <v>1.67E-2</v>
      </c>
    </row>
    <row r="455" spans="1:8" x14ac:dyDescent="0.35">
      <c r="A455" s="2" t="s">
        <v>575</v>
      </c>
      <c r="B455" s="2" t="s">
        <v>339</v>
      </c>
      <c r="C455" s="2" t="s">
        <v>581</v>
      </c>
      <c r="D455" s="2" t="s">
        <v>355</v>
      </c>
      <c r="E455" s="2" t="s">
        <v>356</v>
      </c>
      <c r="F455" s="3">
        <v>200</v>
      </c>
      <c r="G455" s="4">
        <v>48</v>
      </c>
      <c r="H455" s="5">
        <v>1.67E-2</v>
      </c>
    </row>
    <row r="456" spans="1:8" x14ac:dyDescent="0.35">
      <c r="A456" s="2" t="s">
        <v>575</v>
      </c>
      <c r="B456" s="2" t="s">
        <v>339</v>
      </c>
      <c r="C456" s="2" t="s">
        <v>582</v>
      </c>
      <c r="D456" s="2" t="s">
        <v>360</v>
      </c>
      <c r="E456" s="2" t="s">
        <v>361</v>
      </c>
      <c r="F456" s="3">
        <v>452</v>
      </c>
      <c r="G456" s="4">
        <v>48</v>
      </c>
      <c r="H456" s="5">
        <v>1.67E-2</v>
      </c>
    </row>
    <row r="457" spans="1:8" x14ac:dyDescent="0.35">
      <c r="A457" s="2" t="s">
        <v>575</v>
      </c>
      <c r="B457" s="2" t="s">
        <v>339</v>
      </c>
      <c r="C457" s="2" t="s">
        <v>583</v>
      </c>
      <c r="D457" s="2" t="s">
        <v>584</v>
      </c>
      <c r="E457" s="2" t="s">
        <v>226</v>
      </c>
      <c r="F457" s="3">
        <v>2364.9</v>
      </c>
      <c r="G457" s="4">
        <v>60</v>
      </c>
      <c r="H457" s="5">
        <v>1.67E-2</v>
      </c>
    </row>
    <row r="458" spans="1:8" x14ac:dyDescent="0.35">
      <c r="A458" s="2" t="s">
        <v>575</v>
      </c>
      <c r="B458" s="2" t="s">
        <v>339</v>
      </c>
      <c r="C458" s="2" t="s">
        <v>585</v>
      </c>
      <c r="D458" s="2" t="s">
        <v>586</v>
      </c>
      <c r="E458" s="2" t="s">
        <v>92</v>
      </c>
      <c r="F458" s="3">
        <v>1329.04</v>
      </c>
      <c r="G458" s="4">
        <v>60</v>
      </c>
      <c r="H458" s="5">
        <v>1.67E-2</v>
      </c>
    </row>
    <row r="459" spans="1:8" x14ac:dyDescent="0.35">
      <c r="A459" s="2" t="s">
        <v>575</v>
      </c>
      <c r="B459" s="2" t="s">
        <v>339</v>
      </c>
      <c r="C459" s="2" t="s">
        <v>587</v>
      </c>
      <c r="D459" s="2" t="s">
        <v>588</v>
      </c>
      <c r="E459" s="2" t="s">
        <v>115</v>
      </c>
      <c r="F459" s="3">
        <v>150</v>
      </c>
      <c r="G459" s="4">
        <v>60</v>
      </c>
      <c r="H459" s="5">
        <v>1.67E-2</v>
      </c>
    </row>
    <row r="460" spans="1:8" x14ac:dyDescent="0.35">
      <c r="A460" s="2" t="s">
        <v>575</v>
      </c>
      <c r="B460" s="2" t="s">
        <v>339</v>
      </c>
      <c r="C460" s="2" t="s">
        <v>589</v>
      </c>
      <c r="D460" s="2" t="s">
        <v>590</v>
      </c>
      <c r="E460" s="2" t="s">
        <v>260</v>
      </c>
      <c r="F460" s="3">
        <v>21834.23</v>
      </c>
      <c r="G460" s="4">
        <v>60</v>
      </c>
      <c r="H460" s="5">
        <v>1.67E-2</v>
      </c>
    </row>
    <row r="461" spans="1:8" x14ac:dyDescent="0.35">
      <c r="A461" s="2" t="s">
        <v>575</v>
      </c>
      <c r="B461" s="2" t="s">
        <v>339</v>
      </c>
      <c r="C461" s="2" t="s">
        <v>591</v>
      </c>
      <c r="D461" s="2" t="s">
        <v>592</v>
      </c>
      <c r="E461" s="2" t="s">
        <v>260</v>
      </c>
      <c r="F461" s="3">
        <v>38030.68</v>
      </c>
      <c r="G461" s="4">
        <v>60</v>
      </c>
      <c r="H461" s="5">
        <v>1.67E-2</v>
      </c>
    </row>
    <row r="462" spans="1:8" x14ac:dyDescent="0.35">
      <c r="A462" s="2" t="s">
        <v>575</v>
      </c>
      <c r="B462" s="2" t="s">
        <v>339</v>
      </c>
      <c r="C462" s="2" t="s">
        <v>593</v>
      </c>
      <c r="D462" s="2" t="s">
        <v>594</v>
      </c>
      <c r="E462" s="2" t="s">
        <v>353</v>
      </c>
      <c r="F462" s="3">
        <v>600</v>
      </c>
      <c r="G462" s="4">
        <v>60</v>
      </c>
      <c r="H462" s="5">
        <v>1.67E-2</v>
      </c>
    </row>
    <row r="463" spans="1:8" x14ac:dyDescent="0.35">
      <c r="A463" s="2" t="s">
        <v>575</v>
      </c>
      <c r="B463" s="2" t="s">
        <v>339</v>
      </c>
      <c r="C463" s="2" t="s">
        <v>595</v>
      </c>
      <c r="D463" s="2" t="s">
        <v>596</v>
      </c>
      <c r="E463" s="2" t="s">
        <v>322</v>
      </c>
      <c r="F463" s="3">
        <v>32</v>
      </c>
      <c r="G463" s="4">
        <v>48</v>
      </c>
      <c r="H463" s="5">
        <v>1.67E-2</v>
      </c>
    </row>
    <row r="464" spans="1:8" x14ac:dyDescent="0.35">
      <c r="A464" s="2" t="s">
        <v>575</v>
      </c>
      <c r="B464" s="2" t="s">
        <v>339</v>
      </c>
      <c r="C464" s="2" t="s">
        <v>597</v>
      </c>
      <c r="D464" s="2" t="s">
        <v>598</v>
      </c>
      <c r="E464" s="2" t="s">
        <v>443</v>
      </c>
      <c r="F464" s="3">
        <v>50</v>
      </c>
      <c r="G464" s="4">
        <v>1</v>
      </c>
      <c r="H464" s="5">
        <v>1.67E-2</v>
      </c>
    </row>
    <row r="465" spans="1:8" x14ac:dyDescent="0.35">
      <c r="A465" s="2" t="s">
        <v>575</v>
      </c>
      <c r="B465" s="2" t="s">
        <v>339</v>
      </c>
      <c r="C465" s="2" t="s">
        <v>599</v>
      </c>
      <c r="D465" s="2" t="s">
        <v>600</v>
      </c>
      <c r="E465" s="2" t="s">
        <v>102</v>
      </c>
      <c r="F465" s="3">
        <v>91</v>
      </c>
      <c r="G465" s="4">
        <v>1</v>
      </c>
      <c r="H465" s="5">
        <v>0</v>
      </c>
    </row>
    <row r="466" spans="1:8" x14ac:dyDescent="0.35">
      <c r="A466" s="2" t="s">
        <v>575</v>
      </c>
      <c r="B466" s="2" t="s">
        <v>339</v>
      </c>
      <c r="C466" s="2" t="s">
        <v>601</v>
      </c>
      <c r="D466" s="2" t="s">
        <v>602</v>
      </c>
      <c r="E466" s="2" t="s">
        <v>603</v>
      </c>
      <c r="F466" s="3">
        <v>1630</v>
      </c>
      <c r="G466" s="4">
        <v>60</v>
      </c>
      <c r="H466" s="5">
        <v>1.67E-2</v>
      </c>
    </row>
    <row r="467" spans="1:8" x14ac:dyDescent="0.35">
      <c r="A467" s="2" t="s">
        <v>575</v>
      </c>
      <c r="B467" s="2" t="s">
        <v>339</v>
      </c>
      <c r="C467" s="2" t="s">
        <v>604</v>
      </c>
      <c r="D467" s="2" t="s">
        <v>605</v>
      </c>
      <c r="E467" s="2" t="s">
        <v>300</v>
      </c>
      <c r="F467" s="3">
        <v>25.7</v>
      </c>
      <c r="G467" s="4">
        <v>6</v>
      </c>
      <c r="H467" s="5">
        <v>1.67E-2</v>
      </c>
    </row>
    <row r="468" spans="1:8" x14ac:dyDescent="0.35">
      <c r="A468" s="2" t="s">
        <v>575</v>
      </c>
      <c r="B468" s="2" t="s">
        <v>339</v>
      </c>
      <c r="C468" s="2" t="s">
        <v>606</v>
      </c>
      <c r="D468" s="2" t="s">
        <v>607</v>
      </c>
      <c r="E468" s="2" t="s">
        <v>608</v>
      </c>
      <c r="F468" s="3">
        <v>90</v>
      </c>
      <c r="G468" s="4">
        <v>36</v>
      </c>
      <c r="H468" s="5">
        <v>1.67E-2</v>
      </c>
    </row>
    <row r="469" spans="1:8" ht="14.5" customHeight="1" x14ac:dyDescent="0.35">
      <c r="A469" s="2" t="s">
        <v>575</v>
      </c>
      <c r="B469" s="2" t="s">
        <v>573</v>
      </c>
      <c r="C469" s="2" t="s">
        <v>576</v>
      </c>
      <c r="D469" s="2" t="s">
        <v>577</v>
      </c>
      <c r="E469" s="2" t="s">
        <v>578</v>
      </c>
      <c r="F469" s="3">
        <v>699</v>
      </c>
      <c r="G469" s="4">
        <v>60</v>
      </c>
      <c r="H469" s="5">
        <v>0</v>
      </c>
    </row>
    <row r="470" spans="1:8" x14ac:dyDescent="0.35">
      <c r="A470" s="2" t="s">
        <v>575</v>
      </c>
      <c r="B470" s="2" t="s">
        <v>573</v>
      </c>
      <c r="C470" s="2" t="s">
        <v>579</v>
      </c>
      <c r="D470" s="2" t="s">
        <v>580</v>
      </c>
      <c r="E470" s="2" t="s">
        <v>35</v>
      </c>
      <c r="F470" s="3">
        <v>699</v>
      </c>
      <c r="G470" s="4">
        <v>60</v>
      </c>
      <c r="H470" s="5">
        <v>0</v>
      </c>
    </row>
    <row r="471" spans="1:8" x14ac:dyDescent="0.35">
      <c r="A471" s="2" t="s">
        <v>575</v>
      </c>
      <c r="B471" s="2" t="s">
        <v>573</v>
      </c>
      <c r="C471" s="2" t="s">
        <v>581</v>
      </c>
      <c r="D471" s="2" t="s">
        <v>355</v>
      </c>
      <c r="E471" s="2" t="s">
        <v>356</v>
      </c>
      <c r="F471" s="3">
        <v>200</v>
      </c>
      <c r="G471" s="4">
        <v>48</v>
      </c>
      <c r="H471" s="5">
        <v>0</v>
      </c>
    </row>
    <row r="472" spans="1:8" x14ac:dyDescent="0.35">
      <c r="A472" s="2" t="s">
        <v>575</v>
      </c>
      <c r="B472" s="2" t="s">
        <v>573</v>
      </c>
      <c r="C472" s="2" t="s">
        <v>582</v>
      </c>
      <c r="D472" s="2" t="s">
        <v>360</v>
      </c>
      <c r="E472" s="2" t="s">
        <v>361</v>
      </c>
      <c r="F472" s="3">
        <v>452</v>
      </c>
      <c r="G472" s="4">
        <v>48</v>
      </c>
      <c r="H472" s="5">
        <v>0</v>
      </c>
    </row>
    <row r="473" spans="1:8" x14ac:dyDescent="0.35">
      <c r="A473" s="2" t="s">
        <v>575</v>
      </c>
      <c r="B473" s="2" t="s">
        <v>573</v>
      </c>
      <c r="C473" s="2" t="s">
        <v>583</v>
      </c>
      <c r="D473" s="2" t="s">
        <v>584</v>
      </c>
      <c r="E473" s="2" t="s">
        <v>226</v>
      </c>
      <c r="F473" s="3">
        <v>2364.9</v>
      </c>
      <c r="G473" s="4">
        <v>60</v>
      </c>
      <c r="H473" s="5">
        <v>0</v>
      </c>
    </row>
    <row r="474" spans="1:8" x14ac:dyDescent="0.35">
      <c r="A474" s="2" t="s">
        <v>575</v>
      </c>
      <c r="B474" s="2" t="s">
        <v>573</v>
      </c>
      <c r="C474" s="2" t="s">
        <v>585</v>
      </c>
      <c r="D474" s="2" t="s">
        <v>586</v>
      </c>
      <c r="E474" s="2" t="s">
        <v>92</v>
      </c>
      <c r="F474" s="3">
        <v>1261.74</v>
      </c>
      <c r="G474" s="4">
        <v>60</v>
      </c>
      <c r="H474" s="5">
        <v>7.4999999999999997E-3</v>
      </c>
    </row>
    <row r="475" spans="1:8" x14ac:dyDescent="0.35">
      <c r="A475" s="2" t="s">
        <v>575</v>
      </c>
      <c r="B475" s="2" t="s">
        <v>573</v>
      </c>
      <c r="C475" s="2" t="s">
        <v>587</v>
      </c>
      <c r="D475" s="2" t="s">
        <v>588</v>
      </c>
      <c r="E475" s="2" t="s">
        <v>115</v>
      </c>
      <c r="F475" s="3">
        <v>150</v>
      </c>
      <c r="G475" s="4">
        <v>12</v>
      </c>
      <c r="H475" s="5">
        <v>0</v>
      </c>
    </row>
    <row r="476" spans="1:8" x14ac:dyDescent="0.35">
      <c r="A476" s="2" t="s">
        <v>575</v>
      </c>
      <c r="B476" s="2" t="s">
        <v>573</v>
      </c>
      <c r="C476" s="2" t="s">
        <v>589</v>
      </c>
      <c r="D476" s="2" t="s">
        <v>590</v>
      </c>
      <c r="E476" s="2" t="s">
        <v>260</v>
      </c>
      <c r="F476" s="3">
        <v>21834.23</v>
      </c>
      <c r="G476" s="4">
        <v>60</v>
      </c>
      <c r="H476" s="5">
        <v>7.4999999999999997E-3</v>
      </c>
    </row>
    <row r="477" spans="1:8" x14ac:dyDescent="0.35">
      <c r="A477" s="2" t="s">
        <v>575</v>
      </c>
      <c r="B477" s="2" t="s">
        <v>573</v>
      </c>
      <c r="C477" s="2" t="s">
        <v>591</v>
      </c>
      <c r="D477" s="2" t="s">
        <v>592</v>
      </c>
      <c r="E477" s="2" t="s">
        <v>260</v>
      </c>
      <c r="F477" s="3">
        <v>38030.68</v>
      </c>
      <c r="G477" s="4">
        <v>60</v>
      </c>
      <c r="H477" s="5">
        <v>7.4999999999999997E-3</v>
      </c>
    </row>
    <row r="478" spans="1:8" x14ac:dyDescent="0.35">
      <c r="A478" s="2" t="s">
        <v>575</v>
      </c>
      <c r="B478" s="2" t="s">
        <v>573</v>
      </c>
      <c r="C478" s="2" t="s">
        <v>593</v>
      </c>
      <c r="D478" s="2" t="s">
        <v>594</v>
      </c>
      <c r="E478" s="2" t="s">
        <v>353</v>
      </c>
      <c r="F478" s="3">
        <v>600</v>
      </c>
      <c r="G478" s="4">
        <v>60</v>
      </c>
      <c r="H478" s="5">
        <v>0</v>
      </c>
    </row>
    <row r="479" spans="1:8" x14ac:dyDescent="0.35">
      <c r="A479" s="2" t="s">
        <v>575</v>
      </c>
      <c r="B479" s="2" t="s">
        <v>573</v>
      </c>
      <c r="C479" s="2" t="s">
        <v>595</v>
      </c>
      <c r="D479" s="2" t="s">
        <v>596</v>
      </c>
      <c r="E479" s="2" t="s">
        <v>322</v>
      </c>
      <c r="F479" s="3">
        <v>32</v>
      </c>
      <c r="G479" s="4">
        <v>48</v>
      </c>
      <c r="H479" s="5">
        <v>0</v>
      </c>
    </row>
    <row r="480" spans="1:8" x14ac:dyDescent="0.35">
      <c r="A480" s="2" t="s">
        <v>575</v>
      </c>
      <c r="B480" s="2" t="s">
        <v>573</v>
      </c>
      <c r="C480" s="2" t="s">
        <v>597</v>
      </c>
      <c r="D480" s="2" t="s">
        <v>598</v>
      </c>
      <c r="E480" s="2" t="s">
        <v>443</v>
      </c>
      <c r="F480" s="3">
        <v>50</v>
      </c>
      <c r="G480" s="4">
        <v>1</v>
      </c>
      <c r="H480" s="5">
        <v>0</v>
      </c>
    </row>
    <row r="481" spans="1:8" x14ac:dyDescent="0.35">
      <c r="A481" s="2" t="s">
        <v>575</v>
      </c>
      <c r="B481" s="2" t="s">
        <v>573</v>
      </c>
      <c r="C481" s="2" t="s">
        <v>599</v>
      </c>
      <c r="D481" s="2" t="s">
        <v>600</v>
      </c>
      <c r="E481" s="2" t="s">
        <v>102</v>
      </c>
      <c r="F481" s="3">
        <v>70</v>
      </c>
      <c r="G481" s="4">
        <v>1</v>
      </c>
      <c r="H481" s="5">
        <v>7.4999999999999997E-3</v>
      </c>
    </row>
    <row r="482" spans="1:8" x14ac:dyDescent="0.35">
      <c r="A482" s="2" t="s">
        <v>575</v>
      </c>
      <c r="B482" s="2" t="s">
        <v>573</v>
      </c>
      <c r="C482" s="2" t="s">
        <v>601</v>
      </c>
      <c r="D482" s="2" t="s">
        <v>602</v>
      </c>
      <c r="E482" s="2" t="s">
        <v>603</v>
      </c>
      <c r="F482" s="3">
        <v>1544.45</v>
      </c>
      <c r="G482" s="4">
        <v>60</v>
      </c>
      <c r="H482" s="5">
        <v>7.4999999999999997E-3</v>
      </c>
    </row>
    <row r="483" spans="1:8" x14ac:dyDescent="0.35">
      <c r="A483" s="2" t="s">
        <v>575</v>
      </c>
      <c r="B483" s="2" t="s">
        <v>573</v>
      </c>
      <c r="C483" s="2" t="s">
        <v>604</v>
      </c>
      <c r="D483" s="2" t="s">
        <v>605</v>
      </c>
      <c r="E483" s="2" t="s">
        <v>300</v>
      </c>
      <c r="F483" s="3">
        <v>17.899999999999999</v>
      </c>
      <c r="G483" s="4">
        <v>6</v>
      </c>
      <c r="H483" s="5">
        <v>0</v>
      </c>
    </row>
    <row r="484" spans="1:8" x14ac:dyDescent="0.35">
      <c r="A484" s="2" t="s">
        <v>575</v>
      </c>
      <c r="B484" s="2" t="s">
        <v>573</v>
      </c>
      <c r="C484" s="2" t="s">
        <v>606</v>
      </c>
      <c r="D484" s="2" t="s">
        <v>607</v>
      </c>
      <c r="E484" s="2" t="s">
        <v>608</v>
      </c>
      <c r="F484" s="3">
        <v>78.98</v>
      </c>
      <c r="G484" s="4">
        <v>36</v>
      </c>
      <c r="H484" s="5">
        <v>0</v>
      </c>
    </row>
    <row r="485" spans="1:8" ht="14.5" customHeight="1" x14ac:dyDescent="0.35">
      <c r="A485" s="2" t="s">
        <v>575</v>
      </c>
      <c r="B485" s="2" t="s">
        <v>447</v>
      </c>
      <c r="C485" s="2" t="s">
        <v>576</v>
      </c>
      <c r="D485" s="2" t="s">
        <v>577</v>
      </c>
      <c r="E485" s="2" t="s">
        <v>578</v>
      </c>
      <c r="F485" s="3">
        <v>699</v>
      </c>
      <c r="G485" s="4">
        <v>60</v>
      </c>
      <c r="H485" s="5">
        <v>0</v>
      </c>
    </row>
    <row r="486" spans="1:8" x14ac:dyDescent="0.35">
      <c r="A486" s="2" t="s">
        <v>575</v>
      </c>
      <c r="B486" s="2" t="s">
        <v>447</v>
      </c>
      <c r="C486" s="2" t="s">
        <v>579</v>
      </c>
      <c r="D486" s="2" t="s">
        <v>580</v>
      </c>
      <c r="E486" s="2" t="s">
        <v>35</v>
      </c>
      <c r="F486" s="3">
        <v>699</v>
      </c>
      <c r="G486" s="4">
        <v>60</v>
      </c>
      <c r="H486" s="5">
        <v>0</v>
      </c>
    </row>
    <row r="487" spans="1:8" x14ac:dyDescent="0.35">
      <c r="A487" s="2" t="s">
        <v>575</v>
      </c>
      <c r="B487" s="2" t="s">
        <v>447</v>
      </c>
      <c r="C487" s="2" t="s">
        <v>581</v>
      </c>
      <c r="D487" s="2" t="s">
        <v>355</v>
      </c>
      <c r="E487" s="2" t="s">
        <v>356</v>
      </c>
      <c r="F487" s="3">
        <v>200</v>
      </c>
      <c r="G487" s="4">
        <v>48</v>
      </c>
      <c r="H487" s="5">
        <v>0</v>
      </c>
    </row>
    <row r="488" spans="1:8" x14ac:dyDescent="0.35">
      <c r="A488" s="2" t="s">
        <v>575</v>
      </c>
      <c r="B488" s="2" t="s">
        <v>447</v>
      </c>
      <c r="C488" s="2" t="s">
        <v>582</v>
      </c>
      <c r="D488" s="2" t="s">
        <v>360</v>
      </c>
      <c r="E488" s="2" t="s">
        <v>361</v>
      </c>
      <c r="F488" s="3">
        <v>452</v>
      </c>
      <c r="G488" s="4">
        <v>48</v>
      </c>
      <c r="H488" s="5">
        <v>0</v>
      </c>
    </row>
    <row r="489" spans="1:8" x14ac:dyDescent="0.35">
      <c r="A489" s="2" t="s">
        <v>575</v>
      </c>
      <c r="B489" s="2" t="s">
        <v>447</v>
      </c>
      <c r="C489" s="2" t="s">
        <v>583</v>
      </c>
      <c r="D489" s="2" t="s">
        <v>584</v>
      </c>
      <c r="E489" s="2" t="s">
        <v>226</v>
      </c>
      <c r="F489" s="3">
        <v>2364.9</v>
      </c>
      <c r="G489" s="4">
        <v>60</v>
      </c>
      <c r="H489" s="5">
        <v>0</v>
      </c>
    </row>
    <row r="490" spans="1:8" x14ac:dyDescent="0.35">
      <c r="A490" s="2" t="s">
        <v>575</v>
      </c>
      <c r="B490" s="2" t="s">
        <v>447</v>
      </c>
      <c r="C490" s="2" t="s">
        <v>585</v>
      </c>
      <c r="D490" s="2" t="s">
        <v>586</v>
      </c>
      <c r="E490" s="2" t="s">
        <v>92</v>
      </c>
      <c r="F490" s="3">
        <v>1261.74</v>
      </c>
      <c r="G490" s="4">
        <v>60</v>
      </c>
      <c r="H490" s="5">
        <v>7.4999999999999997E-3</v>
      </c>
    </row>
    <row r="491" spans="1:8" x14ac:dyDescent="0.35">
      <c r="A491" s="2" t="s">
        <v>575</v>
      </c>
      <c r="B491" s="2" t="s">
        <v>447</v>
      </c>
      <c r="C491" s="2" t="s">
        <v>587</v>
      </c>
      <c r="D491" s="2" t="s">
        <v>588</v>
      </c>
      <c r="E491" s="2" t="s">
        <v>115</v>
      </c>
      <c r="F491" s="3">
        <v>150</v>
      </c>
      <c r="G491" s="4">
        <v>12</v>
      </c>
      <c r="H491" s="5">
        <v>0</v>
      </c>
    </row>
    <row r="492" spans="1:8" x14ac:dyDescent="0.35">
      <c r="A492" s="2" t="s">
        <v>575</v>
      </c>
      <c r="B492" s="2" t="s">
        <v>447</v>
      </c>
      <c r="C492" s="2" t="s">
        <v>589</v>
      </c>
      <c r="D492" s="2" t="s">
        <v>590</v>
      </c>
      <c r="E492" s="2" t="s">
        <v>260</v>
      </c>
      <c r="F492" s="3">
        <v>42390</v>
      </c>
      <c r="G492" s="4">
        <v>60</v>
      </c>
      <c r="H492" s="5">
        <v>7.4999999999999997E-3</v>
      </c>
    </row>
    <row r="493" spans="1:8" x14ac:dyDescent="0.35">
      <c r="A493" s="2" t="s">
        <v>575</v>
      </c>
      <c r="B493" s="2" t="s">
        <v>447</v>
      </c>
      <c r="C493" s="2" t="s">
        <v>591</v>
      </c>
      <c r="D493" s="2" t="s">
        <v>592</v>
      </c>
      <c r="E493" s="2" t="s">
        <v>260</v>
      </c>
      <c r="F493" s="3">
        <v>78960</v>
      </c>
      <c r="G493" s="4">
        <v>60</v>
      </c>
      <c r="H493" s="5">
        <v>7.4999999999999997E-3</v>
      </c>
    </row>
    <row r="494" spans="1:8" x14ac:dyDescent="0.35">
      <c r="A494" s="2" t="s">
        <v>575</v>
      </c>
      <c r="B494" s="2" t="s">
        <v>447</v>
      </c>
      <c r="C494" s="2" t="s">
        <v>593</v>
      </c>
      <c r="D494" s="2" t="s">
        <v>594</v>
      </c>
      <c r="E494" s="2" t="s">
        <v>353</v>
      </c>
      <c r="F494" s="3">
        <v>600</v>
      </c>
      <c r="G494" s="4">
        <v>60</v>
      </c>
      <c r="H494" s="5">
        <v>0</v>
      </c>
    </row>
    <row r="495" spans="1:8" x14ac:dyDescent="0.35">
      <c r="A495" s="2" t="s">
        <v>575</v>
      </c>
      <c r="B495" s="2" t="s">
        <v>447</v>
      </c>
      <c r="C495" s="2" t="s">
        <v>595</v>
      </c>
      <c r="D495" s="2" t="s">
        <v>596</v>
      </c>
      <c r="E495" s="2" t="s">
        <v>322</v>
      </c>
      <c r="F495" s="3">
        <v>32</v>
      </c>
      <c r="G495" s="4">
        <v>48</v>
      </c>
      <c r="H495" s="5">
        <v>0</v>
      </c>
    </row>
    <row r="496" spans="1:8" x14ac:dyDescent="0.35">
      <c r="A496" s="2" t="s">
        <v>575</v>
      </c>
      <c r="B496" s="2" t="s">
        <v>447</v>
      </c>
      <c r="C496" s="2" t="s">
        <v>597</v>
      </c>
      <c r="D496" s="2" t="s">
        <v>598</v>
      </c>
      <c r="E496" s="2" t="s">
        <v>443</v>
      </c>
      <c r="F496" s="3">
        <v>50</v>
      </c>
      <c r="G496" s="4">
        <v>1</v>
      </c>
      <c r="H496" s="5">
        <v>0</v>
      </c>
    </row>
    <row r="497" spans="1:8" x14ac:dyDescent="0.35">
      <c r="A497" s="2" t="s">
        <v>575</v>
      </c>
      <c r="B497" s="2" t="s">
        <v>447</v>
      </c>
      <c r="C497" s="2" t="s">
        <v>599</v>
      </c>
      <c r="D497" s="2" t="s">
        <v>600</v>
      </c>
      <c r="E497" s="2" t="s">
        <v>102</v>
      </c>
      <c r="F497" s="3">
        <v>70</v>
      </c>
      <c r="G497" s="4">
        <v>1</v>
      </c>
      <c r="H497" s="5">
        <v>7.4999999999999997E-3</v>
      </c>
    </row>
    <row r="498" spans="1:8" x14ac:dyDescent="0.35">
      <c r="A498" s="2" t="s">
        <v>575</v>
      </c>
      <c r="B498" s="2" t="s">
        <v>447</v>
      </c>
      <c r="C498" s="2" t="s">
        <v>601</v>
      </c>
      <c r="D498" s="2" t="s">
        <v>602</v>
      </c>
      <c r="E498" s="2" t="s">
        <v>603</v>
      </c>
      <c r="F498" s="3">
        <v>1544.45</v>
      </c>
      <c r="G498" s="4">
        <v>60</v>
      </c>
      <c r="H498" s="5">
        <v>7.4999999999999997E-3</v>
      </c>
    </row>
    <row r="499" spans="1:8" x14ac:dyDescent="0.35">
      <c r="A499" s="2" t="s">
        <v>575</v>
      </c>
      <c r="B499" s="2" t="s">
        <v>447</v>
      </c>
      <c r="C499" s="2" t="s">
        <v>604</v>
      </c>
      <c r="D499" s="2" t="s">
        <v>605</v>
      </c>
      <c r="E499" s="2" t="s">
        <v>300</v>
      </c>
      <c r="F499" s="3">
        <v>17.899999999999999</v>
      </c>
      <c r="G499" s="4">
        <v>6</v>
      </c>
      <c r="H499" s="5">
        <v>0</v>
      </c>
    </row>
    <row r="500" spans="1:8" x14ac:dyDescent="0.35">
      <c r="A500" s="2" t="s">
        <v>575</v>
      </c>
      <c r="B500" s="2" t="s">
        <v>447</v>
      </c>
      <c r="C500" s="2" t="s">
        <v>606</v>
      </c>
      <c r="D500" s="2" t="s">
        <v>607</v>
      </c>
      <c r="E500" s="2" t="s">
        <v>608</v>
      </c>
      <c r="F500" s="3">
        <v>78.98</v>
      </c>
      <c r="G500" s="4">
        <v>36</v>
      </c>
      <c r="H500" s="5">
        <v>0</v>
      </c>
    </row>
    <row r="501" spans="1:8" ht="14.5" customHeight="1" x14ac:dyDescent="0.35">
      <c r="A501" s="2" t="s">
        <v>575</v>
      </c>
      <c r="B501" s="2" t="s">
        <v>510</v>
      </c>
      <c r="C501" s="2" t="s">
        <v>576</v>
      </c>
      <c r="D501" s="2" t="s">
        <v>577</v>
      </c>
      <c r="E501" s="2" t="s">
        <v>578</v>
      </c>
      <c r="F501" s="3">
        <v>776.96</v>
      </c>
      <c r="G501" s="4">
        <v>0</v>
      </c>
      <c r="H501" s="5">
        <v>0</v>
      </c>
    </row>
    <row r="502" spans="1:8" x14ac:dyDescent="0.35">
      <c r="A502" s="2" t="s">
        <v>575</v>
      </c>
      <c r="B502" s="2" t="s">
        <v>510</v>
      </c>
      <c r="C502" s="2" t="s">
        <v>579</v>
      </c>
      <c r="D502" s="2" t="s">
        <v>580</v>
      </c>
      <c r="E502" s="2" t="s">
        <v>35</v>
      </c>
      <c r="F502" s="3">
        <v>1216</v>
      </c>
      <c r="G502" s="4">
        <v>18</v>
      </c>
      <c r="H502" s="5">
        <v>0</v>
      </c>
    </row>
    <row r="503" spans="1:8" x14ac:dyDescent="0.35">
      <c r="A503" s="2" t="s">
        <v>575</v>
      </c>
      <c r="B503" s="2" t="s">
        <v>510</v>
      </c>
      <c r="C503" s="2" t="s">
        <v>581</v>
      </c>
      <c r="D503" s="2" t="s">
        <v>355</v>
      </c>
      <c r="E503" s="2" t="s">
        <v>356</v>
      </c>
      <c r="F503" s="3">
        <v>256</v>
      </c>
      <c r="G503" s="4">
        <v>12</v>
      </c>
      <c r="H503" s="5">
        <v>0</v>
      </c>
    </row>
    <row r="504" spans="1:8" x14ac:dyDescent="0.35">
      <c r="A504" s="2" t="s">
        <v>575</v>
      </c>
      <c r="B504" s="2" t="s">
        <v>510</v>
      </c>
      <c r="C504" s="2" t="s">
        <v>582</v>
      </c>
      <c r="D504" s="2" t="s">
        <v>360</v>
      </c>
      <c r="E504" s="2" t="s">
        <v>361</v>
      </c>
      <c r="F504" s="3">
        <v>320</v>
      </c>
      <c r="G504" s="4">
        <v>12</v>
      </c>
      <c r="H504" s="5">
        <v>0</v>
      </c>
    </row>
    <row r="505" spans="1:8" x14ac:dyDescent="0.35">
      <c r="A505" s="2" t="s">
        <v>575</v>
      </c>
      <c r="B505" s="2" t="s">
        <v>510</v>
      </c>
      <c r="C505" s="2" t="s">
        <v>583</v>
      </c>
      <c r="D505" s="2" t="s">
        <v>584</v>
      </c>
      <c r="E505" s="2" t="s">
        <v>226</v>
      </c>
      <c r="F505" s="3">
        <v>3392</v>
      </c>
      <c r="G505" s="4">
        <v>24</v>
      </c>
      <c r="H505" s="5">
        <v>0</v>
      </c>
    </row>
    <row r="506" spans="1:8" x14ac:dyDescent="0.35">
      <c r="A506" s="2" t="s">
        <v>575</v>
      </c>
      <c r="B506" s="2" t="s">
        <v>510</v>
      </c>
      <c r="C506" s="2" t="s">
        <v>585</v>
      </c>
      <c r="D506" s="2" t="s">
        <v>586</v>
      </c>
      <c r="E506" s="2" t="s">
        <v>92</v>
      </c>
      <c r="F506" s="3">
        <v>3200</v>
      </c>
      <c r="G506" s="4">
        <v>24</v>
      </c>
      <c r="H506" s="5">
        <v>0</v>
      </c>
    </row>
    <row r="507" spans="1:8" x14ac:dyDescent="0.35">
      <c r="A507" s="2" t="s">
        <v>575</v>
      </c>
      <c r="B507" s="2" t="s">
        <v>510</v>
      </c>
      <c r="C507" s="2" t="s">
        <v>587</v>
      </c>
      <c r="D507" s="2" t="s">
        <v>588</v>
      </c>
      <c r="E507" s="2" t="s">
        <v>115</v>
      </c>
      <c r="F507" s="3">
        <v>102.4</v>
      </c>
      <c r="G507" s="4">
        <v>12</v>
      </c>
      <c r="H507" s="5">
        <v>0</v>
      </c>
    </row>
    <row r="508" spans="1:8" x14ac:dyDescent="0.35">
      <c r="A508" s="2" t="s">
        <v>575</v>
      </c>
      <c r="B508" s="2" t="s">
        <v>510</v>
      </c>
      <c r="C508" s="2" t="s">
        <v>589</v>
      </c>
      <c r="D508" s="2" t="s">
        <v>590</v>
      </c>
      <c r="E508" s="2" t="s">
        <v>260</v>
      </c>
      <c r="F508" s="3">
        <v>44800</v>
      </c>
      <c r="G508" s="4">
        <v>36</v>
      </c>
      <c r="H508" s="5">
        <v>0</v>
      </c>
    </row>
    <row r="509" spans="1:8" x14ac:dyDescent="0.35">
      <c r="A509" s="2" t="s">
        <v>575</v>
      </c>
      <c r="B509" s="2" t="s">
        <v>510</v>
      </c>
      <c r="C509" s="2" t="s">
        <v>591</v>
      </c>
      <c r="D509" s="2" t="s">
        <v>592</v>
      </c>
      <c r="E509" s="2" t="s">
        <v>260</v>
      </c>
      <c r="F509" s="3">
        <v>64000</v>
      </c>
      <c r="G509" s="4">
        <v>36</v>
      </c>
      <c r="H509" s="5">
        <v>0</v>
      </c>
    </row>
    <row r="510" spans="1:8" x14ac:dyDescent="0.35">
      <c r="A510" s="2" t="s">
        <v>575</v>
      </c>
      <c r="B510" s="2" t="s">
        <v>510</v>
      </c>
      <c r="C510" s="2" t="s">
        <v>593</v>
      </c>
      <c r="D510" s="2" t="s">
        <v>594</v>
      </c>
      <c r="E510" s="2" t="s">
        <v>353</v>
      </c>
      <c r="F510" s="3">
        <v>896</v>
      </c>
      <c r="G510" s="4">
        <v>24</v>
      </c>
      <c r="H510" s="5">
        <v>0</v>
      </c>
    </row>
    <row r="511" spans="1:8" x14ac:dyDescent="0.35">
      <c r="A511" s="2" t="s">
        <v>575</v>
      </c>
      <c r="B511" s="2" t="s">
        <v>510</v>
      </c>
      <c r="C511" s="2" t="s">
        <v>595</v>
      </c>
      <c r="D511" s="2" t="s">
        <v>596</v>
      </c>
      <c r="E511" s="2" t="s">
        <v>322</v>
      </c>
      <c r="F511" s="3">
        <v>64</v>
      </c>
      <c r="G511" s="4">
        <v>12</v>
      </c>
      <c r="H511" s="5">
        <v>0</v>
      </c>
    </row>
    <row r="512" spans="1:8" x14ac:dyDescent="0.35">
      <c r="A512" s="2" t="s">
        <v>575</v>
      </c>
      <c r="B512" s="2" t="s">
        <v>510</v>
      </c>
      <c r="C512" s="2" t="s">
        <v>597</v>
      </c>
      <c r="D512" s="2" t="s">
        <v>598</v>
      </c>
      <c r="E512" s="2" t="s">
        <v>443</v>
      </c>
      <c r="F512" s="3">
        <v>6400</v>
      </c>
      <c r="G512" s="4">
        <v>12</v>
      </c>
      <c r="H512" s="5">
        <v>0</v>
      </c>
    </row>
    <row r="513" spans="1:8" x14ac:dyDescent="0.35">
      <c r="A513" s="2" t="s">
        <v>575</v>
      </c>
      <c r="B513" s="2" t="s">
        <v>510</v>
      </c>
      <c r="C513" s="2" t="s">
        <v>599</v>
      </c>
      <c r="D513" s="2" t="s">
        <v>600</v>
      </c>
      <c r="E513" s="2" t="s">
        <v>102</v>
      </c>
      <c r="F513" s="3">
        <v>190.44</v>
      </c>
      <c r="G513" s="4">
        <v>1</v>
      </c>
      <c r="H513" s="5">
        <v>0</v>
      </c>
    </row>
    <row r="514" spans="1:8" x14ac:dyDescent="0.35">
      <c r="A514" s="2" t="s">
        <v>575</v>
      </c>
      <c r="B514" s="2" t="s">
        <v>510</v>
      </c>
      <c r="C514" s="2" t="s">
        <v>601</v>
      </c>
      <c r="D514" s="2" t="s">
        <v>602</v>
      </c>
      <c r="E514" s="2" t="s">
        <v>603</v>
      </c>
      <c r="F514" s="3">
        <v>3840</v>
      </c>
      <c r="G514" s="4">
        <v>24</v>
      </c>
      <c r="H514" s="5">
        <v>0</v>
      </c>
    </row>
    <row r="515" spans="1:8" x14ac:dyDescent="0.35">
      <c r="A515" s="2" t="s">
        <v>575</v>
      </c>
      <c r="B515" s="2" t="s">
        <v>510</v>
      </c>
      <c r="C515" s="2" t="s">
        <v>604</v>
      </c>
      <c r="D515" s="2" t="s">
        <v>605</v>
      </c>
      <c r="E515" s="2" t="s">
        <v>300</v>
      </c>
      <c r="F515" s="3">
        <v>5120</v>
      </c>
      <c r="G515" s="4">
        <v>24</v>
      </c>
      <c r="H515" s="5">
        <v>0</v>
      </c>
    </row>
    <row r="516" spans="1:8" x14ac:dyDescent="0.35">
      <c r="A516" s="2" t="s">
        <v>575</v>
      </c>
      <c r="B516" s="2" t="s">
        <v>510</v>
      </c>
      <c r="C516" s="2" t="s">
        <v>606</v>
      </c>
      <c r="D516" s="2" t="s">
        <v>607</v>
      </c>
      <c r="E516" s="2" t="s">
        <v>608</v>
      </c>
      <c r="F516" s="3">
        <v>89.6</v>
      </c>
      <c r="G516" s="4">
        <v>12</v>
      </c>
      <c r="H516" s="5">
        <v>0</v>
      </c>
    </row>
    <row r="517" spans="1:8" ht="14.5" customHeight="1" x14ac:dyDescent="0.35">
      <c r="A517" s="2" t="s">
        <v>575</v>
      </c>
      <c r="B517" s="2" t="s">
        <v>291</v>
      </c>
      <c r="C517" s="2" t="s">
        <v>576</v>
      </c>
      <c r="D517" s="2" t="s">
        <v>577</v>
      </c>
      <c r="E517" s="2" t="s">
        <v>578</v>
      </c>
      <c r="F517" s="3">
        <v>699</v>
      </c>
      <c r="G517" s="4">
        <v>60</v>
      </c>
      <c r="H517" s="5">
        <v>0</v>
      </c>
    </row>
    <row r="518" spans="1:8" x14ac:dyDescent="0.35">
      <c r="A518" s="2" t="s">
        <v>575</v>
      </c>
      <c r="B518" s="2" t="s">
        <v>291</v>
      </c>
      <c r="C518" s="2" t="s">
        <v>579</v>
      </c>
      <c r="D518" s="2" t="s">
        <v>580</v>
      </c>
      <c r="E518" s="2" t="s">
        <v>35</v>
      </c>
      <c r="F518" s="3">
        <v>699</v>
      </c>
      <c r="G518" s="4">
        <v>60</v>
      </c>
      <c r="H518" s="5">
        <v>0</v>
      </c>
    </row>
    <row r="519" spans="1:8" x14ac:dyDescent="0.35">
      <c r="A519" s="2" t="s">
        <v>575</v>
      </c>
      <c r="B519" s="2" t="s">
        <v>291</v>
      </c>
      <c r="C519" s="2" t="s">
        <v>581</v>
      </c>
      <c r="D519" s="2" t="s">
        <v>355</v>
      </c>
      <c r="E519" s="2" t="s">
        <v>356</v>
      </c>
      <c r="F519" s="3">
        <v>200</v>
      </c>
      <c r="G519" s="4">
        <v>48</v>
      </c>
      <c r="H519" s="5">
        <v>0</v>
      </c>
    </row>
    <row r="520" spans="1:8" x14ac:dyDescent="0.35">
      <c r="A520" s="2" t="s">
        <v>575</v>
      </c>
      <c r="B520" s="2" t="s">
        <v>291</v>
      </c>
      <c r="C520" s="2" t="s">
        <v>582</v>
      </c>
      <c r="D520" s="2" t="s">
        <v>360</v>
      </c>
      <c r="E520" s="2" t="s">
        <v>361</v>
      </c>
      <c r="F520" s="3">
        <v>452</v>
      </c>
      <c r="G520" s="4">
        <v>48</v>
      </c>
      <c r="H520" s="5">
        <v>0</v>
      </c>
    </row>
    <row r="521" spans="1:8" x14ac:dyDescent="0.35">
      <c r="A521" s="2" t="s">
        <v>575</v>
      </c>
      <c r="B521" s="2" t="s">
        <v>291</v>
      </c>
      <c r="C521" s="2" t="s">
        <v>583</v>
      </c>
      <c r="D521" s="2" t="s">
        <v>584</v>
      </c>
      <c r="E521" s="2" t="s">
        <v>226</v>
      </c>
      <c r="F521" s="3">
        <v>2364.9</v>
      </c>
      <c r="G521" s="4">
        <v>60</v>
      </c>
      <c r="H521" s="5">
        <v>0</v>
      </c>
    </row>
    <row r="522" spans="1:8" x14ac:dyDescent="0.35">
      <c r="A522" s="2" t="s">
        <v>575</v>
      </c>
      <c r="B522" s="2" t="s">
        <v>291</v>
      </c>
      <c r="C522" s="2" t="s">
        <v>585</v>
      </c>
      <c r="D522" s="2" t="s">
        <v>586</v>
      </c>
      <c r="E522" s="2" t="s">
        <v>92</v>
      </c>
      <c r="F522" s="3">
        <v>1261.74</v>
      </c>
      <c r="G522" s="4">
        <v>60</v>
      </c>
      <c r="H522" s="5">
        <v>7.4999999999999997E-3</v>
      </c>
    </row>
    <row r="523" spans="1:8" x14ac:dyDescent="0.35">
      <c r="A523" s="2" t="s">
        <v>575</v>
      </c>
      <c r="B523" s="2" t="s">
        <v>291</v>
      </c>
      <c r="C523" s="2" t="s">
        <v>587</v>
      </c>
      <c r="D523" s="2" t="s">
        <v>588</v>
      </c>
      <c r="E523" s="2" t="s">
        <v>115</v>
      </c>
      <c r="F523" s="3">
        <v>150</v>
      </c>
      <c r="G523" s="4">
        <v>12</v>
      </c>
      <c r="H523" s="5">
        <v>0</v>
      </c>
    </row>
    <row r="524" spans="1:8" x14ac:dyDescent="0.35">
      <c r="A524" s="2" t="s">
        <v>575</v>
      </c>
      <c r="B524" s="2" t="s">
        <v>291</v>
      </c>
      <c r="C524" s="2" t="s">
        <v>589</v>
      </c>
      <c r="D524" s="2" t="s">
        <v>590</v>
      </c>
      <c r="E524" s="2" t="s">
        <v>260</v>
      </c>
      <c r="F524" s="3">
        <v>21834.23</v>
      </c>
      <c r="G524" s="4">
        <v>60</v>
      </c>
      <c r="H524" s="5">
        <v>7.4999999999999997E-3</v>
      </c>
    </row>
    <row r="525" spans="1:8" x14ac:dyDescent="0.35">
      <c r="A525" s="2" t="s">
        <v>575</v>
      </c>
      <c r="B525" s="2" t="s">
        <v>291</v>
      </c>
      <c r="C525" s="2" t="s">
        <v>591</v>
      </c>
      <c r="D525" s="2" t="s">
        <v>592</v>
      </c>
      <c r="E525" s="2" t="s">
        <v>260</v>
      </c>
      <c r="F525" s="3">
        <v>38030.68</v>
      </c>
      <c r="G525" s="4">
        <v>60</v>
      </c>
      <c r="H525" s="5">
        <v>7.4999999999999997E-3</v>
      </c>
    </row>
    <row r="526" spans="1:8" x14ac:dyDescent="0.35">
      <c r="A526" s="2" t="s">
        <v>575</v>
      </c>
      <c r="B526" s="2" t="s">
        <v>291</v>
      </c>
      <c r="C526" s="2" t="s">
        <v>593</v>
      </c>
      <c r="D526" s="2" t="s">
        <v>594</v>
      </c>
      <c r="E526" s="2" t="s">
        <v>353</v>
      </c>
      <c r="F526" s="3">
        <v>600</v>
      </c>
      <c r="G526" s="4">
        <v>60</v>
      </c>
      <c r="H526" s="5">
        <v>0</v>
      </c>
    </row>
    <row r="527" spans="1:8" x14ac:dyDescent="0.35">
      <c r="A527" s="2" t="s">
        <v>575</v>
      </c>
      <c r="B527" s="2" t="s">
        <v>291</v>
      </c>
      <c r="C527" s="2" t="s">
        <v>595</v>
      </c>
      <c r="D527" s="2" t="s">
        <v>596</v>
      </c>
      <c r="E527" s="2" t="s">
        <v>322</v>
      </c>
      <c r="F527" s="3">
        <v>32</v>
      </c>
      <c r="G527" s="4">
        <v>48</v>
      </c>
      <c r="H527" s="5">
        <v>0</v>
      </c>
    </row>
    <row r="528" spans="1:8" x14ac:dyDescent="0.35">
      <c r="A528" s="2" t="s">
        <v>575</v>
      </c>
      <c r="B528" s="2" t="s">
        <v>291</v>
      </c>
      <c r="C528" s="2" t="s">
        <v>597</v>
      </c>
      <c r="D528" s="2" t="s">
        <v>598</v>
      </c>
      <c r="E528" s="2" t="s">
        <v>443</v>
      </c>
      <c r="F528" s="3">
        <v>50</v>
      </c>
      <c r="G528" s="4">
        <v>1</v>
      </c>
      <c r="H528" s="5">
        <v>0</v>
      </c>
    </row>
    <row r="529" spans="1:8" x14ac:dyDescent="0.35">
      <c r="A529" s="2" t="s">
        <v>575</v>
      </c>
      <c r="B529" s="2" t="s">
        <v>291</v>
      </c>
      <c r="C529" s="2" t="s">
        <v>599</v>
      </c>
      <c r="D529" s="2" t="s">
        <v>600</v>
      </c>
      <c r="E529" s="2" t="s">
        <v>102</v>
      </c>
      <c r="F529" s="3">
        <v>70</v>
      </c>
      <c r="G529" s="4">
        <v>1</v>
      </c>
      <c r="H529" s="5">
        <v>7.4999999999999997E-3</v>
      </c>
    </row>
    <row r="530" spans="1:8" x14ac:dyDescent="0.35">
      <c r="A530" s="2" t="s">
        <v>575</v>
      </c>
      <c r="B530" s="2" t="s">
        <v>291</v>
      </c>
      <c r="C530" s="2" t="s">
        <v>601</v>
      </c>
      <c r="D530" s="2" t="s">
        <v>602</v>
      </c>
      <c r="E530" s="2" t="s">
        <v>603</v>
      </c>
      <c r="F530" s="3">
        <v>1544.45</v>
      </c>
      <c r="G530" s="4">
        <v>60</v>
      </c>
      <c r="H530" s="5">
        <v>7.4999999999999997E-3</v>
      </c>
    </row>
    <row r="531" spans="1:8" x14ac:dyDescent="0.35">
      <c r="A531" s="2" t="s">
        <v>575</v>
      </c>
      <c r="B531" s="2" t="s">
        <v>291</v>
      </c>
      <c r="C531" s="2" t="s">
        <v>604</v>
      </c>
      <c r="D531" s="2" t="s">
        <v>605</v>
      </c>
      <c r="E531" s="2" t="s">
        <v>300</v>
      </c>
      <c r="F531" s="3">
        <v>17.899999999999999</v>
      </c>
      <c r="G531" s="4">
        <v>6</v>
      </c>
      <c r="H531" s="5">
        <v>0</v>
      </c>
    </row>
    <row r="532" spans="1:8" x14ac:dyDescent="0.35">
      <c r="A532" s="2" t="s">
        <v>575</v>
      </c>
      <c r="B532" s="2" t="s">
        <v>291</v>
      </c>
      <c r="C532" s="2" t="s">
        <v>606</v>
      </c>
      <c r="D532" s="2" t="s">
        <v>607</v>
      </c>
      <c r="E532" s="2" t="s">
        <v>608</v>
      </c>
      <c r="F532" s="3">
        <v>78.98</v>
      </c>
      <c r="G532" s="4">
        <v>36</v>
      </c>
      <c r="H532" s="5">
        <v>0</v>
      </c>
    </row>
    <row r="533" spans="1:8" ht="14.5" customHeight="1" x14ac:dyDescent="0.35">
      <c r="A533" s="2" t="s">
        <v>575</v>
      </c>
      <c r="B533" s="2" t="s">
        <v>609</v>
      </c>
      <c r="C533" s="2" t="s">
        <v>576</v>
      </c>
      <c r="D533" s="2" t="s">
        <v>577</v>
      </c>
      <c r="E533" s="2" t="s">
        <v>578</v>
      </c>
      <c r="F533" s="3">
        <v>720</v>
      </c>
      <c r="G533" s="4">
        <v>36</v>
      </c>
      <c r="H533" s="5">
        <v>0</v>
      </c>
    </row>
    <row r="534" spans="1:8" x14ac:dyDescent="0.35">
      <c r="A534" s="2" t="s">
        <v>575</v>
      </c>
      <c r="B534" s="2" t="s">
        <v>609</v>
      </c>
      <c r="C534" s="2" t="s">
        <v>579</v>
      </c>
      <c r="D534" s="2" t="s">
        <v>580</v>
      </c>
      <c r="E534" s="2" t="s">
        <v>35</v>
      </c>
      <c r="F534" s="3">
        <v>2100</v>
      </c>
      <c r="G534" s="4">
        <v>36</v>
      </c>
      <c r="H534" s="5">
        <v>0</v>
      </c>
    </row>
    <row r="535" spans="1:8" x14ac:dyDescent="0.35">
      <c r="A535" s="2" t="s">
        <v>575</v>
      </c>
      <c r="B535" s="2" t="s">
        <v>609</v>
      </c>
      <c r="C535" s="2" t="s">
        <v>581</v>
      </c>
      <c r="D535" s="2" t="s">
        <v>355</v>
      </c>
      <c r="E535" s="2" t="s">
        <v>356</v>
      </c>
      <c r="F535" s="3">
        <v>350</v>
      </c>
      <c r="G535" s="4">
        <v>36</v>
      </c>
      <c r="H535" s="5">
        <v>0</v>
      </c>
    </row>
    <row r="536" spans="1:8" x14ac:dyDescent="0.35">
      <c r="A536" s="2" t="s">
        <v>575</v>
      </c>
      <c r="B536" s="2" t="s">
        <v>609</v>
      </c>
      <c r="C536" s="2" t="s">
        <v>582</v>
      </c>
      <c r="D536" s="2" t="s">
        <v>360</v>
      </c>
      <c r="E536" s="2" t="s">
        <v>361</v>
      </c>
      <c r="F536" s="3">
        <v>452</v>
      </c>
      <c r="G536" s="4">
        <v>36</v>
      </c>
      <c r="H536" s="5">
        <v>0</v>
      </c>
    </row>
    <row r="537" spans="1:8" x14ac:dyDescent="0.35">
      <c r="A537" s="2" t="s">
        <v>575</v>
      </c>
      <c r="B537" s="2" t="s">
        <v>609</v>
      </c>
      <c r="C537" s="2" t="s">
        <v>583</v>
      </c>
      <c r="D537" s="2" t="s">
        <v>584</v>
      </c>
      <c r="E537" s="2" t="s">
        <v>226</v>
      </c>
      <c r="F537" s="3">
        <v>3850</v>
      </c>
      <c r="G537" s="4">
        <v>36</v>
      </c>
      <c r="H537" s="5">
        <v>0</v>
      </c>
    </row>
    <row r="538" spans="1:8" x14ac:dyDescent="0.35">
      <c r="A538" s="2" t="s">
        <v>575</v>
      </c>
      <c r="B538" s="2" t="s">
        <v>609</v>
      </c>
      <c r="C538" s="2" t="s">
        <v>585</v>
      </c>
      <c r="D538" s="2" t="s">
        <v>586</v>
      </c>
      <c r="E538" s="2" t="s">
        <v>92</v>
      </c>
      <c r="F538" s="3">
        <v>2750</v>
      </c>
      <c r="G538" s="4">
        <v>36</v>
      </c>
      <c r="H538" s="5">
        <v>7.4999999999999997E-3</v>
      </c>
    </row>
    <row r="539" spans="1:8" x14ac:dyDescent="0.35">
      <c r="A539" s="2" t="s">
        <v>575</v>
      </c>
      <c r="B539" s="2" t="s">
        <v>609</v>
      </c>
      <c r="C539" s="2" t="s">
        <v>587</v>
      </c>
      <c r="D539" s="2" t="s">
        <v>588</v>
      </c>
      <c r="E539" s="2" t="s">
        <v>115</v>
      </c>
      <c r="F539" s="3">
        <v>185</v>
      </c>
      <c r="G539" s="4">
        <v>12</v>
      </c>
      <c r="H539" s="5">
        <v>0</v>
      </c>
    </row>
    <row r="540" spans="1:8" x14ac:dyDescent="0.35">
      <c r="A540" s="2" t="s">
        <v>575</v>
      </c>
      <c r="B540" s="2" t="s">
        <v>609</v>
      </c>
      <c r="C540" s="2" t="s">
        <v>589</v>
      </c>
      <c r="D540" s="2" t="s">
        <v>590</v>
      </c>
      <c r="E540" s="2" t="s">
        <v>260</v>
      </c>
      <c r="F540" s="3">
        <v>34850</v>
      </c>
      <c r="G540" s="4">
        <v>36</v>
      </c>
      <c r="H540" s="5">
        <v>7.4999999999999997E-3</v>
      </c>
    </row>
    <row r="541" spans="1:8" x14ac:dyDescent="0.35">
      <c r="A541" s="2" t="s">
        <v>575</v>
      </c>
      <c r="B541" s="2" t="s">
        <v>609</v>
      </c>
      <c r="C541" s="2" t="s">
        <v>591</v>
      </c>
      <c r="D541" s="2" t="s">
        <v>592</v>
      </c>
      <c r="E541" s="2" t="s">
        <v>260</v>
      </c>
      <c r="F541" s="3">
        <v>54500</v>
      </c>
      <c r="G541" s="4">
        <v>36</v>
      </c>
      <c r="H541" s="5">
        <v>7.4999999999999997E-3</v>
      </c>
    </row>
    <row r="542" spans="1:8" x14ac:dyDescent="0.35">
      <c r="A542" s="2" t="s">
        <v>575</v>
      </c>
      <c r="B542" s="2" t="s">
        <v>609</v>
      </c>
      <c r="C542" s="2" t="s">
        <v>593</v>
      </c>
      <c r="D542" s="2" t="s">
        <v>594</v>
      </c>
      <c r="E542" s="2" t="s">
        <v>353</v>
      </c>
      <c r="F542" s="3">
        <v>600</v>
      </c>
      <c r="G542" s="4">
        <v>36</v>
      </c>
      <c r="H542" s="5">
        <v>0</v>
      </c>
    </row>
    <row r="543" spans="1:8" x14ac:dyDescent="0.35">
      <c r="A543" s="2" t="s">
        <v>575</v>
      </c>
      <c r="B543" s="2" t="s">
        <v>609</v>
      </c>
      <c r="C543" s="2" t="s">
        <v>595</v>
      </c>
      <c r="D543" s="2" t="s">
        <v>596</v>
      </c>
      <c r="E543" s="2" t="s">
        <v>322</v>
      </c>
      <c r="F543" s="3">
        <v>48</v>
      </c>
      <c r="G543" s="4">
        <v>24</v>
      </c>
      <c r="H543" s="5">
        <v>0</v>
      </c>
    </row>
    <row r="544" spans="1:8" x14ac:dyDescent="0.35">
      <c r="A544" s="2" t="s">
        <v>575</v>
      </c>
      <c r="B544" s="2" t="s">
        <v>609</v>
      </c>
      <c r="C544" s="2" t="s">
        <v>597</v>
      </c>
      <c r="D544" s="2" t="s">
        <v>598</v>
      </c>
      <c r="E544" s="2" t="s">
        <v>443</v>
      </c>
      <c r="F544" s="3">
        <v>85</v>
      </c>
      <c r="G544" s="4">
        <v>1</v>
      </c>
      <c r="H544" s="5">
        <v>0</v>
      </c>
    </row>
    <row r="545" spans="1:8" x14ac:dyDescent="0.35">
      <c r="A545" s="2" t="s">
        <v>575</v>
      </c>
      <c r="B545" s="2" t="s">
        <v>609</v>
      </c>
      <c r="C545" s="2" t="s">
        <v>599</v>
      </c>
      <c r="D545" s="2" t="s">
        <v>600</v>
      </c>
      <c r="E545" s="2" t="s">
        <v>102</v>
      </c>
      <c r="F545" s="3">
        <v>85</v>
      </c>
      <c r="G545" s="4">
        <v>1</v>
      </c>
      <c r="H545" s="5">
        <v>7.4999999999999997E-3</v>
      </c>
    </row>
    <row r="546" spans="1:8" x14ac:dyDescent="0.35">
      <c r="A546" s="2" t="s">
        <v>575</v>
      </c>
      <c r="B546" s="2" t="s">
        <v>609</v>
      </c>
      <c r="C546" s="2" t="s">
        <v>601</v>
      </c>
      <c r="D546" s="2" t="s">
        <v>602</v>
      </c>
      <c r="E546" s="2" t="s">
        <v>603</v>
      </c>
      <c r="F546" s="3">
        <v>1544.45</v>
      </c>
      <c r="G546" s="4">
        <v>60</v>
      </c>
      <c r="H546" s="5">
        <v>7.4999999999999997E-3</v>
      </c>
    </row>
    <row r="547" spans="1:8" x14ac:dyDescent="0.35">
      <c r="A547" s="2" t="s">
        <v>575</v>
      </c>
      <c r="B547" s="2" t="s">
        <v>609</v>
      </c>
      <c r="C547" s="2" t="s">
        <v>604</v>
      </c>
      <c r="D547" s="2" t="s">
        <v>605</v>
      </c>
      <c r="E547" s="2" t="s">
        <v>300</v>
      </c>
      <c r="F547" s="3">
        <v>17.899999999999999</v>
      </c>
      <c r="G547" s="4">
        <v>6</v>
      </c>
      <c r="H547" s="5">
        <v>0</v>
      </c>
    </row>
    <row r="548" spans="1:8" x14ac:dyDescent="0.35">
      <c r="A548" s="2" t="s">
        <v>575</v>
      </c>
      <c r="B548" s="2" t="s">
        <v>609</v>
      </c>
      <c r="C548" s="2" t="s">
        <v>606</v>
      </c>
      <c r="D548" s="2" t="s">
        <v>607</v>
      </c>
      <c r="E548" s="2" t="s">
        <v>608</v>
      </c>
      <c r="F548" s="3">
        <v>78.98</v>
      </c>
      <c r="G548" s="4">
        <v>36</v>
      </c>
      <c r="H548" s="5">
        <v>0</v>
      </c>
    </row>
    <row r="549" spans="1:8" x14ac:dyDescent="0.35">
      <c r="A549" s="2" t="s">
        <v>610</v>
      </c>
      <c r="B549" s="2" t="s">
        <v>611</v>
      </c>
      <c r="C549" s="2" t="s">
        <v>612</v>
      </c>
      <c r="D549" s="2" t="s">
        <v>613</v>
      </c>
      <c r="E549" s="2" t="s">
        <v>147</v>
      </c>
      <c r="F549" s="3">
        <v>4095</v>
      </c>
      <c r="G549" s="4">
        <v>60</v>
      </c>
      <c r="H549" s="5">
        <v>7.4999999999999997E-3</v>
      </c>
    </row>
    <row r="550" spans="1:8" x14ac:dyDescent="0.35">
      <c r="A550" s="2" t="s">
        <v>610</v>
      </c>
      <c r="B550" s="2" t="s">
        <v>611</v>
      </c>
      <c r="C550" s="2" t="s">
        <v>614</v>
      </c>
      <c r="D550" s="2" t="s">
        <v>615</v>
      </c>
      <c r="E550" s="2" t="s">
        <v>193</v>
      </c>
      <c r="F550" s="3">
        <v>330</v>
      </c>
      <c r="G550" s="4">
        <v>36</v>
      </c>
      <c r="H550" s="5">
        <v>0</v>
      </c>
    </row>
    <row r="551" spans="1:8" x14ac:dyDescent="0.35">
      <c r="A551" s="2" t="s">
        <v>610</v>
      </c>
      <c r="B551" s="2" t="s">
        <v>611</v>
      </c>
      <c r="C551" s="2" t="s">
        <v>616</v>
      </c>
      <c r="D551" s="2" t="s">
        <v>617</v>
      </c>
      <c r="E551" s="2" t="s">
        <v>226</v>
      </c>
      <c r="F551" s="3">
        <v>9450</v>
      </c>
      <c r="G551" s="4">
        <v>60</v>
      </c>
      <c r="H551" s="5">
        <v>7.4999999999999997E-3</v>
      </c>
    </row>
    <row r="552" spans="1:8" x14ac:dyDescent="0.35">
      <c r="A552" s="2" t="s">
        <v>610</v>
      </c>
      <c r="B552" s="2" t="s">
        <v>611</v>
      </c>
      <c r="C552" s="2" t="s">
        <v>618</v>
      </c>
      <c r="D552" s="2" t="s">
        <v>619</v>
      </c>
      <c r="E552" s="2" t="s">
        <v>285</v>
      </c>
      <c r="F552" s="3">
        <v>480</v>
      </c>
      <c r="G552" s="4">
        <v>60</v>
      </c>
      <c r="H552" s="5">
        <v>0</v>
      </c>
    </row>
    <row r="553" spans="1:8" x14ac:dyDescent="0.35">
      <c r="A553" s="2" t="s">
        <v>610</v>
      </c>
      <c r="B553" s="2" t="s">
        <v>611</v>
      </c>
      <c r="C553" s="2" t="s">
        <v>620</v>
      </c>
      <c r="D553" s="2" t="s">
        <v>621</v>
      </c>
      <c r="E553" s="2" t="s">
        <v>92</v>
      </c>
      <c r="F553" s="3">
        <v>750</v>
      </c>
      <c r="G553" s="4">
        <v>36</v>
      </c>
      <c r="H553" s="5">
        <v>0</v>
      </c>
    </row>
    <row r="554" spans="1:8" x14ac:dyDescent="0.35">
      <c r="A554" s="2" t="s">
        <v>610</v>
      </c>
      <c r="B554" s="2" t="s">
        <v>611</v>
      </c>
      <c r="C554" s="2" t="s">
        <v>622</v>
      </c>
      <c r="D554" s="2" t="s">
        <v>623</v>
      </c>
      <c r="E554" s="2" t="s">
        <v>46</v>
      </c>
      <c r="F554" s="3">
        <v>750</v>
      </c>
      <c r="G554" s="4">
        <v>60</v>
      </c>
      <c r="H554" s="5">
        <v>0</v>
      </c>
    </row>
    <row r="555" spans="1:8" x14ac:dyDescent="0.35">
      <c r="A555" s="2" t="s">
        <v>610</v>
      </c>
      <c r="B555" s="2" t="s">
        <v>611</v>
      </c>
      <c r="C555" s="2" t="s">
        <v>624</v>
      </c>
      <c r="D555" s="2" t="s">
        <v>625</v>
      </c>
      <c r="E555" s="2" t="s">
        <v>169</v>
      </c>
      <c r="F555" s="3">
        <v>270</v>
      </c>
      <c r="G555" s="4">
        <v>60</v>
      </c>
      <c r="H555" s="5">
        <v>0</v>
      </c>
    </row>
    <row r="556" spans="1:8" x14ac:dyDescent="0.35">
      <c r="A556" s="2" t="s">
        <v>610</v>
      </c>
      <c r="B556" s="2" t="s">
        <v>611</v>
      </c>
      <c r="C556" s="2" t="s">
        <v>626</v>
      </c>
      <c r="D556" s="2" t="s">
        <v>627</v>
      </c>
      <c r="E556" s="2" t="s">
        <v>628</v>
      </c>
      <c r="F556" s="3">
        <v>1500</v>
      </c>
      <c r="G556" s="4">
        <v>36</v>
      </c>
      <c r="H556" s="5">
        <v>0</v>
      </c>
    </row>
    <row r="557" spans="1:8" x14ac:dyDescent="0.35">
      <c r="A557" s="2" t="s">
        <v>610</v>
      </c>
      <c r="B557" s="2" t="s">
        <v>611</v>
      </c>
      <c r="C557" s="2" t="s">
        <v>629</v>
      </c>
      <c r="D557" s="2" t="s">
        <v>630</v>
      </c>
      <c r="E557" s="2" t="s">
        <v>300</v>
      </c>
      <c r="F557" s="3">
        <v>55</v>
      </c>
      <c r="G557" s="4">
        <v>24</v>
      </c>
      <c r="H557" s="5">
        <v>0</v>
      </c>
    </row>
    <row r="558" spans="1:8" x14ac:dyDescent="0.35">
      <c r="A558" s="2" t="s">
        <v>610</v>
      </c>
      <c r="B558" s="2" t="s">
        <v>611</v>
      </c>
      <c r="C558" s="2" t="s">
        <v>631</v>
      </c>
      <c r="D558" s="2" t="s">
        <v>632</v>
      </c>
      <c r="E558" s="2" t="s">
        <v>322</v>
      </c>
      <c r="F558" s="3">
        <v>40.1</v>
      </c>
      <c r="G558" s="4">
        <v>60</v>
      </c>
      <c r="H558" s="5">
        <v>0</v>
      </c>
    </row>
    <row r="559" spans="1:8" x14ac:dyDescent="0.35">
      <c r="A559" s="2" t="s">
        <v>610</v>
      </c>
      <c r="B559" s="2" t="s">
        <v>611</v>
      </c>
      <c r="C559" s="2" t="s">
        <v>633</v>
      </c>
      <c r="D559" s="2" t="s">
        <v>634</v>
      </c>
      <c r="E559" s="2" t="s">
        <v>635</v>
      </c>
      <c r="F559" s="3">
        <v>14</v>
      </c>
      <c r="G559" s="4">
        <v>12</v>
      </c>
      <c r="H559" s="5">
        <v>0</v>
      </c>
    </row>
    <row r="560" spans="1:8" x14ac:dyDescent="0.35">
      <c r="A560" s="2" t="s">
        <v>610</v>
      </c>
      <c r="B560" s="2" t="s">
        <v>611</v>
      </c>
      <c r="C560" s="2" t="s">
        <v>636</v>
      </c>
      <c r="D560" s="2" t="s">
        <v>637</v>
      </c>
      <c r="E560" s="2" t="s">
        <v>638</v>
      </c>
      <c r="F560" s="3">
        <v>12</v>
      </c>
      <c r="G560" s="4">
        <v>12</v>
      </c>
      <c r="H560" s="5">
        <v>0</v>
      </c>
    </row>
    <row r="561" spans="1:8" x14ac:dyDescent="0.35">
      <c r="A561" s="2" t="s">
        <v>610</v>
      </c>
      <c r="B561" s="2" t="s">
        <v>611</v>
      </c>
      <c r="C561" s="2" t="s">
        <v>639</v>
      </c>
      <c r="D561" s="2" t="s">
        <v>640</v>
      </c>
      <c r="E561" s="2" t="s">
        <v>641</v>
      </c>
      <c r="F561" s="3">
        <v>13</v>
      </c>
      <c r="G561" s="4">
        <v>12</v>
      </c>
      <c r="H561" s="5">
        <v>0</v>
      </c>
    </row>
    <row r="562" spans="1:8" x14ac:dyDescent="0.35">
      <c r="A562" s="2" t="s">
        <v>610</v>
      </c>
      <c r="B562" s="2" t="s">
        <v>611</v>
      </c>
      <c r="C562" s="2" t="s">
        <v>642</v>
      </c>
      <c r="D562" s="2" t="s">
        <v>643</v>
      </c>
      <c r="E562" s="2" t="s">
        <v>644</v>
      </c>
      <c r="F562" s="3">
        <v>13</v>
      </c>
      <c r="G562" s="4">
        <v>12</v>
      </c>
      <c r="H562" s="5">
        <v>0</v>
      </c>
    </row>
    <row r="563" spans="1:8" x14ac:dyDescent="0.35">
      <c r="A563" s="2" t="s">
        <v>610</v>
      </c>
      <c r="B563" s="2" t="s">
        <v>611</v>
      </c>
      <c r="C563" s="2" t="s">
        <v>645</v>
      </c>
      <c r="D563" s="2" t="s">
        <v>646</v>
      </c>
      <c r="E563" s="2" t="s">
        <v>303</v>
      </c>
      <c r="F563" s="3">
        <v>32</v>
      </c>
      <c r="G563" s="4">
        <v>24</v>
      </c>
      <c r="H563" s="5">
        <v>0</v>
      </c>
    </row>
    <row r="564" spans="1:8" x14ac:dyDescent="0.35">
      <c r="A564" s="2" t="s">
        <v>610</v>
      </c>
      <c r="B564" s="2" t="s">
        <v>611</v>
      </c>
      <c r="C564" s="2" t="s">
        <v>647</v>
      </c>
      <c r="D564" s="2" t="s">
        <v>648</v>
      </c>
      <c r="E564" s="2" t="s">
        <v>535</v>
      </c>
      <c r="F564" s="3">
        <v>11</v>
      </c>
      <c r="G564" s="4">
        <v>12</v>
      </c>
      <c r="H564" s="5">
        <v>0</v>
      </c>
    </row>
    <row r="565" spans="1:8" x14ac:dyDescent="0.35">
      <c r="A565" s="2" t="s">
        <v>610</v>
      </c>
      <c r="B565" s="2" t="s">
        <v>611</v>
      </c>
      <c r="C565" s="2" t="s">
        <v>649</v>
      </c>
      <c r="D565" s="2" t="s">
        <v>650</v>
      </c>
      <c r="E565" s="2" t="s">
        <v>275</v>
      </c>
      <c r="F565" s="3">
        <v>4</v>
      </c>
      <c r="G565" s="4">
        <v>12</v>
      </c>
      <c r="H565" s="5">
        <v>0</v>
      </c>
    </row>
    <row r="566" spans="1:8" x14ac:dyDescent="0.35">
      <c r="A566" s="2" t="s">
        <v>610</v>
      </c>
      <c r="B566" s="2" t="s">
        <v>611</v>
      </c>
      <c r="C566" s="2" t="s">
        <v>651</v>
      </c>
      <c r="D566" s="2" t="s">
        <v>652</v>
      </c>
      <c r="E566" s="2" t="s">
        <v>136</v>
      </c>
      <c r="F566" s="3">
        <v>22</v>
      </c>
      <c r="G566" s="4">
        <v>6</v>
      </c>
      <c r="H566" s="5">
        <v>0</v>
      </c>
    </row>
    <row r="567" spans="1:8" x14ac:dyDescent="0.35">
      <c r="A567" s="2" t="s">
        <v>610</v>
      </c>
      <c r="B567" s="2" t="s">
        <v>611</v>
      </c>
      <c r="C567" s="2" t="s">
        <v>653</v>
      </c>
      <c r="D567" s="2" t="s">
        <v>654</v>
      </c>
      <c r="E567" s="2" t="s">
        <v>190</v>
      </c>
      <c r="F567" s="3">
        <v>0.5</v>
      </c>
      <c r="G567" s="4">
        <v>1</v>
      </c>
      <c r="H567" s="5">
        <v>0</v>
      </c>
    </row>
    <row r="568" spans="1:8" x14ac:dyDescent="0.35">
      <c r="A568" s="2" t="s">
        <v>610</v>
      </c>
      <c r="B568" s="2" t="s">
        <v>655</v>
      </c>
      <c r="C568" s="2" t="s">
        <v>612</v>
      </c>
      <c r="D568" s="2" t="s">
        <v>613</v>
      </c>
      <c r="E568" s="2" t="s">
        <v>147</v>
      </c>
      <c r="F568" s="3">
        <v>1365</v>
      </c>
      <c r="G568" s="4">
        <v>60</v>
      </c>
      <c r="H568" s="5">
        <v>7.4999999999999997E-3</v>
      </c>
    </row>
    <row r="569" spans="1:8" x14ac:dyDescent="0.35">
      <c r="A569" s="2" t="s">
        <v>610</v>
      </c>
      <c r="B569" s="2" t="s">
        <v>655</v>
      </c>
      <c r="C569" s="2" t="s">
        <v>614</v>
      </c>
      <c r="D569" s="2" t="s">
        <v>615</v>
      </c>
      <c r="E569" s="2" t="s">
        <v>193</v>
      </c>
      <c r="F569" s="3">
        <v>110</v>
      </c>
      <c r="G569" s="4">
        <v>36</v>
      </c>
      <c r="H569" s="5">
        <v>0</v>
      </c>
    </row>
    <row r="570" spans="1:8" x14ac:dyDescent="0.35">
      <c r="A570" s="2" t="s">
        <v>610</v>
      </c>
      <c r="B570" s="2" t="s">
        <v>655</v>
      </c>
      <c r="C570" s="2" t="s">
        <v>616</v>
      </c>
      <c r="D570" s="2" t="s">
        <v>617</v>
      </c>
      <c r="E570" s="2" t="s">
        <v>226</v>
      </c>
      <c r="F570" s="3">
        <v>3150</v>
      </c>
      <c r="G570" s="4">
        <v>60</v>
      </c>
      <c r="H570" s="5">
        <v>7.4999999999999997E-3</v>
      </c>
    </row>
    <row r="571" spans="1:8" x14ac:dyDescent="0.35">
      <c r="A571" s="2" t="s">
        <v>610</v>
      </c>
      <c r="B571" s="2" t="s">
        <v>655</v>
      </c>
      <c r="C571" s="2" t="s">
        <v>618</v>
      </c>
      <c r="D571" s="2" t="s">
        <v>619</v>
      </c>
      <c r="E571" s="2" t="s">
        <v>285</v>
      </c>
      <c r="F571" s="3">
        <v>160</v>
      </c>
      <c r="G571" s="4">
        <v>60</v>
      </c>
      <c r="H571" s="5">
        <v>0</v>
      </c>
    </row>
    <row r="572" spans="1:8" x14ac:dyDescent="0.35">
      <c r="A572" s="2" t="s">
        <v>610</v>
      </c>
      <c r="B572" s="2" t="s">
        <v>655</v>
      </c>
      <c r="C572" s="2" t="s">
        <v>620</v>
      </c>
      <c r="D572" s="2" t="s">
        <v>621</v>
      </c>
      <c r="E572" s="2" t="s">
        <v>92</v>
      </c>
      <c r="F572" s="3">
        <v>250</v>
      </c>
      <c r="G572" s="4">
        <v>36</v>
      </c>
      <c r="H572" s="5">
        <v>0</v>
      </c>
    </row>
    <row r="573" spans="1:8" x14ac:dyDescent="0.35">
      <c r="A573" s="2" t="s">
        <v>610</v>
      </c>
      <c r="B573" s="2" t="s">
        <v>655</v>
      </c>
      <c r="C573" s="2" t="s">
        <v>622</v>
      </c>
      <c r="D573" s="2" t="s">
        <v>623</v>
      </c>
      <c r="E573" s="2" t="s">
        <v>46</v>
      </c>
      <c r="F573" s="3">
        <v>250</v>
      </c>
      <c r="G573" s="4">
        <v>60</v>
      </c>
      <c r="H573" s="5">
        <v>0</v>
      </c>
    </row>
    <row r="574" spans="1:8" x14ac:dyDescent="0.35">
      <c r="A574" s="2" t="s">
        <v>610</v>
      </c>
      <c r="B574" s="2" t="s">
        <v>655</v>
      </c>
      <c r="C574" s="2" t="s">
        <v>624</v>
      </c>
      <c r="D574" s="2" t="s">
        <v>625</v>
      </c>
      <c r="E574" s="2" t="s">
        <v>169</v>
      </c>
      <c r="F574" s="3">
        <v>90</v>
      </c>
      <c r="G574" s="4">
        <v>60</v>
      </c>
      <c r="H574" s="5">
        <v>0</v>
      </c>
    </row>
    <row r="575" spans="1:8" x14ac:dyDescent="0.35">
      <c r="A575" s="2" t="s">
        <v>610</v>
      </c>
      <c r="B575" s="2" t="s">
        <v>655</v>
      </c>
      <c r="C575" s="2" t="s">
        <v>626</v>
      </c>
      <c r="D575" s="2" t="s">
        <v>627</v>
      </c>
      <c r="E575" s="2" t="s">
        <v>628</v>
      </c>
      <c r="F575" s="3">
        <v>1500</v>
      </c>
      <c r="G575" s="4">
        <v>36</v>
      </c>
      <c r="H575" s="5">
        <v>0</v>
      </c>
    </row>
    <row r="576" spans="1:8" x14ac:dyDescent="0.35">
      <c r="A576" s="2" t="s">
        <v>610</v>
      </c>
      <c r="B576" s="2" t="s">
        <v>655</v>
      </c>
      <c r="C576" s="2" t="s">
        <v>629</v>
      </c>
      <c r="D576" s="2" t="s">
        <v>630</v>
      </c>
      <c r="E576" s="2" t="s">
        <v>300</v>
      </c>
      <c r="F576" s="3">
        <v>55</v>
      </c>
      <c r="G576" s="4">
        <v>24</v>
      </c>
      <c r="H576" s="5">
        <v>0</v>
      </c>
    </row>
    <row r="577" spans="1:8" x14ac:dyDescent="0.35">
      <c r="A577" s="2" t="s">
        <v>610</v>
      </c>
      <c r="B577" s="2" t="s">
        <v>655</v>
      </c>
      <c r="C577" s="2" t="s">
        <v>631</v>
      </c>
      <c r="D577" s="2" t="s">
        <v>632</v>
      </c>
      <c r="E577" s="2" t="s">
        <v>322</v>
      </c>
      <c r="F577" s="3">
        <v>40.1</v>
      </c>
      <c r="G577" s="4">
        <v>60</v>
      </c>
      <c r="H577" s="5">
        <v>0</v>
      </c>
    </row>
    <row r="578" spans="1:8" x14ac:dyDescent="0.35">
      <c r="A578" s="2" t="s">
        <v>610</v>
      </c>
      <c r="B578" s="2" t="s">
        <v>655</v>
      </c>
      <c r="C578" s="2" t="s">
        <v>633</v>
      </c>
      <c r="D578" s="2" t="s">
        <v>634</v>
      </c>
      <c r="E578" s="2" t="s">
        <v>635</v>
      </c>
      <c r="F578" s="3">
        <v>14</v>
      </c>
      <c r="G578" s="4">
        <v>12</v>
      </c>
      <c r="H578" s="5">
        <v>0</v>
      </c>
    </row>
    <row r="579" spans="1:8" x14ac:dyDescent="0.35">
      <c r="A579" s="2" t="s">
        <v>610</v>
      </c>
      <c r="B579" s="2" t="s">
        <v>655</v>
      </c>
      <c r="C579" s="2" t="s">
        <v>636</v>
      </c>
      <c r="D579" s="2" t="s">
        <v>637</v>
      </c>
      <c r="E579" s="2" t="s">
        <v>638</v>
      </c>
      <c r="F579" s="3">
        <v>12</v>
      </c>
      <c r="G579" s="4">
        <v>12</v>
      </c>
      <c r="H579" s="5">
        <v>0</v>
      </c>
    </row>
    <row r="580" spans="1:8" x14ac:dyDescent="0.35">
      <c r="A580" s="2" t="s">
        <v>610</v>
      </c>
      <c r="B580" s="2" t="s">
        <v>655</v>
      </c>
      <c r="C580" s="2" t="s">
        <v>639</v>
      </c>
      <c r="D580" s="2" t="s">
        <v>640</v>
      </c>
      <c r="E580" s="2" t="s">
        <v>641</v>
      </c>
      <c r="F580" s="3">
        <v>13</v>
      </c>
      <c r="G580" s="4">
        <v>12</v>
      </c>
      <c r="H580" s="5">
        <v>0</v>
      </c>
    </row>
    <row r="581" spans="1:8" x14ac:dyDescent="0.35">
      <c r="A581" s="2" t="s">
        <v>610</v>
      </c>
      <c r="B581" s="2" t="s">
        <v>655</v>
      </c>
      <c r="C581" s="2" t="s">
        <v>642</v>
      </c>
      <c r="D581" s="2" t="s">
        <v>643</v>
      </c>
      <c r="E581" s="2" t="s">
        <v>644</v>
      </c>
      <c r="F581" s="3">
        <v>13</v>
      </c>
      <c r="G581" s="4">
        <v>12</v>
      </c>
      <c r="H581" s="5">
        <v>0</v>
      </c>
    </row>
    <row r="582" spans="1:8" x14ac:dyDescent="0.35">
      <c r="A582" s="2" t="s">
        <v>610</v>
      </c>
      <c r="B582" s="2" t="s">
        <v>655</v>
      </c>
      <c r="C582" s="2" t="s">
        <v>645</v>
      </c>
      <c r="D582" s="2" t="s">
        <v>646</v>
      </c>
      <c r="E582" s="2" t="s">
        <v>303</v>
      </c>
      <c r="F582" s="3">
        <v>32</v>
      </c>
      <c r="G582" s="4">
        <v>24</v>
      </c>
      <c r="H582" s="5">
        <v>0</v>
      </c>
    </row>
    <row r="583" spans="1:8" x14ac:dyDescent="0.35">
      <c r="A583" s="2" t="s">
        <v>610</v>
      </c>
      <c r="B583" s="2" t="s">
        <v>655</v>
      </c>
      <c r="C583" s="2" t="s">
        <v>647</v>
      </c>
      <c r="D583" s="2" t="s">
        <v>648</v>
      </c>
      <c r="E583" s="2" t="s">
        <v>535</v>
      </c>
      <c r="F583" s="3">
        <v>11</v>
      </c>
      <c r="G583" s="4">
        <v>12</v>
      </c>
      <c r="H583" s="5">
        <v>0</v>
      </c>
    </row>
    <row r="584" spans="1:8" x14ac:dyDescent="0.35">
      <c r="A584" s="2" t="s">
        <v>610</v>
      </c>
      <c r="B584" s="2" t="s">
        <v>655</v>
      </c>
      <c r="C584" s="2" t="s">
        <v>649</v>
      </c>
      <c r="D584" s="2" t="s">
        <v>650</v>
      </c>
      <c r="E584" s="2" t="s">
        <v>275</v>
      </c>
      <c r="F584" s="3">
        <v>4</v>
      </c>
      <c r="G584" s="4">
        <v>12</v>
      </c>
      <c r="H584" s="5">
        <v>0</v>
      </c>
    </row>
    <row r="585" spans="1:8" x14ac:dyDescent="0.35">
      <c r="A585" s="2" t="s">
        <v>610</v>
      </c>
      <c r="B585" s="2" t="s">
        <v>655</v>
      </c>
      <c r="C585" s="2" t="s">
        <v>651</v>
      </c>
      <c r="D585" s="2" t="s">
        <v>652</v>
      </c>
      <c r="E585" s="2" t="s">
        <v>136</v>
      </c>
      <c r="F585" s="3">
        <v>22</v>
      </c>
      <c r="G585" s="4">
        <v>6</v>
      </c>
      <c r="H585" s="5">
        <v>0</v>
      </c>
    </row>
    <row r="586" spans="1:8" x14ac:dyDescent="0.35">
      <c r="A586" s="2" t="s">
        <v>610</v>
      </c>
      <c r="B586" s="2" t="s">
        <v>655</v>
      </c>
      <c r="C586" s="2" t="s">
        <v>653</v>
      </c>
      <c r="D586" s="2" t="s">
        <v>654</v>
      </c>
      <c r="E586" s="2" t="s">
        <v>190</v>
      </c>
      <c r="F586" s="3">
        <v>0.5</v>
      </c>
      <c r="G586" s="4">
        <v>1</v>
      </c>
      <c r="H586" s="5">
        <v>0</v>
      </c>
    </row>
    <row r="587" spans="1:8" x14ac:dyDescent="0.35">
      <c r="A587" s="2" t="s">
        <v>610</v>
      </c>
      <c r="B587" s="2" t="s">
        <v>510</v>
      </c>
      <c r="C587" s="2" t="s">
        <v>612</v>
      </c>
      <c r="D587" s="2" t="s">
        <v>613</v>
      </c>
      <c r="E587" s="2" t="s">
        <v>147</v>
      </c>
      <c r="F587" s="3">
        <v>2273.94</v>
      </c>
      <c r="G587" s="4">
        <v>36</v>
      </c>
      <c r="H587" s="5">
        <v>7.4999999999999997E-3</v>
      </c>
    </row>
    <row r="588" spans="1:8" x14ac:dyDescent="0.35">
      <c r="A588" s="2" t="s">
        <v>610</v>
      </c>
      <c r="B588" s="2" t="s">
        <v>510</v>
      </c>
      <c r="C588" s="2" t="s">
        <v>614</v>
      </c>
      <c r="D588" s="2" t="s">
        <v>615</v>
      </c>
      <c r="E588" s="2" t="s">
        <v>193</v>
      </c>
      <c r="F588" s="3">
        <v>263.91000000000003</v>
      </c>
      <c r="G588" s="4">
        <v>24</v>
      </c>
      <c r="H588" s="5">
        <v>0</v>
      </c>
    </row>
    <row r="589" spans="1:8" x14ac:dyDescent="0.35">
      <c r="A589" s="2" t="s">
        <v>610</v>
      </c>
      <c r="B589" s="2" t="s">
        <v>510</v>
      </c>
      <c r="C589" s="2" t="s">
        <v>616</v>
      </c>
      <c r="D589" s="2" t="s">
        <v>617</v>
      </c>
      <c r="E589" s="2" t="s">
        <v>226</v>
      </c>
      <c r="F589" s="3">
        <v>2583.1999999999998</v>
      </c>
      <c r="G589" s="4">
        <v>36</v>
      </c>
      <c r="H589" s="5">
        <v>7.4999999999999997E-3</v>
      </c>
    </row>
    <row r="590" spans="1:8" x14ac:dyDescent="0.35">
      <c r="A590" s="2" t="s">
        <v>610</v>
      </c>
      <c r="B590" s="2" t="s">
        <v>510</v>
      </c>
      <c r="C590" s="2" t="s">
        <v>618</v>
      </c>
      <c r="D590" s="2" t="s">
        <v>619</v>
      </c>
      <c r="E590" s="2" t="s">
        <v>285</v>
      </c>
      <c r="F590" s="3">
        <v>399</v>
      </c>
      <c r="G590" s="4">
        <v>24</v>
      </c>
      <c r="H590" s="5">
        <v>0</v>
      </c>
    </row>
    <row r="591" spans="1:8" x14ac:dyDescent="0.35">
      <c r="A591" s="2" t="s">
        <v>610</v>
      </c>
      <c r="B591" s="2" t="s">
        <v>510</v>
      </c>
      <c r="C591" s="2" t="s">
        <v>620</v>
      </c>
      <c r="D591" s="2" t="s">
        <v>621</v>
      </c>
      <c r="E591" s="2" t="s">
        <v>92</v>
      </c>
      <c r="F591" s="3">
        <v>1250.7</v>
      </c>
      <c r="G591" s="4">
        <v>24</v>
      </c>
      <c r="H591" s="5">
        <v>0</v>
      </c>
    </row>
    <row r="592" spans="1:8" x14ac:dyDescent="0.35">
      <c r="A592" s="2" t="s">
        <v>610</v>
      </c>
      <c r="B592" s="2" t="s">
        <v>510</v>
      </c>
      <c r="C592" s="2" t="s">
        <v>622</v>
      </c>
      <c r="D592" s="2" t="s">
        <v>623</v>
      </c>
      <c r="E592" s="2" t="s">
        <v>46</v>
      </c>
      <c r="F592" s="3">
        <v>2418.25</v>
      </c>
      <c r="G592" s="4">
        <v>36</v>
      </c>
      <c r="H592" s="5">
        <v>0</v>
      </c>
    </row>
    <row r="593" spans="1:8" x14ac:dyDescent="0.35">
      <c r="A593" s="2" t="s">
        <v>610</v>
      </c>
      <c r="B593" s="2" t="s">
        <v>510</v>
      </c>
      <c r="C593" s="2" t="s">
        <v>624</v>
      </c>
      <c r="D593" s="2" t="s">
        <v>625</v>
      </c>
      <c r="E593" s="2" t="s">
        <v>169</v>
      </c>
      <c r="F593" s="3">
        <v>272.87</v>
      </c>
      <c r="G593" s="4">
        <v>24</v>
      </c>
      <c r="H593" s="5">
        <v>0</v>
      </c>
    </row>
    <row r="594" spans="1:8" x14ac:dyDescent="0.35">
      <c r="A594" s="2" t="s">
        <v>610</v>
      </c>
      <c r="B594" s="2" t="s">
        <v>510</v>
      </c>
      <c r="C594" s="2" t="s">
        <v>626</v>
      </c>
      <c r="D594" s="2" t="s">
        <v>627</v>
      </c>
      <c r="E594" s="2" t="s">
        <v>628</v>
      </c>
      <c r="F594" s="3">
        <v>3300</v>
      </c>
      <c r="G594" s="4">
        <v>12</v>
      </c>
      <c r="H594" s="5">
        <v>0</v>
      </c>
    </row>
    <row r="595" spans="1:8" x14ac:dyDescent="0.35">
      <c r="A595" s="2" t="s">
        <v>610</v>
      </c>
      <c r="B595" s="2" t="s">
        <v>510</v>
      </c>
      <c r="C595" s="2" t="s">
        <v>629</v>
      </c>
      <c r="D595" s="2" t="s">
        <v>630</v>
      </c>
      <c r="E595" s="2" t="s">
        <v>300</v>
      </c>
      <c r="F595" s="3">
        <v>52.61</v>
      </c>
      <c r="G595" s="4">
        <v>24</v>
      </c>
      <c r="H595" s="5">
        <v>0</v>
      </c>
    </row>
    <row r="596" spans="1:8" x14ac:dyDescent="0.35">
      <c r="A596" s="2" t="s">
        <v>610</v>
      </c>
      <c r="B596" s="2" t="s">
        <v>510</v>
      </c>
      <c r="C596" s="2" t="s">
        <v>631</v>
      </c>
      <c r="D596" s="2" t="s">
        <v>632</v>
      </c>
      <c r="E596" s="2" t="s">
        <v>322</v>
      </c>
      <c r="F596" s="3">
        <v>43.43</v>
      </c>
      <c r="G596" s="4">
        <v>12</v>
      </c>
      <c r="H596" s="5">
        <v>0</v>
      </c>
    </row>
    <row r="597" spans="1:8" x14ac:dyDescent="0.35">
      <c r="A597" s="2" t="s">
        <v>610</v>
      </c>
      <c r="B597" s="2" t="s">
        <v>510</v>
      </c>
      <c r="C597" s="2" t="s">
        <v>633</v>
      </c>
      <c r="D597" s="2" t="s">
        <v>634</v>
      </c>
      <c r="E597" s="2" t="s">
        <v>635</v>
      </c>
      <c r="F597" s="3">
        <v>17</v>
      </c>
      <c r="G597" s="4">
        <v>12</v>
      </c>
      <c r="H597" s="5">
        <v>0</v>
      </c>
    </row>
    <row r="598" spans="1:8" x14ac:dyDescent="0.35">
      <c r="A598" s="2" t="s">
        <v>610</v>
      </c>
      <c r="B598" s="2" t="s">
        <v>510</v>
      </c>
      <c r="C598" s="2" t="s">
        <v>636</v>
      </c>
      <c r="D598" s="2" t="s">
        <v>637</v>
      </c>
      <c r="E598" s="2" t="s">
        <v>638</v>
      </c>
      <c r="F598" s="3">
        <v>16</v>
      </c>
      <c r="G598" s="4">
        <v>12</v>
      </c>
      <c r="H598" s="5">
        <v>0</v>
      </c>
    </row>
    <row r="599" spans="1:8" x14ac:dyDescent="0.35">
      <c r="A599" s="2" t="s">
        <v>610</v>
      </c>
      <c r="B599" s="2" t="s">
        <v>510</v>
      </c>
      <c r="C599" s="2" t="s">
        <v>639</v>
      </c>
      <c r="D599" s="2" t="s">
        <v>640</v>
      </c>
      <c r="E599" s="2" t="s">
        <v>641</v>
      </c>
      <c r="F599" s="3">
        <v>8.9600000000000009</v>
      </c>
      <c r="G599" s="4">
        <v>12</v>
      </c>
      <c r="H599" s="5">
        <v>0</v>
      </c>
    </row>
    <row r="600" spans="1:8" x14ac:dyDescent="0.35">
      <c r="A600" s="2" t="s">
        <v>610</v>
      </c>
      <c r="B600" s="2" t="s">
        <v>510</v>
      </c>
      <c r="C600" s="2" t="s">
        <v>642</v>
      </c>
      <c r="D600" s="2" t="s">
        <v>643</v>
      </c>
      <c r="E600" s="2" t="s">
        <v>644</v>
      </c>
      <c r="F600" s="3">
        <v>11.75</v>
      </c>
      <c r="G600" s="4">
        <v>1</v>
      </c>
      <c r="H600" s="5">
        <v>0</v>
      </c>
    </row>
    <row r="601" spans="1:8" x14ac:dyDescent="0.35">
      <c r="A601" s="2" t="s">
        <v>610</v>
      </c>
      <c r="B601" s="2" t="s">
        <v>510</v>
      </c>
      <c r="C601" s="2" t="s">
        <v>645</v>
      </c>
      <c r="D601" s="2" t="s">
        <v>646</v>
      </c>
      <c r="E601" s="2" t="s">
        <v>303</v>
      </c>
      <c r="F601" s="3">
        <v>39.81</v>
      </c>
      <c r="G601" s="4">
        <v>24</v>
      </c>
      <c r="H601" s="5">
        <v>0</v>
      </c>
    </row>
    <row r="602" spans="1:8" x14ac:dyDescent="0.35">
      <c r="A602" s="2" t="s">
        <v>610</v>
      </c>
      <c r="B602" s="2" t="s">
        <v>510</v>
      </c>
      <c r="C602" s="2" t="s">
        <v>647</v>
      </c>
      <c r="D602" s="2" t="s">
        <v>648</v>
      </c>
      <c r="E602" s="2" t="s">
        <v>535</v>
      </c>
      <c r="F602" s="3">
        <v>57.39</v>
      </c>
      <c r="G602" s="4">
        <v>12</v>
      </c>
      <c r="H602" s="5">
        <v>0</v>
      </c>
    </row>
    <row r="603" spans="1:8" x14ac:dyDescent="0.35">
      <c r="A603" s="2" t="s">
        <v>610</v>
      </c>
      <c r="B603" s="2" t="s">
        <v>510</v>
      </c>
      <c r="C603" s="2" t="s">
        <v>649</v>
      </c>
      <c r="D603" s="2" t="s">
        <v>650</v>
      </c>
      <c r="E603" s="2" t="s">
        <v>275</v>
      </c>
      <c r="F603" s="3">
        <v>8.5</v>
      </c>
      <c r="G603" s="4">
        <v>12</v>
      </c>
      <c r="H603" s="5">
        <v>0</v>
      </c>
    </row>
    <row r="604" spans="1:8" x14ac:dyDescent="0.35">
      <c r="A604" s="2" t="s">
        <v>610</v>
      </c>
      <c r="B604" s="2" t="s">
        <v>510</v>
      </c>
      <c r="C604" s="2" t="s">
        <v>651</v>
      </c>
      <c r="D604" s="2" t="s">
        <v>652</v>
      </c>
      <c r="E604" s="2" t="s">
        <v>136</v>
      </c>
      <c r="F604" s="3">
        <v>84.23</v>
      </c>
      <c r="G604" s="4">
        <v>6</v>
      </c>
      <c r="H604" s="5">
        <v>0</v>
      </c>
    </row>
    <row r="605" spans="1:8" x14ac:dyDescent="0.35">
      <c r="A605" s="2" t="s">
        <v>610</v>
      </c>
      <c r="B605" s="2" t="s">
        <v>510</v>
      </c>
      <c r="C605" s="2" t="s">
        <v>653</v>
      </c>
      <c r="D605" s="2" t="s">
        <v>654</v>
      </c>
      <c r="E605" s="2" t="s">
        <v>190</v>
      </c>
      <c r="F605" s="3">
        <v>1.1100000000000001</v>
      </c>
      <c r="G605" s="4">
        <v>1</v>
      </c>
      <c r="H605" s="5">
        <v>0</v>
      </c>
    </row>
    <row r="606" spans="1:8" x14ac:dyDescent="0.35">
      <c r="A606" s="2" t="s">
        <v>610</v>
      </c>
      <c r="B606" s="2" t="s">
        <v>447</v>
      </c>
      <c r="C606" s="2" t="s">
        <v>612</v>
      </c>
      <c r="D606" s="2" t="s">
        <v>613</v>
      </c>
      <c r="E606" s="2" t="s">
        <v>147</v>
      </c>
      <c r="F606" s="3">
        <v>1499</v>
      </c>
      <c r="G606" s="4">
        <v>60</v>
      </c>
      <c r="H606" s="5">
        <v>7.4999999999999997E-3</v>
      </c>
    </row>
    <row r="607" spans="1:8" x14ac:dyDescent="0.35">
      <c r="A607" s="2" t="s">
        <v>610</v>
      </c>
      <c r="B607" s="2" t="s">
        <v>447</v>
      </c>
      <c r="C607" s="2" t="s">
        <v>614</v>
      </c>
      <c r="D607" s="2" t="s">
        <v>615</v>
      </c>
      <c r="E607" s="2" t="s">
        <v>193</v>
      </c>
      <c r="F607" s="3">
        <v>287.08999999999997</v>
      </c>
      <c r="G607" s="4">
        <v>36</v>
      </c>
      <c r="H607" s="5">
        <v>0</v>
      </c>
    </row>
    <row r="608" spans="1:8" x14ac:dyDescent="0.35">
      <c r="A608" s="2" t="s">
        <v>610</v>
      </c>
      <c r="B608" s="2" t="s">
        <v>447</v>
      </c>
      <c r="C608" s="2" t="s">
        <v>616</v>
      </c>
      <c r="D608" s="2" t="s">
        <v>617</v>
      </c>
      <c r="E608" s="2" t="s">
        <v>226</v>
      </c>
      <c r="F608" s="3">
        <v>4699.8999999999996</v>
      </c>
      <c r="G608" s="4">
        <v>60</v>
      </c>
      <c r="H608" s="5">
        <v>7.4999999999999997E-3</v>
      </c>
    </row>
    <row r="609" spans="1:8" x14ac:dyDescent="0.35">
      <c r="A609" s="2" t="s">
        <v>610</v>
      </c>
      <c r="B609" s="2" t="s">
        <v>447</v>
      </c>
      <c r="C609" s="2" t="s">
        <v>618</v>
      </c>
      <c r="D609" s="2" t="s">
        <v>619</v>
      </c>
      <c r="E609" s="2" t="s">
        <v>285</v>
      </c>
      <c r="F609" s="3">
        <v>380</v>
      </c>
      <c r="G609" s="4">
        <v>60</v>
      </c>
      <c r="H609" s="5">
        <v>0</v>
      </c>
    </row>
    <row r="610" spans="1:8" x14ac:dyDescent="0.35">
      <c r="A610" s="2" t="s">
        <v>610</v>
      </c>
      <c r="B610" s="2" t="s">
        <v>447</v>
      </c>
      <c r="C610" s="2" t="s">
        <v>620</v>
      </c>
      <c r="D610" s="2" t="s">
        <v>621</v>
      </c>
      <c r="E610" s="2" t="s">
        <v>92</v>
      </c>
      <c r="F610" s="3">
        <v>950</v>
      </c>
      <c r="G610" s="4">
        <v>36</v>
      </c>
      <c r="H610" s="5">
        <v>0</v>
      </c>
    </row>
    <row r="611" spans="1:8" x14ac:dyDescent="0.35">
      <c r="A611" s="2" t="s">
        <v>610</v>
      </c>
      <c r="B611" s="2" t="s">
        <v>447</v>
      </c>
      <c r="C611" s="2" t="s">
        <v>622</v>
      </c>
      <c r="D611" s="2" t="s">
        <v>623</v>
      </c>
      <c r="E611" s="2" t="s">
        <v>46</v>
      </c>
      <c r="F611" s="3">
        <v>250</v>
      </c>
      <c r="G611" s="4">
        <v>60</v>
      </c>
      <c r="H611" s="5">
        <v>0</v>
      </c>
    </row>
    <row r="612" spans="1:8" x14ac:dyDescent="0.35">
      <c r="A612" s="2" t="s">
        <v>610</v>
      </c>
      <c r="B612" s="2" t="s">
        <v>447</v>
      </c>
      <c r="C612" s="2" t="s">
        <v>624</v>
      </c>
      <c r="D612" s="2" t="s">
        <v>625</v>
      </c>
      <c r="E612" s="2" t="s">
        <v>169</v>
      </c>
      <c r="F612" s="3">
        <v>90</v>
      </c>
      <c r="G612" s="4">
        <v>60</v>
      </c>
      <c r="H612" s="5">
        <v>0</v>
      </c>
    </row>
    <row r="613" spans="1:8" x14ac:dyDescent="0.35">
      <c r="A613" s="2" t="s">
        <v>610</v>
      </c>
      <c r="B613" s="2" t="s">
        <v>447</v>
      </c>
      <c r="C613" s="2" t="s">
        <v>626</v>
      </c>
      <c r="D613" s="2" t="s">
        <v>627</v>
      </c>
      <c r="E613" s="2" t="s">
        <v>628</v>
      </c>
      <c r="F613" s="3">
        <v>2599</v>
      </c>
      <c r="G613" s="4">
        <v>36</v>
      </c>
      <c r="H613" s="5">
        <v>0</v>
      </c>
    </row>
    <row r="614" spans="1:8" x14ac:dyDescent="0.35">
      <c r="A614" s="2" t="s">
        <v>610</v>
      </c>
      <c r="B614" s="2" t="s">
        <v>447</v>
      </c>
      <c r="C614" s="2" t="s">
        <v>629</v>
      </c>
      <c r="D614" s="2" t="s">
        <v>630</v>
      </c>
      <c r="E614" s="2" t="s">
        <v>300</v>
      </c>
      <c r="F614" s="3">
        <v>55</v>
      </c>
      <c r="G614" s="4">
        <v>24</v>
      </c>
      <c r="H614" s="5">
        <v>0</v>
      </c>
    </row>
    <row r="615" spans="1:8" x14ac:dyDescent="0.35">
      <c r="A615" s="2" t="s">
        <v>610</v>
      </c>
      <c r="B615" s="2" t="s">
        <v>447</v>
      </c>
      <c r="C615" s="2" t="s">
        <v>631</v>
      </c>
      <c r="D615" s="2" t="s">
        <v>632</v>
      </c>
      <c r="E615" s="2" t="s">
        <v>322</v>
      </c>
      <c r="F615" s="3">
        <v>40.1</v>
      </c>
      <c r="G615" s="4">
        <v>60</v>
      </c>
      <c r="H615" s="5">
        <v>0</v>
      </c>
    </row>
    <row r="616" spans="1:8" x14ac:dyDescent="0.35">
      <c r="A616" s="2" t="s">
        <v>610</v>
      </c>
      <c r="B616" s="2" t="s">
        <v>447</v>
      </c>
      <c r="C616" s="2" t="s">
        <v>633</v>
      </c>
      <c r="D616" s="2" t="s">
        <v>634</v>
      </c>
      <c r="E616" s="2" t="s">
        <v>635</v>
      </c>
      <c r="F616" s="3">
        <v>14</v>
      </c>
      <c r="G616" s="4">
        <v>12</v>
      </c>
      <c r="H616" s="5">
        <v>0</v>
      </c>
    </row>
    <row r="617" spans="1:8" x14ac:dyDescent="0.35">
      <c r="A617" s="2" t="s">
        <v>610</v>
      </c>
      <c r="B617" s="2" t="s">
        <v>447</v>
      </c>
      <c r="C617" s="2" t="s">
        <v>636</v>
      </c>
      <c r="D617" s="2" t="s">
        <v>637</v>
      </c>
      <c r="E617" s="2" t="s">
        <v>638</v>
      </c>
      <c r="F617" s="3">
        <v>12</v>
      </c>
      <c r="G617" s="4">
        <v>12</v>
      </c>
      <c r="H617" s="5">
        <v>0</v>
      </c>
    </row>
    <row r="618" spans="1:8" x14ac:dyDescent="0.35">
      <c r="A618" s="2" t="s">
        <v>610</v>
      </c>
      <c r="B618" s="2" t="s">
        <v>447</v>
      </c>
      <c r="C618" s="2" t="s">
        <v>639</v>
      </c>
      <c r="D618" s="2" t="s">
        <v>640</v>
      </c>
      <c r="E618" s="2" t="s">
        <v>641</v>
      </c>
      <c r="F618" s="3">
        <v>13</v>
      </c>
      <c r="G618" s="4">
        <v>12</v>
      </c>
      <c r="H618" s="5">
        <v>0</v>
      </c>
    </row>
    <row r="619" spans="1:8" x14ac:dyDescent="0.35">
      <c r="A619" s="2" t="s">
        <v>610</v>
      </c>
      <c r="B619" s="2" t="s">
        <v>447</v>
      </c>
      <c r="C619" s="2" t="s">
        <v>642</v>
      </c>
      <c r="D619" s="2" t="s">
        <v>643</v>
      </c>
      <c r="E619" s="2" t="s">
        <v>644</v>
      </c>
      <c r="F619" s="3">
        <v>13</v>
      </c>
      <c r="G619" s="4">
        <v>12</v>
      </c>
      <c r="H619" s="5">
        <v>0</v>
      </c>
    </row>
    <row r="620" spans="1:8" x14ac:dyDescent="0.35">
      <c r="A620" s="2" t="s">
        <v>610</v>
      </c>
      <c r="B620" s="2" t="s">
        <v>447</v>
      </c>
      <c r="C620" s="2" t="s">
        <v>645</v>
      </c>
      <c r="D620" s="2" t="s">
        <v>646</v>
      </c>
      <c r="E620" s="2" t="s">
        <v>303</v>
      </c>
      <c r="F620" s="3">
        <v>32</v>
      </c>
      <c r="G620" s="4">
        <v>24</v>
      </c>
      <c r="H620" s="5">
        <v>0</v>
      </c>
    </row>
    <row r="621" spans="1:8" x14ac:dyDescent="0.35">
      <c r="A621" s="2" t="s">
        <v>610</v>
      </c>
      <c r="B621" s="2" t="s">
        <v>447</v>
      </c>
      <c r="C621" s="2" t="s">
        <v>647</v>
      </c>
      <c r="D621" s="2" t="s">
        <v>648</v>
      </c>
      <c r="E621" s="2" t="s">
        <v>535</v>
      </c>
      <c r="F621" s="3">
        <v>11</v>
      </c>
      <c r="G621" s="4">
        <v>12</v>
      </c>
      <c r="H621" s="5">
        <v>0</v>
      </c>
    </row>
    <row r="622" spans="1:8" x14ac:dyDescent="0.35">
      <c r="A622" s="2" t="s">
        <v>610</v>
      </c>
      <c r="B622" s="2" t="s">
        <v>447</v>
      </c>
      <c r="C622" s="2" t="s">
        <v>649</v>
      </c>
      <c r="D622" s="2" t="s">
        <v>650</v>
      </c>
      <c r="E622" s="2" t="s">
        <v>275</v>
      </c>
      <c r="F622" s="3">
        <v>4</v>
      </c>
      <c r="G622" s="4">
        <v>12</v>
      </c>
      <c r="H622" s="5">
        <v>0</v>
      </c>
    </row>
    <row r="623" spans="1:8" x14ac:dyDescent="0.35">
      <c r="A623" s="2" t="s">
        <v>610</v>
      </c>
      <c r="B623" s="2" t="s">
        <v>447</v>
      </c>
      <c r="C623" s="2" t="s">
        <v>651</v>
      </c>
      <c r="D623" s="2" t="s">
        <v>652</v>
      </c>
      <c r="E623" s="2" t="s">
        <v>136</v>
      </c>
      <c r="F623" s="3">
        <v>22</v>
      </c>
      <c r="G623" s="4">
        <v>6</v>
      </c>
      <c r="H623" s="5">
        <v>0</v>
      </c>
    </row>
    <row r="624" spans="1:8" x14ac:dyDescent="0.35">
      <c r="A624" s="2" t="s">
        <v>610</v>
      </c>
      <c r="B624" s="2" t="s">
        <v>447</v>
      </c>
      <c r="C624" s="2" t="s">
        <v>653</v>
      </c>
      <c r="D624" s="2" t="s">
        <v>654</v>
      </c>
      <c r="E624" s="2" t="s">
        <v>190</v>
      </c>
      <c r="F624" s="3">
        <v>0.5</v>
      </c>
      <c r="G624" s="4">
        <v>1</v>
      </c>
      <c r="H624" s="5">
        <v>0</v>
      </c>
    </row>
    <row r="625" spans="1:8" x14ac:dyDescent="0.35">
      <c r="A625" s="2" t="s">
        <v>656</v>
      </c>
      <c r="B625" s="2" t="s">
        <v>510</v>
      </c>
      <c r="C625" s="2" t="s">
        <v>612</v>
      </c>
      <c r="D625" s="2" t="s">
        <v>613</v>
      </c>
      <c r="E625" s="2" t="s">
        <v>147</v>
      </c>
      <c r="F625" s="3">
        <v>2273.94</v>
      </c>
      <c r="G625" s="4">
        <v>36</v>
      </c>
      <c r="H625" s="5">
        <v>7.4999999999999997E-3</v>
      </c>
    </row>
    <row r="626" spans="1:8" x14ac:dyDescent="0.35">
      <c r="A626" s="2" t="s">
        <v>656</v>
      </c>
      <c r="B626" s="2" t="s">
        <v>510</v>
      </c>
      <c r="C626" s="2" t="s">
        <v>614</v>
      </c>
      <c r="D626" s="2" t="s">
        <v>615</v>
      </c>
      <c r="E626" s="2" t="s">
        <v>193</v>
      </c>
      <c r="F626" s="3">
        <v>263.91000000000003</v>
      </c>
      <c r="G626" s="4">
        <v>24</v>
      </c>
      <c r="H626" s="5">
        <v>0</v>
      </c>
    </row>
    <row r="627" spans="1:8" x14ac:dyDescent="0.35">
      <c r="A627" s="2" t="s">
        <v>656</v>
      </c>
      <c r="B627" s="2" t="s">
        <v>510</v>
      </c>
      <c r="C627" s="2" t="s">
        <v>616</v>
      </c>
      <c r="D627" s="2" t="s">
        <v>617</v>
      </c>
      <c r="E627" s="2" t="s">
        <v>226</v>
      </c>
      <c r="F627" s="3">
        <v>2583.1999999999998</v>
      </c>
      <c r="G627" s="4">
        <v>36</v>
      </c>
      <c r="H627" s="5">
        <v>7.4999999999999997E-3</v>
      </c>
    </row>
    <row r="628" spans="1:8" x14ac:dyDescent="0.35">
      <c r="A628" s="2" t="s">
        <v>656</v>
      </c>
      <c r="B628" s="2" t="s">
        <v>510</v>
      </c>
      <c r="C628" s="2" t="s">
        <v>618</v>
      </c>
      <c r="D628" s="2" t="s">
        <v>619</v>
      </c>
      <c r="E628" s="2" t="s">
        <v>285</v>
      </c>
      <c r="F628" s="3">
        <v>399</v>
      </c>
      <c r="G628" s="4">
        <v>24</v>
      </c>
      <c r="H628" s="5">
        <v>0</v>
      </c>
    </row>
    <row r="629" spans="1:8" x14ac:dyDescent="0.35">
      <c r="A629" s="2" t="s">
        <v>656</v>
      </c>
      <c r="B629" s="2" t="s">
        <v>510</v>
      </c>
      <c r="C629" s="2" t="s">
        <v>620</v>
      </c>
      <c r="D629" s="2" t="s">
        <v>621</v>
      </c>
      <c r="E629" s="2" t="s">
        <v>92</v>
      </c>
      <c r="F629" s="3">
        <v>1250.7</v>
      </c>
      <c r="G629" s="4">
        <v>24</v>
      </c>
      <c r="H629" s="5">
        <v>0</v>
      </c>
    </row>
    <row r="630" spans="1:8" x14ac:dyDescent="0.35">
      <c r="A630" s="2" t="s">
        <v>656</v>
      </c>
      <c r="B630" s="2" t="s">
        <v>510</v>
      </c>
      <c r="C630" s="2" t="s">
        <v>622</v>
      </c>
      <c r="D630" s="2" t="s">
        <v>623</v>
      </c>
      <c r="E630" s="2" t="s">
        <v>46</v>
      </c>
      <c r="F630" s="3">
        <v>2418.25</v>
      </c>
      <c r="G630" s="4">
        <v>36</v>
      </c>
      <c r="H630" s="5">
        <v>0</v>
      </c>
    </row>
    <row r="631" spans="1:8" x14ac:dyDescent="0.35">
      <c r="A631" s="2" t="s">
        <v>656</v>
      </c>
      <c r="B631" s="2" t="s">
        <v>510</v>
      </c>
      <c r="C631" s="2" t="s">
        <v>624</v>
      </c>
      <c r="D631" s="2" t="s">
        <v>625</v>
      </c>
      <c r="E631" s="2" t="s">
        <v>169</v>
      </c>
      <c r="F631" s="3">
        <v>272.87</v>
      </c>
      <c r="G631" s="4">
        <v>24</v>
      </c>
      <c r="H631" s="5">
        <v>0</v>
      </c>
    </row>
    <row r="632" spans="1:8" x14ac:dyDescent="0.35">
      <c r="A632" s="2" t="s">
        <v>656</v>
      </c>
      <c r="B632" s="2" t="s">
        <v>510</v>
      </c>
      <c r="C632" s="2" t="s">
        <v>626</v>
      </c>
      <c r="D632" s="2" t="s">
        <v>627</v>
      </c>
      <c r="E632" s="2" t="s">
        <v>628</v>
      </c>
      <c r="F632" s="3">
        <v>3300</v>
      </c>
      <c r="G632" s="4">
        <v>36</v>
      </c>
      <c r="H632" s="5">
        <v>0</v>
      </c>
    </row>
    <row r="633" spans="1:8" x14ac:dyDescent="0.35">
      <c r="A633" s="2" t="s">
        <v>656</v>
      </c>
      <c r="B633" s="2" t="s">
        <v>510</v>
      </c>
      <c r="C633" s="2" t="s">
        <v>629</v>
      </c>
      <c r="D633" s="2" t="s">
        <v>630</v>
      </c>
      <c r="E633" s="2" t="s">
        <v>300</v>
      </c>
      <c r="F633" s="3">
        <v>52.61</v>
      </c>
      <c r="G633" s="4">
        <v>24</v>
      </c>
      <c r="H633" s="5">
        <v>0</v>
      </c>
    </row>
    <row r="634" spans="1:8" x14ac:dyDescent="0.35">
      <c r="A634" s="2" t="s">
        <v>656</v>
      </c>
      <c r="B634" s="2" t="s">
        <v>510</v>
      </c>
      <c r="C634" s="2" t="s">
        <v>631</v>
      </c>
      <c r="D634" s="2" t="s">
        <v>632</v>
      </c>
      <c r="E634" s="2" t="s">
        <v>322</v>
      </c>
      <c r="F634" s="3">
        <v>43.43</v>
      </c>
      <c r="G634" s="4">
        <v>24</v>
      </c>
      <c r="H634" s="5">
        <v>0</v>
      </c>
    </row>
    <row r="635" spans="1:8" x14ac:dyDescent="0.35">
      <c r="A635" s="2" t="s">
        <v>656</v>
      </c>
      <c r="B635" s="2" t="s">
        <v>510</v>
      </c>
      <c r="C635" s="2" t="s">
        <v>633</v>
      </c>
      <c r="D635" s="2" t="s">
        <v>634</v>
      </c>
      <c r="E635" s="2" t="s">
        <v>635</v>
      </c>
      <c r="F635" s="3">
        <v>17</v>
      </c>
      <c r="G635" s="4">
        <v>12</v>
      </c>
      <c r="H635" s="5">
        <v>0</v>
      </c>
    </row>
    <row r="636" spans="1:8" x14ac:dyDescent="0.35">
      <c r="A636" s="2" t="s">
        <v>656</v>
      </c>
      <c r="B636" s="2" t="s">
        <v>510</v>
      </c>
      <c r="C636" s="2" t="s">
        <v>636</v>
      </c>
      <c r="D636" s="2" t="s">
        <v>637</v>
      </c>
      <c r="E636" s="2" t="s">
        <v>638</v>
      </c>
      <c r="F636" s="3">
        <v>16</v>
      </c>
      <c r="G636" s="4">
        <v>12</v>
      </c>
      <c r="H636" s="5">
        <v>0</v>
      </c>
    </row>
    <row r="637" spans="1:8" x14ac:dyDescent="0.35">
      <c r="A637" s="2" t="s">
        <v>656</v>
      </c>
      <c r="B637" s="2" t="s">
        <v>510</v>
      </c>
      <c r="C637" s="2" t="s">
        <v>657</v>
      </c>
      <c r="D637" s="2" t="s">
        <v>658</v>
      </c>
      <c r="E637" s="2" t="s">
        <v>659</v>
      </c>
      <c r="F637" s="3">
        <v>48.16</v>
      </c>
      <c r="G637" s="4">
        <v>24</v>
      </c>
      <c r="H637" s="5">
        <v>0</v>
      </c>
    </row>
    <row r="638" spans="1:8" x14ac:dyDescent="0.35">
      <c r="A638" s="2" t="s">
        <v>656</v>
      </c>
      <c r="B638" s="2" t="s">
        <v>510</v>
      </c>
      <c r="C638" s="2" t="s">
        <v>639</v>
      </c>
      <c r="D638" s="2" t="s">
        <v>640</v>
      </c>
      <c r="E638" s="2" t="s">
        <v>641</v>
      </c>
      <c r="F638" s="3">
        <v>8.9600000000000009</v>
      </c>
      <c r="G638" s="4">
        <v>12</v>
      </c>
      <c r="H638" s="5">
        <v>0</v>
      </c>
    </row>
    <row r="639" spans="1:8" x14ac:dyDescent="0.35">
      <c r="A639" s="2" t="s">
        <v>656</v>
      </c>
      <c r="B639" s="2" t="s">
        <v>510</v>
      </c>
      <c r="C639" s="2" t="s">
        <v>642</v>
      </c>
      <c r="D639" s="2" t="s">
        <v>643</v>
      </c>
      <c r="E639" s="2" t="s">
        <v>644</v>
      </c>
      <c r="F639" s="3">
        <v>11.75</v>
      </c>
      <c r="G639" s="4">
        <v>12</v>
      </c>
      <c r="H639" s="5">
        <v>0</v>
      </c>
    </row>
    <row r="640" spans="1:8" x14ac:dyDescent="0.35">
      <c r="A640" s="2" t="s">
        <v>656</v>
      </c>
      <c r="B640" s="2" t="s">
        <v>510</v>
      </c>
      <c r="C640" s="2" t="s">
        <v>645</v>
      </c>
      <c r="D640" s="2" t="s">
        <v>646</v>
      </c>
      <c r="E640" s="2" t="s">
        <v>303</v>
      </c>
      <c r="F640" s="3">
        <v>39.81</v>
      </c>
      <c r="G640" s="4">
        <v>24</v>
      </c>
      <c r="H640" s="5">
        <v>0</v>
      </c>
    </row>
    <row r="641" spans="1:8" x14ac:dyDescent="0.35">
      <c r="A641" s="2" t="s">
        <v>656</v>
      </c>
      <c r="B641" s="2" t="s">
        <v>510</v>
      </c>
      <c r="C641" s="2" t="s">
        <v>660</v>
      </c>
      <c r="D641" s="2" t="s">
        <v>661</v>
      </c>
      <c r="E641" s="2" t="s">
        <v>303</v>
      </c>
      <c r="F641" s="3">
        <v>39.81</v>
      </c>
      <c r="G641" s="4">
        <v>12</v>
      </c>
      <c r="H641" s="5">
        <v>0</v>
      </c>
    </row>
    <row r="642" spans="1:8" x14ac:dyDescent="0.35">
      <c r="A642" s="2" t="s">
        <v>656</v>
      </c>
      <c r="B642" s="2" t="s">
        <v>510</v>
      </c>
      <c r="C642" s="2" t="s">
        <v>647</v>
      </c>
      <c r="D642" s="2" t="s">
        <v>648</v>
      </c>
      <c r="E642" s="2" t="s">
        <v>535</v>
      </c>
      <c r="F642" s="3">
        <v>57.39</v>
      </c>
      <c r="G642" s="4">
        <v>12</v>
      </c>
      <c r="H642" s="5">
        <v>0</v>
      </c>
    </row>
    <row r="643" spans="1:8" x14ac:dyDescent="0.35">
      <c r="A643" s="2" t="s">
        <v>656</v>
      </c>
      <c r="B643" s="2" t="s">
        <v>510</v>
      </c>
      <c r="C643" s="2" t="s">
        <v>649</v>
      </c>
      <c r="D643" s="2" t="s">
        <v>650</v>
      </c>
      <c r="E643" s="2" t="s">
        <v>275</v>
      </c>
      <c r="F643" s="3">
        <v>8.5</v>
      </c>
      <c r="G643" s="4">
        <v>12</v>
      </c>
      <c r="H643" s="5">
        <v>0</v>
      </c>
    </row>
    <row r="644" spans="1:8" x14ac:dyDescent="0.35">
      <c r="A644" s="2" t="s">
        <v>656</v>
      </c>
      <c r="B644" s="2" t="s">
        <v>510</v>
      </c>
      <c r="C644" s="2" t="s">
        <v>651</v>
      </c>
      <c r="D644" s="2" t="s">
        <v>652</v>
      </c>
      <c r="E644" s="2" t="s">
        <v>136</v>
      </c>
      <c r="F644" s="3">
        <v>84.23</v>
      </c>
      <c r="G644" s="4">
        <v>6</v>
      </c>
      <c r="H644" s="5">
        <v>0</v>
      </c>
    </row>
    <row r="645" spans="1:8" x14ac:dyDescent="0.35">
      <c r="A645" s="2" t="s">
        <v>656</v>
      </c>
      <c r="B645" s="2" t="s">
        <v>510</v>
      </c>
      <c r="C645" s="2" t="s">
        <v>653</v>
      </c>
      <c r="D645" s="2" t="s">
        <v>654</v>
      </c>
      <c r="E645" s="2" t="s">
        <v>190</v>
      </c>
      <c r="F645" s="3">
        <v>1.1100000000000001</v>
      </c>
      <c r="G645" s="4">
        <v>1</v>
      </c>
      <c r="H645" s="5">
        <v>0</v>
      </c>
    </row>
    <row r="646" spans="1:8" x14ac:dyDescent="0.35">
      <c r="A646" s="2" t="s">
        <v>656</v>
      </c>
      <c r="B646" s="2" t="s">
        <v>510</v>
      </c>
      <c r="C646" s="2" t="s">
        <v>662</v>
      </c>
      <c r="D646" s="2" t="s">
        <v>663</v>
      </c>
      <c r="E646" s="2" t="s">
        <v>664</v>
      </c>
      <c r="F646" s="3">
        <v>70000</v>
      </c>
      <c r="G646" s="4">
        <v>60</v>
      </c>
      <c r="H646" s="5">
        <v>5.0000000000000001E-3</v>
      </c>
    </row>
    <row r="647" spans="1:8" x14ac:dyDescent="0.35">
      <c r="A647" s="2" t="s">
        <v>656</v>
      </c>
      <c r="B647" s="2" t="s">
        <v>655</v>
      </c>
      <c r="C647" s="2" t="s">
        <v>612</v>
      </c>
      <c r="D647" s="2" t="s">
        <v>613</v>
      </c>
      <c r="E647" s="2" t="s">
        <v>147</v>
      </c>
      <c r="F647" s="3">
        <v>1365</v>
      </c>
      <c r="G647" s="4">
        <v>60</v>
      </c>
      <c r="H647" s="5">
        <v>7.4999999999999997E-3</v>
      </c>
    </row>
    <row r="648" spans="1:8" x14ac:dyDescent="0.35">
      <c r="A648" s="2" t="s">
        <v>656</v>
      </c>
      <c r="B648" s="2" t="s">
        <v>655</v>
      </c>
      <c r="C648" s="2" t="s">
        <v>614</v>
      </c>
      <c r="D648" s="2" t="s">
        <v>615</v>
      </c>
      <c r="E648" s="2" t="s">
        <v>193</v>
      </c>
      <c r="F648" s="3">
        <v>110</v>
      </c>
      <c r="G648" s="4">
        <v>36</v>
      </c>
      <c r="H648" s="5">
        <v>0</v>
      </c>
    </row>
    <row r="649" spans="1:8" x14ac:dyDescent="0.35">
      <c r="A649" s="2" t="s">
        <v>656</v>
      </c>
      <c r="B649" s="2" t="s">
        <v>655</v>
      </c>
      <c r="C649" s="2" t="s">
        <v>616</v>
      </c>
      <c r="D649" s="2" t="s">
        <v>617</v>
      </c>
      <c r="E649" s="2" t="s">
        <v>226</v>
      </c>
      <c r="F649" s="3">
        <v>3150</v>
      </c>
      <c r="G649" s="4">
        <v>60</v>
      </c>
      <c r="H649" s="5">
        <v>7.4999999999999997E-3</v>
      </c>
    </row>
    <row r="650" spans="1:8" x14ac:dyDescent="0.35">
      <c r="A650" s="2" t="s">
        <v>656</v>
      </c>
      <c r="B650" s="2" t="s">
        <v>655</v>
      </c>
      <c r="C650" s="2" t="s">
        <v>618</v>
      </c>
      <c r="D650" s="2" t="s">
        <v>619</v>
      </c>
      <c r="E650" s="2" t="s">
        <v>285</v>
      </c>
      <c r="F650" s="3">
        <v>160</v>
      </c>
      <c r="G650" s="4">
        <v>60</v>
      </c>
      <c r="H650" s="5">
        <v>0</v>
      </c>
    </row>
    <row r="651" spans="1:8" x14ac:dyDescent="0.35">
      <c r="A651" s="2" t="s">
        <v>656</v>
      </c>
      <c r="B651" s="2" t="s">
        <v>655</v>
      </c>
      <c r="C651" s="2" t="s">
        <v>620</v>
      </c>
      <c r="D651" s="2" t="s">
        <v>621</v>
      </c>
      <c r="E651" s="2" t="s">
        <v>92</v>
      </c>
      <c r="F651" s="3">
        <v>250</v>
      </c>
      <c r="G651" s="4">
        <v>36</v>
      </c>
      <c r="H651" s="5">
        <v>0</v>
      </c>
    </row>
    <row r="652" spans="1:8" x14ac:dyDescent="0.35">
      <c r="A652" s="2" t="s">
        <v>656</v>
      </c>
      <c r="B652" s="2" t="s">
        <v>655</v>
      </c>
      <c r="C652" s="2" t="s">
        <v>622</v>
      </c>
      <c r="D652" s="2" t="s">
        <v>623</v>
      </c>
      <c r="E652" s="2" t="s">
        <v>46</v>
      </c>
      <c r="F652" s="3">
        <v>250</v>
      </c>
      <c r="G652" s="4">
        <v>60</v>
      </c>
      <c r="H652" s="5">
        <v>0</v>
      </c>
    </row>
    <row r="653" spans="1:8" x14ac:dyDescent="0.35">
      <c r="A653" s="2" t="s">
        <v>656</v>
      </c>
      <c r="B653" s="2" t="s">
        <v>655</v>
      </c>
      <c r="C653" s="2" t="s">
        <v>624</v>
      </c>
      <c r="D653" s="2" t="s">
        <v>625</v>
      </c>
      <c r="E653" s="2" t="s">
        <v>169</v>
      </c>
      <c r="F653" s="3">
        <v>90</v>
      </c>
      <c r="G653" s="4">
        <v>60</v>
      </c>
      <c r="H653" s="5">
        <v>0</v>
      </c>
    </row>
    <row r="654" spans="1:8" x14ac:dyDescent="0.35">
      <c r="A654" s="2" t="s">
        <v>656</v>
      </c>
      <c r="B654" s="2" t="s">
        <v>655</v>
      </c>
      <c r="C654" s="2" t="s">
        <v>626</v>
      </c>
      <c r="D654" s="2" t="s">
        <v>627</v>
      </c>
      <c r="E654" s="2" t="s">
        <v>628</v>
      </c>
      <c r="F654" s="3">
        <v>1500</v>
      </c>
      <c r="G654" s="4">
        <v>36</v>
      </c>
      <c r="H654" s="5">
        <v>0</v>
      </c>
    </row>
    <row r="655" spans="1:8" x14ac:dyDescent="0.35">
      <c r="A655" s="2" t="s">
        <v>656</v>
      </c>
      <c r="B655" s="2" t="s">
        <v>655</v>
      </c>
      <c r="C655" s="2" t="s">
        <v>629</v>
      </c>
      <c r="D655" s="2" t="s">
        <v>630</v>
      </c>
      <c r="E655" s="2" t="s">
        <v>300</v>
      </c>
      <c r="F655" s="3">
        <v>55</v>
      </c>
      <c r="G655" s="4">
        <v>24</v>
      </c>
      <c r="H655" s="5">
        <v>0</v>
      </c>
    </row>
    <row r="656" spans="1:8" x14ac:dyDescent="0.35">
      <c r="A656" s="2" t="s">
        <v>656</v>
      </c>
      <c r="B656" s="2" t="s">
        <v>655</v>
      </c>
      <c r="C656" s="2" t="s">
        <v>631</v>
      </c>
      <c r="D656" s="2" t="s">
        <v>632</v>
      </c>
      <c r="E656" s="2" t="s">
        <v>322</v>
      </c>
      <c r="F656" s="3">
        <v>40.1</v>
      </c>
      <c r="G656" s="4">
        <v>60</v>
      </c>
      <c r="H656" s="5">
        <v>0</v>
      </c>
    </row>
    <row r="657" spans="1:8" x14ac:dyDescent="0.35">
      <c r="A657" s="2" t="s">
        <v>656</v>
      </c>
      <c r="B657" s="2" t="s">
        <v>655</v>
      </c>
      <c r="C657" s="2" t="s">
        <v>633</v>
      </c>
      <c r="D657" s="2" t="s">
        <v>634</v>
      </c>
      <c r="E657" s="2" t="s">
        <v>635</v>
      </c>
      <c r="F657" s="3">
        <v>14</v>
      </c>
      <c r="G657" s="4">
        <v>12</v>
      </c>
      <c r="H657" s="5">
        <v>0</v>
      </c>
    </row>
    <row r="658" spans="1:8" x14ac:dyDescent="0.35">
      <c r="A658" s="2" t="s">
        <v>656</v>
      </c>
      <c r="B658" s="2" t="s">
        <v>655</v>
      </c>
      <c r="C658" s="2" t="s">
        <v>636</v>
      </c>
      <c r="D658" s="2" t="s">
        <v>637</v>
      </c>
      <c r="E658" s="2" t="s">
        <v>638</v>
      </c>
      <c r="F658" s="3">
        <v>12</v>
      </c>
      <c r="G658" s="4">
        <v>12</v>
      </c>
      <c r="H658" s="5">
        <v>0</v>
      </c>
    </row>
    <row r="659" spans="1:8" x14ac:dyDescent="0.35">
      <c r="A659" s="2" t="s">
        <v>656</v>
      </c>
      <c r="B659" s="2" t="s">
        <v>655</v>
      </c>
      <c r="C659" s="2" t="s">
        <v>657</v>
      </c>
      <c r="D659" s="2" t="s">
        <v>658</v>
      </c>
      <c r="E659" s="2" t="s">
        <v>659</v>
      </c>
      <c r="F659" s="3">
        <v>15</v>
      </c>
      <c r="G659" s="4">
        <v>24</v>
      </c>
      <c r="H659" s="5">
        <v>0</v>
      </c>
    </row>
    <row r="660" spans="1:8" x14ac:dyDescent="0.35">
      <c r="A660" s="2" t="s">
        <v>656</v>
      </c>
      <c r="B660" s="2" t="s">
        <v>655</v>
      </c>
      <c r="C660" s="2" t="s">
        <v>639</v>
      </c>
      <c r="D660" s="2" t="s">
        <v>640</v>
      </c>
      <c r="E660" s="2" t="s">
        <v>641</v>
      </c>
      <c r="F660" s="3">
        <v>13</v>
      </c>
      <c r="G660" s="4">
        <v>12</v>
      </c>
      <c r="H660" s="5">
        <v>0</v>
      </c>
    </row>
    <row r="661" spans="1:8" x14ac:dyDescent="0.35">
      <c r="A661" s="2" t="s">
        <v>656</v>
      </c>
      <c r="B661" s="2" t="s">
        <v>655</v>
      </c>
      <c r="C661" s="2" t="s">
        <v>642</v>
      </c>
      <c r="D661" s="2" t="s">
        <v>643</v>
      </c>
      <c r="E661" s="2" t="s">
        <v>644</v>
      </c>
      <c r="F661" s="3">
        <v>16</v>
      </c>
      <c r="G661" s="4">
        <v>12</v>
      </c>
      <c r="H661" s="5">
        <v>0</v>
      </c>
    </row>
    <row r="662" spans="1:8" x14ac:dyDescent="0.35">
      <c r="A662" s="2" t="s">
        <v>656</v>
      </c>
      <c r="B662" s="2" t="s">
        <v>655</v>
      </c>
      <c r="C662" s="2" t="s">
        <v>645</v>
      </c>
      <c r="D662" s="2" t="s">
        <v>646</v>
      </c>
      <c r="E662" s="2" t="s">
        <v>303</v>
      </c>
      <c r="F662" s="3">
        <v>32</v>
      </c>
      <c r="G662" s="4">
        <v>24</v>
      </c>
      <c r="H662" s="5">
        <v>0</v>
      </c>
    </row>
    <row r="663" spans="1:8" x14ac:dyDescent="0.35">
      <c r="A663" s="2" t="s">
        <v>656</v>
      </c>
      <c r="B663" s="2" t="s">
        <v>655</v>
      </c>
      <c r="C663" s="2" t="s">
        <v>660</v>
      </c>
      <c r="D663" s="2" t="s">
        <v>661</v>
      </c>
      <c r="E663" s="2" t="s">
        <v>303</v>
      </c>
      <c r="F663" s="3">
        <v>9</v>
      </c>
      <c r="G663" s="4">
        <v>12</v>
      </c>
      <c r="H663" s="5">
        <v>0</v>
      </c>
    </row>
    <row r="664" spans="1:8" x14ac:dyDescent="0.35">
      <c r="A664" s="2" t="s">
        <v>656</v>
      </c>
      <c r="B664" s="2" t="s">
        <v>655</v>
      </c>
      <c r="C664" s="2" t="s">
        <v>647</v>
      </c>
      <c r="D664" s="2" t="s">
        <v>648</v>
      </c>
      <c r="E664" s="2" t="s">
        <v>535</v>
      </c>
      <c r="F664" s="3">
        <v>11</v>
      </c>
      <c r="G664" s="4">
        <v>12</v>
      </c>
      <c r="H664" s="5">
        <v>0</v>
      </c>
    </row>
    <row r="665" spans="1:8" x14ac:dyDescent="0.35">
      <c r="A665" s="2" t="s">
        <v>656</v>
      </c>
      <c r="B665" s="2" t="s">
        <v>655</v>
      </c>
      <c r="C665" s="2" t="s">
        <v>649</v>
      </c>
      <c r="D665" s="2" t="s">
        <v>650</v>
      </c>
      <c r="E665" s="2" t="s">
        <v>275</v>
      </c>
      <c r="F665" s="3">
        <v>4</v>
      </c>
      <c r="G665" s="4">
        <v>12</v>
      </c>
      <c r="H665" s="5">
        <v>0</v>
      </c>
    </row>
    <row r="666" spans="1:8" x14ac:dyDescent="0.35">
      <c r="A666" s="2" t="s">
        <v>656</v>
      </c>
      <c r="B666" s="2" t="s">
        <v>655</v>
      </c>
      <c r="C666" s="2" t="s">
        <v>651</v>
      </c>
      <c r="D666" s="2" t="s">
        <v>652</v>
      </c>
      <c r="E666" s="2" t="s">
        <v>136</v>
      </c>
      <c r="F666" s="3">
        <v>22</v>
      </c>
      <c r="G666" s="4">
        <v>6</v>
      </c>
      <c r="H666" s="5">
        <v>0</v>
      </c>
    </row>
    <row r="667" spans="1:8" x14ac:dyDescent="0.35">
      <c r="A667" s="2" t="s">
        <v>656</v>
      </c>
      <c r="B667" s="2" t="s">
        <v>655</v>
      </c>
      <c r="C667" s="2" t="s">
        <v>653</v>
      </c>
      <c r="D667" s="2" t="s">
        <v>654</v>
      </c>
      <c r="E667" s="2" t="s">
        <v>190</v>
      </c>
      <c r="F667" s="3">
        <v>0.5</v>
      </c>
      <c r="G667" s="4">
        <v>1</v>
      </c>
      <c r="H667" s="5">
        <v>0</v>
      </c>
    </row>
    <row r="668" spans="1:8" x14ac:dyDescent="0.35">
      <c r="A668" s="2" t="s">
        <v>656</v>
      </c>
      <c r="B668" s="2" t="s">
        <v>655</v>
      </c>
      <c r="C668" s="2" t="s">
        <v>662</v>
      </c>
      <c r="D668" s="2" t="s">
        <v>663</v>
      </c>
      <c r="E668" s="2" t="s">
        <v>664</v>
      </c>
      <c r="F668" s="3">
        <v>70000</v>
      </c>
      <c r="G668" s="4">
        <v>60</v>
      </c>
      <c r="H668" s="5">
        <v>5.0000000000000001E-3</v>
      </c>
    </row>
    <row r="669" spans="1:8" x14ac:dyDescent="0.35">
      <c r="A669" s="2" t="s">
        <v>656</v>
      </c>
      <c r="B669" s="2" t="s">
        <v>611</v>
      </c>
      <c r="C669" s="2" t="s">
        <v>612</v>
      </c>
      <c r="D669" s="2" t="s">
        <v>613</v>
      </c>
      <c r="E669" s="2" t="s">
        <v>147</v>
      </c>
      <c r="F669" s="3">
        <v>11056.5</v>
      </c>
      <c r="G669" s="4">
        <v>60</v>
      </c>
      <c r="H669" s="5">
        <v>7.4999999999999997E-3</v>
      </c>
    </row>
    <row r="670" spans="1:8" x14ac:dyDescent="0.35">
      <c r="A670" s="2" t="s">
        <v>656</v>
      </c>
      <c r="B670" s="2" t="s">
        <v>611</v>
      </c>
      <c r="C670" s="2" t="s">
        <v>614</v>
      </c>
      <c r="D670" s="2" t="s">
        <v>615</v>
      </c>
      <c r="E670" s="2" t="s">
        <v>193</v>
      </c>
      <c r="F670" s="3">
        <v>891.03</v>
      </c>
      <c r="G670" s="4">
        <v>36</v>
      </c>
      <c r="H670" s="5">
        <v>0</v>
      </c>
    </row>
    <row r="671" spans="1:8" x14ac:dyDescent="0.35">
      <c r="A671" s="2" t="s">
        <v>656</v>
      </c>
      <c r="B671" s="2" t="s">
        <v>611</v>
      </c>
      <c r="C671" s="2" t="s">
        <v>616</v>
      </c>
      <c r="D671" s="2" t="s">
        <v>617</v>
      </c>
      <c r="E671" s="2" t="s">
        <v>226</v>
      </c>
      <c r="F671" s="3">
        <v>25515.03</v>
      </c>
      <c r="G671" s="4">
        <v>60</v>
      </c>
      <c r="H671" s="5">
        <v>7.4999999999999997E-3</v>
      </c>
    </row>
    <row r="672" spans="1:8" x14ac:dyDescent="0.35">
      <c r="A672" s="2" t="s">
        <v>656</v>
      </c>
      <c r="B672" s="2" t="s">
        <v>611</v>
      </c>
      <c r="C672" s="2" t="s">
        <v>618</v>
      </c>
      <c r="D672" s="2" t="s">
        <v>619</v>
      </c>
      <c r="E672" s="2" t="s">
        <v>285</v>
      </c>
      <c r="F672" s="3">
        <v>1296</v>
      </c>
      <c r="G672" s="4">
        <v>60</v>
      </c>
      <c r="H672" s="5">
        <v>0</v>
      </c>
    </row>
    <row r="673" spans="1:8" x14ac:dyDescent="0.35">
      <c r="A673" s="2" t="s">
        <v>656</v>
      </c>
      <c r="B673" s="2" t="s">
        <v>611</v>
      </c>
      <c r="C673" s="2" t="s">
        <v>620</v>
      </c>
      <c r="D673" s="2" t="s">
        <v>621</v>
      </c>
      <c r="E673" s="2" t="s">
        <v>92</v>
      </c>
      <c r="F673" s="3">
        <v>1265.6400000000001</v>
      </c>
      <c r="G673" s="4">
        <v>36</v>
      </c>
      <c r="H673" s="5">
        <v>0</v>
      </c>
    </row>
    <row r="674" spans="1:8" x14ac:dyDescent="0.35">
      <c r="A674" s="2" t="s">
        <v>656</v>
      </c>
      <c r="B674" s="2" t="s">
        <v>611</v>
      </c>
      <c r="C674" s="2" t="s">
        <v>622</v>
      </c>
      <c r="D674" s="2" t="s">
        <v>623</v>
      </c>
      <c r="E674" s="2" t="s">
        <v>46</v>
      </c>
      <c r="F674" s="3">
        <v>937.5</v>
      </c>
      <c r="G674" s="4">
        <v>60</v>
      </c>
      <c r="H674" s="5">
        <v>0</v>
      </c>
    </row>
    <row r="675" spans="1:8" x14ac:dyDescent="0.35">
      <c r="A675" s="2" t="s">
        <v>656</v>
      </c>
      <c r="B675" s="2" t="s">
        <v>611</v>
      </c>
      <c r="C675" s="2" t="s">
        <v>624</v>
      </c>
      <c r="D675" s="2" t="s">
        <v>625</v>
      </c>
      <c r="E675" s="2" t="s">
        <v>169</v>
      </c>
      <c r="F675" s="3">
        <v>270</v>
      </c>
      <c r="G675" s="4">
        <v>60</v>
      </c>
      <c r="H675" s="5">
        <v>0</v>
      </c>
    </row>
    <row r="676" spans="1:8" x14ac:dyDescent="0.35">
      <c r="A676" s="2" t="s">
        <v>656</v>
      </c>
      <c r="B676" s="2" t="s">
        <v>611</v>
      </c>
      <c r="C676" s="2" t="s">
        <v>626</v>
      </c>
      <c r="D676" s="2" t="s">
        <v>627</v>
      </c>
      <c r="E676" s="2" t="s">
        <v>628</v>
      </c>
      <c r="F676" s="3">
        <v>1500</v>
      </c>
      <c r="G676" s="4">
        <v>36</v>
      </c>
      <c r="H676" s="5">
        <v>0</v>
      </c>
    </row>
    <row r="677" spans="1:8" x14ac:dyDescent="0.35">
      <c r="A677" s="2" t="s">
        <v>656</v>
      </c>
      <c r="B677" s="2" t="s">
        <v>611</v>
      </c>
      <c r="C677" s="2" t="s">
        <v>629</v>
      </c>
      <c r="D677" s="2" t="s">
        <v>630</v>
      </c>
      <c r="E677" s="2" t="s">
        <v>300</v>
      </c>
      <c r="F677" s="3">
        <v>55</v>
      </c>
      <c r="G677" s="4">
        <v>24</v>
      </c>
      <c r="H677" s="5">
        <v>0</v>
      </c>
    </row>
    <row r="678" spans="1:8" x14ac:dyDescent="0.35">
      <c r="A678" s="2" t="s">
        <v>656</v>
      </c>
      <c r="B678" s="2" t="s">
        <v>611</v>
      </c>
      <c r="C678" s="2" t="s">
        <v>631</v>
      </c>
      <c r="D678" s="2" t="s">
        <v>632</v>
      </c>
      <c r="E678" s="2" t="s">
        <v>322</v>
      </c>
      <c r="F678" s="3">
        <v>40.1</v>
      </c>
      <c r="G678" s="4">
        <v>60</v>
      </c>
      <c r="H678" s="5">
        <v>0</v>
      </c>
    </row>
    <row r="679" spans="1:8" x14ac:dyDescent="0.35">
      <c r="A679" s="2" t="s">
        <v>656</v>
      </c>
      <c r="B679" s="2" t="s">
        <v>611</v>
      </c>
      <c r="C679" s="2" t="s">
        <v>633</v>
      </c>
      <c r="D679" s="2" t="s">
        <v>634</v>
      </c>
      <c r="E679" s="2" t="s">
        <v>635</v>
      </c>
      <c r="F679" s="3">
        <v>14</v>
      </c>
      <c r="G679" s="4">
        <v>12</v>
      </c>
      <c r="H679" s="5">
        <v>0</v>
      </c>
    </row>
    <row r="680" spans="1:8" x14ac:dyDescent="0.35">
      <c r="A680" s="2" t="s">
        <v>656</v>
      </c>
      <c r="B680" s="2" t="s">
        <v>611</v>
      </c>
      <c r="C680" s="2" t="s">
        <v>636</v>
      </c>
      <c r="D680" s="2" t="s">
        <v>637</v>
      </c>
      <c r="E680" s="2" t="s">
        <v>638</v>
      </c>
      <c r="F680" s="3">
        <v>12</v>
      </c>
      <c r="G680" s="4">
        <v>12</v>
      </c>
      <c r="H680" s="5">
        <v>0</v>
      </c>
    </row>
    <row r="681" spans="1:8" x14ac:dyDescent="0.35">
      <c r="A681" s="2" t="s">
        <v>656</v>
      </c>
      <c r="B681" s="2" t="s">
        <v>611</v>
      </c>
      <c r="C681" s="2" t="s">
        <v>657</v>
      </c>
      <c r="D681" s="2" t="s">
        <v>658</v>
      </c>
      <c r="E681" s="2" t="s">
        <v>659</v>
      </c>
      <c r="F681" s="3">
        <v>15</v>
      </c>
      <c r="G681" s="4">
        <v>24</v>
      </c>
      <c r="H681" s="5">
        <v>0</v>
      </c>
    </row>
    <row r="682" spans="1:8" x14ac:dyDescent="0.35">
      <c r="A682" s="2" t="s">
        <v>656</v>
      </c>
      <c r="B682" s="2" t="s">
        <v>611</v>
      </c>
      <c r="C682" s="2" t="s">
        <v>639</v>
      </c>
      <c r="D682" s="2" t="s">
        <v>640</v>
      </c>
      <c r="E682" s="2" t="s">
        <v>641</v>
      </c>
      <c r="F682" s="3">
        <v>13</v>
      </c>
      <c r="G682" s="4">
        <v>12</v>
      </c>
      <c r="H682" s="5">
        <v>0</v>
      </c>
    </row>
    <row r="683" spans="1:8" x14ac:dyDescent="0.35">
      <c r="A683" s="2" t="s">
        <v>656</v>
      </c>
      <c r="B683" s="2" t="s">
        <v>611</v>
      </c>
      <c r="C683" s="2" t="s">
        <v>642</v>
      </c>
      <c r="D683" s="2" t="s">
        <v>643</v>
      </c>
      <c r="E683" s="2" t="s">
        <v>644</v>
      </c>
      <c r="F683" s="3">
        <v>16</v>
      </c>
      <c r="G683" s="4">
        <v>12</v>
      </c>
      <c r="H683" s="5">
        <v>0</v>
      </c>
    </row>
    <row r="684" spans="1:8" x14ac:dyDescent="0.35">
      <c r="A684" s="2" t="s">
        <v>656</v>
      </c>
      <c r="B684" s="2" t="s">
        <v>611</v>
      </c>
      <c r="C684" s="2" t="s">
        <v>645</v>
      </c>
      <c r="D684" s="2" t="s">
        <v>646</v>
      </c>
      <c r="E684" s="2" t="s">
        <v>303</v>
      </c>
      <c r="F684" s="3">
        <v>32</v>
      </c>
      <c r="G684" s="4">
        <v>24</v>
      </c>
      <c r="H684" s="5">
        <v>0</v>
      </c>
    </row>
    <row r="685" spans="1:8" x14ac:dyDescent="0.35">
      <c r="A685" s="2" t="s">
        <v>656</v>
      </c>
      <c r="B685" s="2" t="s">
        <v>611</v>
      </c>
      <c r="C685" s="2" t="s">
        <v>660</v>
      </c>
      <c r="D685" s="2" t="s">
        <v>661</v>
      </c>
      <c r="E685" s="2" t="s">
        <v>303</v>
      </c>
      <c r="F685" s="3">
        <v>9</v>
      </c>
      <c r="G685" s="4">
        <v>12</v>
      </c>
      <c r="H685" s="5">
        <v>0</v>
      </c>
    </row>
    <row r="686" spans="1:8" x14ac:dyDescent="0.35">
      <c r="A686" s="2" t="s">
        <v>656</v>
      </c>
      <c r="B686" s="2" t="s">
        <v>611</v>
      </c>
      <c r="C686" s="2" t="s">
        <v>647</v>
      </c>
      <c r="D686" s="2" t="s">
        <v>648</v>
      </c>
      <c r="E686" s="2" t="s">
        <v>535</v>
      </c>
      <c r="F686" s="3">
        <v>11</v>
      </c>
      <c r="G686" s="4">
        <v>12</v>
      </c>
      <c r="H686" s="5">
        <v>0</v>
      </c>
    </row>
    <row r="687" spans="1:8" x14ac:dyDescent="0.35">
      <c r="A687" s="2" t="s">
        <v>656</v>
      </c>
      <c r="B687" s="2" t="s">
        <v>611</v>
      </c>
      <c r="C687" s="2" t="s">
        <v>649</v>
      </c>
      <c r="D687" s="2" t="s">
        <v>650</v>
      </c>
      <c r="E687" s="2" t="s">
        <v>275</v>
      </c>
      <c r="F687" s="3">
        <v>4</v>
      </c>
      <c r="G687" s="4">
        <v>12</v>
      </c>
      <c r="H687" s="5">
        <v>0</v>
      </c>
    </row>
    <row r="688" spans="1:8" x14ac:dyDescent="0.35">
      <c r="A688" s="2" t="s">
        <v>656</v>
      </c>
      <c r="B688" s="2" t="s">
        <v>611</v>
      </c>
      <c r="C688" s="2" t="s">
        <v>651</v>
      </c>
      <c r="D688" s="2" t="s">
        <v>652</v>
      </c>
      <c r="E688" s="2" t="s">
        <v>136</v>
      </c>
      <c r="F688" s="3">
        <v>22</v>
      </c>
      <c r="G688" s="4">
        <v>6</v>
      </c>
      <c r="H688" s="5">
        <v>0</v>
      </c>
    </row>
    <row r="689" spans="1:8" x14ac:dyDescent="0.35">
      <c r="A689" s="2" t="s">
        <v>656</v>
      </c>
      <c r="B689" s="2" t="s">
        <v>611</v>
      </c>
      <c r="C689" s="2" t="s">
        <v>653</v>
      </c>
      <c r="D689" s="2" t="s">
        <v>654</v>
      </c>
      <c r="E689" s="2" t="s">
        <v>190</v>
      </c>
      <c r="F689" s="3">
        <v>0.5</v>
      </c>
      <c r="G689" s="4">
        <v>1</v>
      </c>
      <c r="H689" s="5">
        <v>0</v>
      </c>
    </row>
    <row r="690" spans="1:8" x14ac:dyDescent="0.35">
      <c r="A690" s="2" t="s">
        <v>656</v>
      </c>
      <c r="B690" s="2" t="s">
        <v>611</v>
      </c>
      <c r="C690" s="2" t="s">
        <v>662</v>
      </c>
      <c r="D690" s="2" t="s">
        <v>663</v>
      </c>
      <c r="E690" s="2" t="s">
        <v>664</v>
      </c>
      <c r="F690" s="3">
        <v>70000</v>
      </c>
      <c r="G690" s="4">
        <v>60</v>
      </c>
      <c r="H690" s="5">
        <v>5.0000000000000001E-3</v>
      </c>
    </row>
    <row r="691" spans="1:8" x14ac:dyDescent="0.35">
      <c r="A691" s="2" t="s">
        <v>656</v>
      </c>
      <c r="B691" s="2" t="s">
        <v>447</v>
      </c>
      <c r="C691" s="2" t="s">
        <v>612</v>
      </c>
      <c r="D691" s="2" t="s">
        <v>613</v>
      </c>
      <c r="E691" s="2" t="s">
        <v>147</v>
      </c>
      <c r="F691" s="3">
        <v>1499</v>
      </c>
      <c r="G691" s="4">
        <v>60</v>
      </c>
      <c r="H691" s="5">
        <v>7.4999999999999997E-3</v>
      </c>
    </row>
    <row r="692" spans="1:8" x14ac:dyDescent="0.35">
      <c r="A692" s="2" t="s">
        <v>656</v>
      </c>
      <c r="B692" s="2" t="s">
        <v>447</v>
      </c>
      <c r="C692" s="2" t="s">
        <v>614</v>
      </c>
      <c r="D692" s="2" t="s">
        <v>615</v>
      </c>
      <c r="E692" s="2" t="s">
        <v>193</v>
      </c>
      <c r="F692" s="3">
        <v>287.08999999999997</v>
      </c>
      <c r="G692" s="4">
        <v>36</v>
      </c>
      <c r="H692" s="5">
        <v>0</v>
      </c>
    </row>
    <row r="693" spans="1:8" x14ac:dyDescent="0.35">
      <c r="A693" s="2" t="s">
        <v>656</v>
      </c>
      <c r="B693" s="2" t="s">
        <v>447</v>
      </c>
      <c r="C693" s="2" t="s">
        <v>616</v>
      </c>
      <c r="D693" s="2" t="s">
        <v>617</v>
      </c>
      <c r="E693" s="2" t="s">
        <v>226</v>
      </c>
      <c r="F693" s="3">
        <v>4699.8999999999996</v>
      </c>
      <c r="G693" s="4">
        <v>60</v>
      </c>
      <c r="H693" s="5">
        <v>7.4999999999999997E-3</v>
      </c>
    </row>
    <row r="694" spans="1:8" x14ac:dyDescent="0.35">
      <c r="A694" s="2" t="s">
        <v>656</v>
      </c>
      <c r="B694" s="2" t="s">
        <v>447</v>
      </c>
      <c r="C694" s="2" t="s">
        <v>618</v>
      </c>
      <c r="D694" s="2" t="s">
        <v>619</v>
      </c>
      <c r="E694" s="2" t="s">
        <v>285</v>
      </c>
      <c r="F694" s="3">
        <v>380</v>
      </c>
      <c r="G694" s="4">
        <v>60</v>
      </c>
      <c r="H694" s="5">
        <v>0</v>
      </c>
    </row>
    <row r="695" spans="1:8" x14ac:dyDescent="0.35">
      <c r="A695" s="2" t="s">
        <v>656</v>
      </c>
      <c r="B695" s="2" t="s">
        <v>447</v>
      </c>
      <c r="C695" s="2" t="s">
        <v>620</v>
      </c>
      <c r="D695" s="2" t="s">
        <v>621</v>
      </c>
      <c r="E695" s="2" t="s">
        <v>92</v>
      </c>
      <c r="F695" s="3">
        <v>950</v>
      </c>
      <c r="G695" s="4">
        <v>36</v>
      </c>
      <c r="H695" s="5">
        <v>0</v>
      </c>
    </row>
    <row r="696" spans="1:8" x14ac:dyDescent="0.35">
      <c r="A696" s="2" t="s">
        <v>656</v>
      </c>
      <c r="B696" s="2" t="s">
        <v>447</v>
      </c>
      <c r="C696" s="2" t="s">
        <v>622</v>
      </c>
      <c r="D696" s="2" t="s">
        <v>623</v>
      </c>
      <c r="E696" s="2" t="s">
        <v>46</v>
      </c>
      <c r="F696" s="3">
        <v>250</v>
      </c>
      <c r="G696" s="4">
        <v>60</v>
      </c>
      <c r="H696" s="5">
        <v>0</v>
      </c>
    </row>
    <row r="697" spans="1:8" x14ac:dyDescent="0.35">
      <c r="A697" s="2" t="s">
        <v>656</v>
      </c>
      <c r="B697" s="2" t="s">
        <v>447</v>
      </c>
      <c r="C697" s="2" t="s">
        <v>624</v>
      </c>
      <c r="D697" s="2" t="s">
        <v>625</v>
      </c>
      <c r="E697" s="2" t="s">
        <v>169</v>
      </c>
      <c r="F697" s="3">
        <v>90</v>
      </c>
      <c r="G697" s="4">
        <v>60</v>
      </c>
      <c r="H697" s="5">
        <v>0</v>
      </c>
    </row>
    <row r="698" spans="1:8" x14ac:dyDescent="0.35">
      <c r="A698" s="2" t="s">
        <v>656</v>
      </c>
      <c r="B698" s="2" t="s">
        <v>447</v>
      </c>
      <c r="C698" s="2" t="s">
        <v>626</v>
      </c>
      <c r="D698" s="2" t="s">
        <v>627</v>
      </c>
      <c r="E698" s="2" t="s">
        <v>628</v>
      </c>
      <c r="F698" s="3">
        <v>2590</v>
      </c>
      <c r="G698" s="4">
        <v>36</v>
      </c>
      <c r="H698" s="5">
        <v>0</v>
      </c>
    </row>
    <row r="699" spans="1:8" x14ac:dyDescent="0.35">
      <c r="A699" s="2" t="s">
        <v>656</v>
      </c>
      <c r="B699" s="2" t="s">
        <v>447</v>
      </c>
      <c r="C699" s="2" t="s">
        <v>629</v>
      </c>
      <c r="D699" s="2" t="s">
        <v>630</v>
      </c>
      <c r="E699" s="2" t="s">
        <v>300</v>
      </c>
      <c r="F699" s="3">
        <v>55</v>
      </c>
      <c r="G699" s="4">
        <v>24</v>
      </c>
      <c r="H699" s="5">
        <v>0</v>
      </c>
    </row>
    <row r="700" spans="1:8" x14ac:dyDescent="0.35">
      <c r="A700" s="2" t="s">
        <v>656</v>
      </c>
      <c r="B700" s="2" t="s">
        <v>447</v>
      </c>
      <c r="C700" s="2" t="s">
        <v>631</v>
      </c>
      <c r="D700" s="2" t="s">
        <v>632</v>
      </c>
      <c r="E700" s="2" t="s">
        <v>322</v>
      </c>
      <c r="F700" s="3">
        <v>55</v>
      </c>
      <c r="G700" s="4">
        <v>60</v>
      </c>
      <c r="H700" s="5">
        <v>0</v>
      </c>
    </row>
    <row r="701" spans="1:8" x14ac:dyDescent="0.35">
      <c r="A701" s="2" t="s">
        <v>656</v>
      </c>
      <c r="B701" s="2" t="s">
        <v>447</v>
      </c>
      <c r="C701" s="2" t="s">
        <v>633</v>
      </c>
      <c r="D701" s="2" t="s">
        <v>634</v>
      </c>
      <c r="E701" s="2" t="s">
        <v>635</v>
      </c>
      <c r="F701" s="3">
        <v>14</v>
      </c>
      <c r="G701" s="4">
        <v>12</v>
      </c>
      <c r="H701" s="5">
        <v>0</v>
      </c>
    </row>
    <row r="702" spans="1:8" x14ac:dyDescent="0.35">
      <c r="A702" s="2" t="s">
        <v>656</v>
      </c>
      <c r="B702" s="2" t="s">
        <v>447</v>
      </c>
      <c r="C702" s="2" t="s">
        <v>636</v>
      </c>
      <c r="D702" s="2" t="s">
        <v>637</v>
      </c>
      <c r="E702" s="2" t="s">
        <v>638</v>
      </c>
      <c r="F702" s="3">
        <v>12</v>
      </c>
      <c r="G702" s="4">
        <v>12</v>
      </c>
      <c r="H702" s="5">
        <v>0</v>
      </c>
    </row>
    <row r="703" spans="1:8" x14ac:dyDescent="0.35">
      <c r="A703" s="2" t="s">
        <v>656</v>
      </c>
      <c r="B703" s="2" t="s">
        <v>447</v>
      </c>
      <c r="C703" s="2" t="s">
        <v>657</v>
      </c>
      <c r="D703" s="2" t="s">
        <v>658</v>
      </c>
      <c r="E703" s="2" t="s">
        <v>659</v>
      </c>
      <c r="F703" s="3">
        <v>15</v>
      </c>
      <c r="G703" s="4">
        <v>24</v>
      </c>
      <c r="H703" s="5">
        <v>0</v>
      </c>
    </row>
    <row r="704" spans="1:8" x14ac:dyDescent="0.35">
      <c r="A704" s="2" t="s">
        <v>656</v>
      </c>
      <c r="B704" s="2" t="s">
        <v>447</v>
      </c>
      <c r="C704" s="2" t="s">
        <v>639</v>
      </c>
      <c r="D704" s="2" t="s">
        <v>640</v>
      </c>
      <c r="E704" s="2" t="s">
        <v>641</v>
      </c>
      <c r="F704" s="3">
        <v>13</v>
      </c>
      <c r="G704" s="4">
        <v>12</v>
      </c>
      <c r="H704" s="5">
        <v>0</v>
      </c>
    </row>
    <row r="705" spans="1:8" x14ac:dyDescent="0.35">
      <c r="A705" s="2" t="s">
        <v>656</v>
      </c>
      <c r="B705" s="2" t="s">
        <v>447</v>
      </c>
      <c r="C705" s="2" t="s">
        <v>642</v>
      </c>
      <c r="D705" s="2" t="s">
        <v>643</v>
      </c>
      <c r="E705" s="2" t="s">
        <v>644</v>
      </c>
      <c r="F705" s="3">
        <v>16</v>
      </c>
      <c r="G705" s="4">
        <v>12</v>
      </c>
      <c r="H705" s="5">
        <v>0</v>
      </c>
    </row>
    <row r="706" spans="1:8" x14ac:dyDescent="0.35">
      <c r="A706" s="2" t="s">
        <v>656</v>
      </c>
      <c r="B706" s="2" t="s">
        <v>447</v>
      </c>
      <c r="C706" s="2" t="s">
        <v>645</v>
      </c>
      <c r="D706" s="2" t="s">
        <v>646</v>
      </c>
      <c r="E706" s="2" t="s">
        <v>303</v>
      </c>
      <c r="F706" s="3">
        <v>32</v>
      </c>
      <c r="G706" s="4">
        <v>24</v>
      </c>
      <c r="H706" s="5">
        <v>0</v>
      </c>
    </row>
    <row r="707" spans="1:8" x14ac:dyDescent="0.35">
      <c r="A707" s="2" t="s">
        <v>656</v>
      </c>
      <c r="B707" s="2" t="s">
        <v>447</v>
      </c>
      <c r="C707" s="2" t="s">
        <v>660</v>
      </c>
      <c r="D707" s="2" t="s">
        <v>661</v>
      </c>
      <c r="E707" s="2" t="s">
        <v>303</v>
      </c>
      <c r="F707" s="3">
        <v>9</v>
      </c>
      <c r="G707" s="4">
        <v>12</v>
      </c>
      <c r="H707" s="5">
        <v>0</v>
      </c>
    </row>
    <row r="708" spans="1:8" x14ac:dyDescent="0.35">
      <c r="A708" s="2" t="s">
        <v>656</v>
      </c>
      <c r="B708" s="2" t="s">
        <v>447</v>
      </c>
      <c r="C708" s="2" t="s">
        <v>647</v>
      </c>
      <c r="D708" s="2" t="s">
        <v>648</v>
      </c>
      <c r="E708" s="2" t="s">
        <v>535</v>
      </c>
      <c r="F708" s="3">
        <v>11</v>
      </c>
      <c r="G708" s="4">
        <v>12</v>
      </c>
      <c r="H708" s="5">
        <v>0</v>
      </c>
    </row>
    <row r="709" spans="1:8" x14ac:dyDescent="0.35">
      <c r="A709" s="2" t="s">
        <v>656</v>
      </c>
      <c r="B709" s="2" t="s">
        <v>447</v>
      </c>
      <c r="C709" s="2" t="s">
        <v>649</v>
      </c>
      <c r="D709" s="2" t="s">
        <v>650</v>
      </c>
      <c r="E709" s="2" t="s">
        <v>275</v>
      </c>
      <c r="F709" s="3">
        <v>4</v>
      </c>
      <c r="G709" s="4">
        <v>12</v>
      </c>
      <c r="H709" s="5">
        <v>0</v>
      </c>
    </row>
    <row r="710" spans="1:8" x14ac:dyDescent="0.35">
      <c r="A710" s="2" t="s">
        <v>656</v>
      </c>
      <c r="B710" s="2" t="s">
        <v>447</v>
      </c>
      <c r="C710" s="2" t="s">
        <v>651</v>
      </c>
      <c r="D710" s="2" t="s">
        <v>652</v>
      </c>
      <c r="E710" s="2" t="s">
        <v>136</v>
      </c>
      <c r="F710" s="3">
        <v>22</v>
      </c>
      <c r="G710" s="4">
        <v>6</v>
      </c>
      <c r="H710" s="5">
        <v>0</v>
      </c>
    </row>
    <row r="711" spans="1:8" x14ac:dyDescent="0.35">
      <c r="A711" s="2" t="s">
        <v>656</v>
      </c>
      <c r="B711" s="2" t="s">
        <v>447</v>
      </c>
      <c r="C711" s="2" t="s">
        <v>653</v>
      </c>
      <c r="D711" s="2" t="s">
        <v>654</v>
      </c>
      <c r="E711" s="2" t="s">
        <v>190</v>
      </c>
      <c r="F711" s="3">
        <v>0.5</v>
      </c>
      <c r="G711" s="4">
        <v>1</v>
      </c>
      <c r="H711" s="5">
        <v>0</v>
      </c>
    </row>
    <row r="712" spans="1:8" x14ac:dyDescent="0.35">
      <c r="A712" s="2" t="s">
        <v>656</v>
      </c>
      <c r="B712" s="2" t="s">
        <v>447</v>
      </c>
      <c r="C712" s="2" t="s">
        <v>662</v>
      </c>
      <c r="D712" s="2" t="s">
        <v>663</v>
      </c>
      <c r="E712" s="2" t="s">
        <v>664</v>
      </c>
      <c r="F712" s="3">
        <v>70000</v>
      </c>
      <c r="G712" s="4">
        <v>60</v>
      </c>
      <c r="H712" s="5">
        <v>5.0000000000000001E-3</v>
      </c>
    </row>
    <row r="713" spans="1:8" x14ac:dyDescent="0.35">
      <c r="A713" s="2" t="s">
        <v>665</v>
      </c>
      <c r="B713" s="2" t="s">
        <v>510</v>
      </c>
      <c r="C713" s="2" t="s">
        <v>612</v>
      </c>
      <c r="D713" s="2" t="s">
        <v>613</v>
      </c>
      <c r="E713" s="2" t="s">
        <v>147</v>
      </c>
      <c r="F713" s="3">
        <v>2273.94</v>
      </c>
      <c r="G713" s="4">
        <v>36</v>
      </c>
      <c r="H713" s="5">
        <v>7.4999999999999997E-3</v>
      </c>
    </row>
    <row r="714" spans="1:8" x14ac:dyDescent="0.35">
      <c r="A714" s="2" t="s">
        <v>665</v>
      </c>
      <c r="B714" s="2" t="s">
        <v>510</v>
      </c>
      <c r="C714" s="2" t="s">
        <v>614</v>
      </c>
      <c r="D714" s="2" t="s">
        <v>615</v>
      </c>
      <c r="E714" s="2" t="s">
        <v>193</v>
      </c>
      <c r="F714" s="3">
        <v>263.91000000000003</v>
      </c>
      <c r="G714" s="4">
        <v>24</v>
      </c>
      <c r="H714" s="5">
        <v>7.4999999999999997E-3</v>
      </c>
    </row>
    <row r="715" spans="1:8" x14ac:dyDescent="0.35">
      <c r="A715" s="2" t="s">
        <v>665</v>
      </c>
      <c r="B715" s="2" t="s">
        <v>510</v>
      </c>
      <c r="C715" s="2" t="s">
        <v>616</v>
      </c>
      <c r="D715" s="2" t="s">
        <v>617</v>
      </c>
      <c r="E715" s="2" t="s">
        <v>226</v>
      </c>
      <c r="F715" s="3">
        <v>2583.1999999999998</v>
      </c>
      <c r="G715" s="4">
        <v>36</v>
      </c>
      <c r="H715" s="5">
        <v>0</v>
      </c>
    </row>
    <row r="716" spans="1:8" x14ac:dyDescent="0.35">
      <c r="A716" s="2" t="s">
        <v>665</v>
      </c>
      <c r="B716" s="2" t="s">
        <v>510</v>
      </c>
      <c r="C716" s="2" t="s">
        <v>618</v>
      </c>
      <c r="D716" s="2" t="s">
        <v>619</v>
      </c>
      <c r="E716" s="2" t="s">
        <v>285</v>
      </c>
      <c r="F716" s="3">
        <v>399</v>
      </c>
      <c r="G716" s="4">
        <v>24</v>
      </c>
      <c r="H716" s="5">
        <v>0</v>
      </c>
    </row>
    <row r="717" spans="1:8" x14ac:dyDescent="0.35">
      <c r="A717" s="2" t="s">
        <v>665</v>
      </c>
      <c r="B717" s="2" t="s">
        <v>510</v>
      </c>
      <c r="C717" s="2" t="s">
        <v>620</v>
      </c>
      <c r="D717" s="2" t="s">
        <v>621</v>
      </c>
      <c r="E717" s="2" t="s">
        <v>92</v>
      </c>
      <c r="F717" s="3">
        <v>1250.7</v>
      </c>
      <c r="G717" s="4">
        <v>24</v>
      </c>
      <c r="H717" s="5">
        <v>0</v>
      </c>
    </row>
    <row r="718" spans="1:8" x14ac:dyDescent="0.35">
      <c r="A718" s="2" t="s">
        <v>665</v>
      </c>
      <c r="B718" s="2" t="s">
        <v>510</v>
      </c>
      <c r="C718" s="2" t="s">
        <v>622</v>
      </c>
      <c r="D718" s="2" t="s">
        <v>623</v>
      </c>
      <c r="E718" s="2" t="s">
        <v>46</v>
      </c>
      <c r="F718" s="3">
        <v>2418.25</v>
      </c>
      <c r="G718" s="4">
        <v>36</v>
      </c>
      <c r="H718" s="5">
        <v>0</v>
      </c>
    </row>
    <row r="719" spans="1:8" x14ac:dyDescent="0.35">
      <c r="A719" s="2" t="s">
        <v>665</v>
      </c>
      <c r="B719" s="2" t="s">
        <v>510</v>
      </c>
      <c r="C719" s="2" t="s">
        <v>624</v>
      </c>
      <c r="D719" s="2" t="s">
        <v>625</v>
      </c>
      <c r="E719" s="2" t="s">
        <v>169</v>
      </c>
      <c r="F719" s="3">
        <v>272.87</v>
      </c>
      <c r="G719" s="4">
        <v>24</v>
      </c>
      <c r="H719" s="5">
        <v>0</v>
      </c>
    </row>
    <row r="720" spans="1:8" x14ac:dyDescent="0.35">
      <c r="A720" s="2" t="s">
        <v>665</v>
      </c>
      <c r="B720" s="2" t="s">
        <v>510</v>
      </c>
      <c r="C720" s="2" t="s">
        <v>626</v>
      </c>
      <c r="D720" s="2" t="s">
        <v>627</v>
      </c>
      <c r="E720" s="2" t="s">
        <v>628</v>
      </c>
      <c r="F720" s="3">
        <v>3300</v>
      </c>
      <c r="G720" s="4">
        <v>36</v>
      </c>
      <c r="H720" s="5">
        <v>0</v>
      </c>
    </row>
    <row r="721" spans="1:8" x14ac:dyDescent="0.35">
      <c r="A721" s="2" t="s">
        <v>665</v>
      </c>
      <c r="B721" s="2" t="s">
        <v>510</v>
      </c>
      <c r="C721" s="2" t="s">
        <v>629</v>
      </c>
      <c r="D721" s="2" t="s">
        <v>630</v>
      </c>
      <c r="E721" s="2" t="s">
        <v>300</v>
      </c>
      <c r="F721" s="3">
        <v>52.61</v>
      </c>
      <c r="G721" s="4">
        <v>24</v>
      </c>
      <c r="H721" s="5">
        <v>0</v>
      </c>
    </row>
    <row r="722" spans="1:8" x14ac:dyDescent="0.35">
      <c r="A722" s="2" t="s">
        <v>665</v>
      </c>
      <c r="B722" s="2" t="s">
        <v>510</v>
      </c>
      <c r="C722" s="2" t="s">
        <v>631</v>
      </c>
      <c r="D722" s="2" t="s">
        <v>632</v>
      </c>
      <c r="E722" s="2" t="s">
        <v>322</v>
      </c>
      <c r="F722" s="3">
        <v>43.43</v>
      </c>
      <c r="G722" s="4">
        <v>24</v>
      </c>
      <c r="H722" s="5">
        <v>0</v>
      </c>
    </row>
    <row r="723" spans="1:8" x14ac:dyDescent="0.35">
      <c r="A723" s="2" t="s">
        <v>665</v>
      </c>
      <c r="B723" s="2" t="s">
        <v>510</v>
      </c>
      <c r="C723" s="2" t="s">
        <v>633</v>
      </c>
      <c r="D723" s="2" t="s">
        <v>634</v>
      </c>
      <c r="E723" s="2" t="s">
        <v>635</v>
      </c>
      <c r="F723" s="3">
        <v>17</v>
      </c>
      <c r="G723" s="4">
        <v>12</v>
      </c>
      <c r="H723" s="5">
        <v>0</v>
      </c>
    </row>
    <row r="724" spans="1:8" x14ac:dyDescent="0.35">
      <c r="A724" s="2" t="s">
        <v>665</v>
      </c>
      <c r="B724" s="2" t="s">
        <v>510</v>
      </c>
      <c r="C724" s="2" t="s">
        <v>636</v>
      </c>
      <c r="D724" s="2" t="s">
        <v>637</v>
      </c>
      <c r="E724" s="2" t="s">
        <v>638</v>
      </c>
      <c r="F724" s="3">
        <v>16</v>
      </c>
      <c r="G724" s="4">
        <v>12</v>
      </c>
      <c r="H724" s="5">
        <v>0</v>
      </c>
    </row>
    <row r="725" spans="1:8" x14ac:dyDescent="0.35">
      <c r="A725" s="2" t="s">
        <v>665</v>
      </c>
      <c r="B725" s="2" t="s">
        <v>510</v>
      </c>
      <c r="C725" s="2" t="s">
        <v>657</v>
      </c>
      <c r="D725" s="2" t="s">
        <v>658</v>
      </c>
      <c r="E725" s="2" t="s">
        <v>659</v>
      </c>
      <c r="F725" s="3">
        <v>48.16</v>
      </c>
      <c r="G725" s="4">
        <v>24</v>
      </c>
      <c r="H725" s="5">
        <v>0</v>
      </c>
    </row>
    <row r="726" spans="1:8" x14ac:dyDescent="0.35">
      <c r="A726" s="2" t="s">
        <v>665</v>
      </c>
      <c r="B726" s="2" t="s">
        <v>510</v>
      </c>
      <c r="C726" s="2" t="s">
        <v>639</v>
      </c>
      <c r="D726" s="2" t="s">
        <v>640</v>
      </c>
      <c r="E726" s="2" t="s">
        <v>641</v>
      </c>
      <c r="F726" s="3">
        <v>8.9600000000000009</v>
      </c>
      <c r="G726" s="4">
        <v>12</v>
      </c>
      <c r="H726" s="5">
        <v>0</v>
      </c>
    </row>
    <row r="727" spans="1:8" x14ac:dyDescent="0.35">
      <c r="A727" s="2" t="s">
        <v>665</v>
      </c>
      <c r="B727" s="2" t="s">
        <v>510</v>
      </c>
      <c r="C727" s="2" t="s">
        <v>642</v>
      </c>
      <c r="D727" s="2" t="s">
        <v>643</v>
      </c>
      <c r="E727" s="2" t="s">
        <v>644</v>
      </c>
      <c r="F727" s="3">
        <v>11.75</v>
      </c>
      <c r="G727" s="4">
        <v>12</v>
      </c>
      <c r="H727" s="5">
        <v>0</v>
      </c>
    </row>
    <row r="728" spans="1:8" x14ac:dyDescent="0.35">
      <c r="A728" s="2" t="s">
        <v>665</v>
      </c>
      <c r="B728" s="2" t="s">
        <v>510</v>
      </c>
      <c r="C728" s="2" t="s">
        <v>645</v>
      </c>
      <c r="D728" s="2" t="s">
        <v>646</v>
      </c>
      <c r="E728" s="2" t="s">
        <v>303</v>
      </c>
      <c r="F728" s="3">
        <v>39.81</v>
      </c>
      <c r="G728" s="4">
        <v>24</v>
      </c>
      <c r="H728" s="5">
        <v>0</v>
      </c>
    </row>
    <row r="729" spans="1:8" x14ac:dyDescent="0.35">
      <c r="A729" s="2" t="s">
        <v>665</v>
      </c>
      <c r="B729" s="2" t="s">
        <v>510</v>
      </c>
      <c r="C729" s="2" t="s">
        <v>660</v>
      </c>
      <c r="D729" s="2" t="s">
        <v>661</v>
      </c>
      <c r="E729" s="2" t="s">
        <v>303</v>
      </c>
      <c r="F729" s="3">
        <v>39.81</v>
      </c>
      <c r="G729" s="4">
        <v>12</v>
      </c>
      <c r="H729" s="5">
        <v>0</v>
      </c>
    </row>
    <row r="730" spans="1:8" x14ac:dyDescent="0.35">
      <c r="A730" s="2" t="s">
        <v>665</v>
      </c>
      <c r="B730" s="2" t="s">
        <v>510</v>
      </c>
      <c r="C730" s="2" t="s">
        <v>647</v>
      </c>
      <c r="D730" s="2" t="s">
        <v>648</v>
      </c>
      <c r="E730" s="2" t="s">
        <v>535</v>
      </c>
      <c r="F730" s="3">
        <v>57.39</v>
      </c>
      <c r="G730" s="4">
        <v>12</v>
      </c>
      <c r="H730" s="5">
        <v>0</v>
      </c>
    </row>
    <row r="731" spans="1:8" x14ac:dyDescent="0.35">
      <c r="A731" s="2" t="s">
        <v>665</v>
      </c>
      <c r="B731" s="2" t="s">
        <v>510</v>
      </c>
      <c r="C731" s="2" t="s">
        <v>649</v>
      </c>
      <c r="D731" s="2" t="s">
        <v>650</v>
      </c>
      <c r="E731" s="2" t="s">
        <v>275</v>
      </c>
      <c r="F731" s="3">
        <v>8.5</v>
      </c>
      <c r="G731" s="4">
        <v>12</v>
      </c>
      <c r="H731" s="5">
        <v>0</v>
      </c>
    </row>
    <row r="732" spans="1:8" x14ac:dyDescent="0.35">
      <c r="A732" s="2" t="s">
        <v>665</v>
      </c>
      <c r="B732" s="2" t="s">
        <v>510</v>
      </c>
      <c r="C732" s="2" t="s">
        <v>651</v>
      </c>
      <c r="D732" s="2" t="s">
        <v>652</v>
      </c>
      <c r="E732" s="2" t="s">
        <v>136</v>
      </c>
      <c r="F732" s="3">
        <v>84.23</v>
      </c>
      <c r="G732" s="4">
        <v>6</v>
      </c>
      <c r="H732" s="5">
        <v>0</v>
      </c>
    </row>
    <row r="733" spans="1:8" x14ac:dyDescent="0.35">
      <c r="A733" s="2" t="s">
        <v>665</v>
      </c>
      <c r="B733" s="2" t="s">
        <v>510</v>
      </c>
      <c r="C733" s="2" t="s">
        <v>653</v>
      </c>
      <c r="D733" s="2" t="s">
        <v>654</v>
      </c>
      <c r="E733" s="2" t="s">
        <v>190</v>
      </c>
      <c r="F733" s="3">
        <v>1.1100000000000001</v>
      </c>
      <c r="G733" s="4">
        <v>1</v>
      </c>
      <c r="H733" s="5">
        <v>0</v>
      </c>
    </row>
    <row r="734" spans="1:8" x14ac:dyDescent="0.35">
      <c r="A734" s="2" t="s">
        <v>665</v>
      </c>
      <c r="B734" s="2" t="s">
        <v>510</v>
      </c>
      <c r="C734" s="2" t="s">
        <v>662</v>
      </c>
      <c r="D734" s="2" t="s">
        <v>663</v>
      </c>
      <c r="E734" s="2" t="s">
        <v>664</v>
      </c>
      <c r="F734" s="3">
        <v>70000</v>
      </c>
      <c r="G734" s="4">
        <v>60</v>
      </c>
      <c r="H734" s="5">
        <v>5.0000000000000001E-3</v>
      </c>
    </row>
    <row r="735" spans="1:8" x14ac:dyDescent="0.35">
      <c r="A735" s="2" t="s">
        <v>665</v>
      </c>
      <c r="B735" s="2" t="s">
        <v>611</v>
      </c>
      <c r="C735" s="2" t="s">
        <v>612</v>
      </c>
      <c r="D735" s="2" t="s">
        <v>613</v>
      </c>
      <c r="E735" s="2" t="s">
        <v>147</v>
      </c>
      <c r="F735" s="3">
        <v>1774.5</v>
      </c>
      <c r="G735" s="4">
        <v>60</v>
      </c>
      <c r="H735" s="5">
        <v>7.4999999999999997E-3</v>
      </c>
    </row>
    <row r="736" spans="1:8" x14ac:dyDescent="0.35">
      <c r="A736" s="2" t="s">
        <v>665</v>
      </c>
      <c r="B736" s="2" t="s">
        <v>611</v>
      </c>
      <c r="C736" s="2" t="s">
        <v>614</v>
      </c>
      <c r="D736" s="2" t="s">
        <v>615</v>
      </c>
      <c r="E736" s="2" t="s">
        <v>193</v>
      </c>
      <c r="F736" s="3">
        <v>143</v>
      </c>
      <c r="G736" s="4">
        <v>36</v>
      </c>
      <c r="H736" s="5">
        <v>7.4999999999999997E-3</v>
      </c>
    </row>
    <row r="737" spans="1:8" x14ac:dyDescent="0.35">
      <c r="A737" s="2" t="s">
        <v>665</v>
      </c>
      <c r="B737" s="2" t="s">
        <v>611</v>
      </c>
      <c r="C737" s="2" t="s">
        <v>616</v>
      </c>
      <c r="D737" s="2" t="s">
        <v>617</v>
      </c>
      <c r="E737" s="2" t="s">
        <v>226</v>
      </c>
      <c r="F737" s="3">
        <v>3150</v>
      </c>
      <c r="G737" s="4">
        <v>60</v>
      </c>
      <c r="H737" s="5">
        <v>0</v>
      </c>
    </row>
    <row r="738" spans="1:8" x14ac:dyDescent="0.35">
      <c r="A738" s="2" t="s">
        <v>665</v>
      </c>
      <c r="B738" s="2" t="s">
        <v>611</v>
      </c>
      <c r="C738" s="2" t="s">
        <v>618</v>
      </c>
      <c r="D738" s="2" t="s">
        <v>619</v>
      </c>
      <c r="E738" s="2" t="s">
        <v>285</v>
      </c>
      <c r="F738" s="3">
        <v>160</v>
      </c>
      <c r="G738" s="4">
        <v>60</v>
      </c>
      <c r="H738" s="5">
        <v>0</v>
      </c>
    </row>
    <row r="739" spans="1:8" x14ac:dyDescent="0.35">
      <c r="A739" s="2" t="s">
        <v>665</v>
      </c>
      <c r="B739" s="2" t="s">
        <v>611</v>
      </c>
      <c r="C739" s="2" t="s">
        <v>620</v>
      </c>
      <c r="D739" s="2" t="s">
        <v>621</v>
      </c>
      <c r="E739" s="2" t="s">
        <v>92</v>
      </c>
      <c r="F739" s="3">
        <v>250</v>
      </c>
      <c r="G739" s="4">
        <v>36</v>
      </c>
      <c r="H739" s="5">
        <v>0</v>
      </c>
    </row>
    <row r="740" spans="1:8" x14ac:dyDescent="0.35">
      <c r="A740" s="2" t="s">
        <v>665</v>
      </c>
      <c r="B740" s="2" t="s">
        <v>611</v>
      </c>
      <c r="C740" s="2" t="s">
        <v>622</v>
      </c>
      <c r="D740" s="2" t="s">
        <v>623</v>
      </c>
      <c r="E740" s="2" t="s">
        <v>46</v>
      </c>
      <c r="F740" s="3">
        <v>250</v>
      </c>
      <c r="G740" s="4">
        <v>60</v>
      </c>
      <c r="H740" s="5">
        <v>0</v>
      </c>
    </row>
    <row r="741" spans="1:8" x14ac:dyDescent="0.35">
      <c r="A741" s="2" t="s">
        <v>665</v>
      </c>
      <c r="B741" s="2" t="s">
        <v>611</v>
      </c>
      <c r="C741" s="2" t="s">
        <v>624</v>
      </c>
      <c r="D741" s="2" t="s">
        <v>625</v>
      </c>
      <c r="E741" s="2" t="s">
        <v>169</v>
      </c>
      <c r="F741" s="3">
        <v>90</v>
      </c>
      <c r="G741" s="4">
        <v>60</v>
      </c>
      <c r="H741" s="5">
        <v>0</v>
      </c>
    </row>
    <row r="742" spans="1:8" x14ac:dyDescent="0.35">
      <c r="A742" s="2" t="s">
        <v>665</v>
      </c>
      <c r="B742" s="2" t="s">
        <v>611</v>
      </c>
      <c r="C742" s="2" t="s">
        <v>626</v>
      </c>
      <c r="D742" s="2" t="s">
        <v>627</v>
      </c>
      <c r="E742" s="2" t="s">
        <v>628</v>
      </c>
      <c r="F742" s="3">
        <v>1500</v>
      </c>
      <c r="G742" s="4">
        <v>36</v>
      </c>
      <c r="H742" s="5">
        <v>0</v>
      </c>
    </row>
    <row r="743" spans="1:8" x14ac:dyDescent="0.35">
      <c r="A743" s="2" t="s">
        <v>665</v>
      </c>
      <c r="B743" s="2" t="s">
        <v>611</v>
      </c>
      <c r="C743" s="2" t="s">
        <v>629</v>
      </c>
      <c r="D743" s="2" t="s">
        <v>630</v>
      </c>
      <c r="E743" s="2" t="s">
        <v>300</v>
      </c>
      <c r="F743" s="3">
        <v>55</v>
      </c>
      <c r="G743" s="4">
        <v>24</v>
      </c>
      <c r="H743" s="5">
        <v>0</v>
      </c>
    </row>
    <row r="744" spans="1:8" x14ac:dyDescent="0.35">
      <c r="A744" s="2" t="s">
        <v>665</v>
      </c>
      <c r="B744" s="2" t="s">
        <v>611</v>
      </c>
      <c r="C744" s="2" t="s">
        <v>631</v>
      </c>
      <c r="D744" s="2" t="s">
        <v>632</v>
      </c>
      <c r="E744" s="2" t="s">
        <v>322</v>
      </c>
      <c r="F744" s="3">
        <v>40.1</v>
      </c>
      <c r="G744" s="4">
        <v>60</v>
      </c>
      <c r="H744" s="5">
        <v>0</v>
      </c>
    </row>
    <row r="745" spans="1:8" x14ac:dyDescent="0.35">
      <c r="A745" s="2" t="s">
        <v>665</v>
      </c>
      <c r="B745" s="2" t="s">
        <v>611</v>
      </c>
      <c r="C745" s="2" t="s">
        <v>633</v>
      </c>
      <c r="D745" s="2" t="s">
        <v>634</v>
      </c>
      <c r="E745" s="2" t="s">
        <v>635</v>
      </c>
      <c r="F745" s="3">
        <v>14</v>
      </c>
      <c r="G745" s="4">
        <v>12</v>
      </c>
      <c r="H745" s="5">
        <v>0</v>
      </c>
    </row>
    <row r="746" spans="1:8" x14ac:dyDescent="0.35">
      <c r="A746" s="2" t="s">
        <v>665</v>
      </c>
      <c r="B746" s="2" t="s">
        <v>611</v>
      </c>
      <c r="C746" s="2" t="s">
        <v>636</v>
      </c>
      <c r="D746" s="2" t="s">
        <v>637</v>
      </c>
      <c r="E746" s="2" t="s">
        <v>638</v>
      </c>
      <c r="F746" s="3">
        <v>12</v>
      </c>
      <c r="G746" s="4">
        <v>12</v>
      </c>
      <c r="H746" s="5">
        <v>0</v>
      </c>
    </row>
    <row r="747" spans="1:8" x14ac:dyDescent="0.35">
      <c r="A747" s="2" t="s">
        <v>665</v>
      </c>
      <c r="B747" s="2" t="s">
        <v>611</v>
      </c>
      <c r="C747" s="2" t="s">
        <v>657</v>
      </c>
      <c r="D747" s="2" t="s">
        <v>658</v>
      </c>
      <c r="E747" s="2" t="s">
        <v>659</v>
      </c>
      <c r="F747" s="3">
        <v>15</v>
      </c>
      <c r="G747" s="4">
        <v>24</v>
      </c>
      <c r="H747" s="5">
        <v>0</v>
      </c>
    </row>
    <row r="748" spans="1:8" x14ac:dyDescent="0.35">
      <c r="A748" s="2" t="s">
        <v>665</v>
      </c>
      <c r="B748" s="2" t="s">
        <v>611</v>
      </c>
      <c r="C748" s="2" t="s">
        <v>639</v>
      </c>
      <c r="D748" s="2" t="s">
        <v>640</v>
      </c>
      <c r="E748" s="2" t="s">
        <v>641</v>
      </c>
      <c r="F748" s="3">
        <v>13</v>
      </c>
      <c r="G748" s="4">
        <v>12</v>
      </c>
      <c r="H748" s="5">
        <v>0</v>
      </c>
    </row>
    <row r="749" spans="1:8" x14ac:dyDescent="0.35">
      <c r="A749" s="2" t="s">
        <v>665</v>
      </c>
      <c r="B749" s="2" t="s">
        <v>611</v>
      </c>
      <c r="C749" s="2" t="s">
        <v>642</v>
      </c>
      <c r="D749" s="2" t="s">
        <v>643</v>
      </c>
      <c r="E749" s="2" t="s">
        <v>644</v>
      </c>
      <c r="F749" s="3">
        <v>13</v>
      </c>
      <c r="G749" s="4">
        <v>12</v>
      </c>
      <c r="H749" s="5">
        <v>0</v>
      </c>
    </row>
    <row r="750" spans="1:8" x14ac:dyDescent="0.35">
      <c r="A750" s="2" t="s">
        <v>665</v>
      </c>
      <c r="B750" s="2" t="s">
        <v>611</v>
      </c>
      <c r="C750" s="2" t="s">
        <v>645</v>
      </c>
      <c r="D750" s="2" t="s">
        <v>646</v>
      </c>
      <c r="E750" s="2" t="s">
        <v>303</v>
      </c>
      <c r="F750" s="3">
        <v>32</v>
      </c>
      <c r="G750" s="4">
        <v>24</v>
      </c>
      <c r="H750" s="5">
        <v>0</v>
      </c>
    </row>
    <row r="751" spans="1:8" x14ac:dyDescent="0.35">
      <c r="A751" s="2" t="s">
        <v>665</v>
      </c>
      <c r="B751" s="2" t="s">
        <v>611</v>
      </c>
      <c r="C751" s="2" t="s">
        <v>660</v>
      </c>
      <c r="D751" s="2" t="s">
        <v>661</v>
      </c>
      <c r="E751" s="2" t="s">
        <v>303</v>
      </c>
      <c r="F751" s="3">
        <v>9</v>
      </c>
      <c r="G751" s="4">
        <v>12</v>
      </c>
      <c r="H751" s="5">
        <v>0</v>
      </c>
    </row>
    <row r="752" spans="1:8" x14ac:dyDescent="0.35">
      <c r="A752" s="2" t="s">
        <v>665</v>
      </c>
      <c r="B752" s="2" t="s">
        <v>611</v>
      </c>
      <c r="C752" s="2" t="s">
        <v>647</v>
      </c>
      <c r="D752" s="2" t="s">
        <v>648</v>
      </c>
      <c r="E752" s="2" t="s">
        <v>535</v>
      </c>
      <c r="F752" s="3">
        <v>11</v>
      </c>
      <c r="G752" s="4">
        <v>12</v>
      </c>
      <c r="H752" s="5">
        <v>0</v>
      </c>
    </row>
    <row r="753" spans="1:8" x14ac:dyDescent="0.35">
      <c r="A753" s="2" t="s">
        <v>665</v>
      </c>
      <c r="B753" s="2" t="s">
        <v>611</v>
      </c>
      <c r="C753" s="2" t="s">
        <v>649</v>
      </c>
      <c r="D753" s="2" t="s">
        <v>650</v>
      </c>
      <c r="E753" s="2" t="s">
        <v>275</v>
      </c>
      <c r="F753" s="3">
        <v>4</v>
      </c>
      <c r="G753" s="4">
        <v>12</v>
      </c>
      <c r="H753" s="5">
        <v>0</v>
      </c>
    </row>
    <row r="754" spans="1:8" x14ac:dyDescent="0.35">
      <c r="A754" s="2" t="s">
        <v>665</v>
      </c>
      <c r="B754" s="2" t="s">
        <v>611</v>
      </c>
      <c r="C754" s="2" t="s">
        <v>651</v>
      </c>
      <c r="D754" s="2" t="s">
        <v>652</v>
      </c>
      <c r="E754" s="2" t="s">
        <v>136</v>
      </c>
      <c r="F754" s="3">
        <v>22</v>
      </c>
      <c r="G754" s="4">
        <v>6</v>
      </c>
      <c r="H754" s="5">
        <v>0</v>
      </c>
    </row>
    <row r="755" spans="1:8" x14ac:dyDescent="0.35">
      <c r="A755" s="2" t="s">
        <v>665</v>
      </c>
      <c r="B755" s="2" t="s">
        <v>611</v>
      </c>
      <c r="C755" s="2" t="s">
        <v>653</v>
      </c>
      <c r="D755" s="2" t="s">
        <v>654</v>
      </c>
      <c r="E755" s="2" t="s">
        <v>190</v>
      </c>
      <c r="F755" s="3">
        <v>0.5</v>
      </c>
      <c r="G755" s="4">
        <v>1</v>
      </c>
      <c r="H755" s="5">
        <v>0</v>
      </c>
    </row>
    <row r="756" spans="1:8" x14ac:dyDescent="0.35">
      <c r="A756" s="2" t="s">
        <v>665</v>
      </c>
      <c r="B756" s="2" t="s">
        <v>611</v>
      </c>
      <c r="C756" s="2" t="s">
        <v>662</v>
      </c>
      <c r="D756" s="2" t="s">
        <v>663</v>
      </c>
      <c r="E756" s="2" t="s">
        <v>664</v>
      </c>
      <c r="F756" s="3">
        <v>70000</v>
      </c>
      <c r="G756" s="4">
        <v>60</v>
      </c>
      <c r="H756" s="5">
        <v>5.0000000000000001E-3</v>
      </c>
    </row>
    <row r="757" spans="1:8" x14ac:dyDescent="0.35">
      <c r="A757" s="2" t="s">
        <v>665</v>
      </c>
      <c r="B757" s="2" t="s">
        <v>447</v>
      </c>
      <c r="C757" s="2" t="s">
        <v>612</v>
      </c>
      <c r="D757" s="2" t="s">
        <v>613</v>
      </c>
      <c r="E757" s="2" t="s">
        <v>147</v>
      </c>
      <c r="F757" s="3">
        <v>1365</v>
      </c>
      <c r="G757" s="4">
        <v>60</v>
      </c>
      <c r="H757" s="5">
        <v>7.4999999999999997E-3</v>
      </c>
    </row>
    <row r="758" spans="1:8" x14ac:dyDescent="0.35">
      <c r="A758" s="2" t="s">
        <v>665</v>
      </c>
      <c r="B758" s="2" t="s">
        <v>447</v>
      </c>
      <c r="C758" s="2" t="s">
        <v>614</v>
      </c>
      <c r="D758" s="2" t="s">
        <v>615</v>
      </c>
      <c r="E758" s="2" t="s">
        <v>193</v>
      </c>
      <c r="F758" s="3">
        <v>110</v>
      </c>
      <c r="G758" s="4">
        <v>36</v>
      </c>
      <c r="H758" s="5">
        <v>7.4999999999999997E-3</v>
      </c>
    </row>
    <row r="759" spans="1:8" x14ac:dyDescent="0.35">
      <c r="A759" s="2" t="s">
        <v>665</v>
      </c>
      <c r="B759" s="2" t="s">
        <v>447</v>
      </c>
      <c r="C759" s="2" t="s">
        <v>616</v>
      </c>
      <c r="D759" s="2" t="s">
        <v>617</v>
      </c>
      <c r="E759" s="2" t="s">
        <v>226</v>
      </c>
      <c r="F759" s="3">
        <v>3150</v>
      </c>
      <c r="G759" s="4">
        <v>60</v>
      </c>
      <c r="H759" s="5">
        <v>0</v>
      </c>
    </row>
    <row r="760" spans="1:8" x14ac:dyDescent="0.35">
      <c r="A760" s="2" t="s">
        <v>665</v>
      </c>
      <c r="B760" s="2" t="s">
        <v>447</v>
      </c>
      <c r="C760" s="2" t="s">
        <v>618</v>
      </c>
      <c r="D760" s="2" t="s">
        <v>619</v>
      </c>
      <c r="E760" s="2" t="s">
        <v>285</v>
      </c>
      <c r="F760" s="3">
        <v>160</v>
      </c>
      <c r="G760" s="4">
        <v>60</v>
      </c>
      <c r="H760" s="5">
        <v>0</v>
      </c>
    </row>
    <row r="761" spans="1:8" x14ac:dyDescent="0.35">
      <c r="A761" s="2" t="s">
        <v>665</v>
      </c>
      <c r="B761" s="2" t="s">
        <v>447</v>
      </c>
      <c r="C761" s="2" t="s">
        <v>620</v>
      </c>
      <c r="D761" s="2" t="s">
        <v>621</v>
      </c>
      <c r="E761" s="2" t="s">
        <v>92</v>
      </c>
      <c r="F761" s="3">
        <v>250</v>
      </c>
      <c r="G761" s="4">
        <v>36</v>
      </c>
      <c r="H761" s="5">
        <v>0</v>
      </c>
    </row>
    <row r="762" spans="1:8" x14ac:dyDescent="0.35">
      <c r="A762" s="2" t="s">
        <v>665</v>
      </c>
      <c r="B762" s="2" t="s">
        <v>447</v>
      </c>
      <c r="C762" s="2" t="s">
        <v>622</v>
      </c>
      <c r="D762" s="2" t="s">
        <v>623</v>
      </c>
      <c r="E762" s="2" t="s">
        <v>46</v>
      </c>
      <c r="F762" s="3">
        <v>250</v>
      </c>
      <c r="G762" s="4">
        <v>60</v>
      </c>
      <c r="H762" s="5">
        <v>0</v>
      </c>
    </row>
    <row r="763" spans="1:8" x14ac:dyDescent="0.35">
      <c r="A763" s="2" t="s">
        <v>665</v>
      </c>
      <c r="B763" s="2" t="s">
        <v>447</v>
      </c>
      <c r="C763" s="2" t="s">
        <v>624</v>
      </c>
      <c r="D763" s="2" t="s">
        <v>625</v>
      </c>
      <c r="E763" s="2" t="s">
        <v>169</v>
      </c>
      <c r="F763" s="3">
        <v>90</v>
      </c>
      <c r="G763" s="4">
        <v>60</v>
      </c>
      <c r="H763" s="5">
        <v>0</v>
      </c>
    </row>
    <row r="764" spans="1:8" x14ac:dyDescent="0.35">
      <c r="A764" s="2" t="s">
        <v>665</v>
      </c>
      <c r="B764" s="2" t="s">
        <v>447</v>
      </c>
      <c r="C764" s="2" t="s">
        <v>626</v>
      </c>
      <c r="D764" s="2" t="s">
        <v>627</v>
      </c>
      <c r="E764" s="2" t="s">
        <v>628</v>
      </c>
      <c r="F764" s="3">
        <v>1500</v>
      </c>
      <c r="G764" s="4">
        <v>36</v>
      </c>
      <c r="H764" s="5">
        <v>0</v>
      </c>
    </row>
    <row r="765" spans="1:8" x14ac:dyDescent="0.35">
      <c r="A765" s="2" t="s">
        <v>665</v>
      </c>
      <c r="B765" s="2" t="s">
        <v>447</v>
      </c>
      <c r="C765" s="2" t="s">
        <v>629</v>
      </c>
      <c r="D765" s="2" t="s">
        <v>630</v>
      </c>
      <c r="E765" s="2" t="s">
        <v>300</v>
      </c>
      <c r="F765" s="3">
        <v>55</v>
      </c>
      <c r="G765" s="4">
        <v>24</v>
      </c>
      <c r="H765" s="5">
        <v>0</v>
      </c>
    </row>
    <row r="766" spans="1:8" x14ac:dyDescent="0.35">
      <c r="A766" s="2" t="s">
        <v>665</v>
      </c>
      <c r="B766" s="2" t="s">
        <v>447</v>
      </c>
      <c r="C766" s="2" t="s">
        <v>631</v>
      </c>
      <c r="D766" s="2" t="s">
        <v>632</v>
      </c>
      <c r="E766" s="2" t="s">
        <v>322</v>
      </c>
      <c r="F766" s="3">
        <v>40.1</v>
      </c>
      <c r="G766" s="4">
        <v>60</v>
      </c>
      <c r="H766" s="5">
        <v>0</v>
      </c>
    </row>
    <row r="767" spans="1:8" x14ac:dyDescent="0.35">
      <c r="A767" s="2" t="s">
        <v>665</v>
      </c>
      <c r="B767" s="2" t="s">
        <v>447</v>
      </c>
      <c r="C767" s="2" t="s">
        <v>633</v>
      </c>
      <c r="D767" s="2" t="s">
        <v>634</v>
      </c>
      <c r="E767" s="2" t="s">
        <v>635</v>
      </c>
      <c r="F767" s="3">
        <v>14</v>
      </c>
      <c r="G767" s="4">
        <v>12</v>
      </c>
      <c r="H767" s="5">
        <v>0</v>
      </c>
    </row>
    <row r="768" spans="1:8" x14ac:dyDescent="0.35">
      <c r="A768" s="2" t="s">
        <v>665</v>
      </c>
      <c r="B768" s="2" t="s">
        <v>447</v>
      </c>
      <c r="C768" s="2" t="s">
        <v>636</v>
      </c>
      <c r="D768" s="2" t="s">
        <v>637</v>
      </c>
      <c r="E768" s="2" t="s">
        <v>638</v>
      </c>
      <c r="F768" s="3">
        <v>12</v>
      </c>
      <c r="G768" s="4">
        <v>12</v>
      </c>
      <c r="H768" s="5">
        <v>0</v>
      </c>
    </row>
    <row r="769" spans="1:8" x14ac:dyDescent="0.35">
      <c r="A769" s="2" t="s">
        <v>665</v>
      </c>
      <c r="B769" s="2" t="s">
        <v>447</v>
      </c>
      <c r="C769" s="2" t="s">
        <v>657</v>
      </c>
      <c r="D769" s="2" t="s">
        <v>658</v>
      </c>
      <c r="E769" s="2" t="s">
        <v>659</v>
      </c>
      <c r="F769" s="3">
        <v>15</v>
      </c>
      <c r="G769" s="4">
        <v>24</v>
      </c>
      <c r="H769" s="5">
        <v>0</v>
      </c>
    </row>
    <row r="770" spans="1:8" x14ac:dyDescent="0.35">
      <c r="A770" s="2" t="s">
        <v>665</v>
      </c>
      <c r="B770" s="2" t="s">
        <v>447</v>
      </c>
      <c r="C770" s="2" t="s">
        <v>639</v>
      </c>
      <c r="D770" s="2" t="s">
        <v>640</v>
      </c>
      <c r="E770" s="2" t="s">
        <v>641</v>
      </c>
      <c r="F770" s="3">
        <v>13</v>
      </c>
      <c r="G770" s="4">
        <v>12</v>
      </c>
      <c r="H770" s="5">
        <v>0</v>
      </c>
    </row>
    <row r="771" spans="1:8" x14ac:dyDescent="0.35">
      <c r="A771" s="2" t="s">
        <v>665</v>
      </c>
      <c r="B771" s="2" t="s">
        <v>447</v>
      </c>
      <c r="C771" s="2" t="s">
        <v>642</v>
      </c>
      <c r="D771" s="2" t="s">
        <v>643</v>
      </c>
      <c r="E771" s="2" t="s">
        <v>644</v>
      </c>
      <c r="F771" s="3">
        <v>13</v>
      </c>
      <c r="G771" s="4">
        <v>12</v>
      </c>
      <c r="H771" s="5">
        <v>0</v>
      </c>
    </row>
    <row r="772" spans="1:8" x14ac:dyDescent="0.35">
      <c r="A772" s="2" t="s">
        <v>665</v>
      </c>
      <c r="B772" s="2" t="s">
        <v>447</v>
      </c>
      <c r="C772" s="2" t="s">
        <v>645</v>
      </c>
      <c r="D772" s="2" t="s">
        <v>646</v>
      </c>
      <c r="E772" s="2" t="s">
        <v>303</v>
      </c>
      <c r="F772" s="3">
        <v>32</v>
      </c>
      <c r="G772" s="4">
        <v>24</v>
      </c>
      <c r="H772" s="5">
        <v>0</v>
      </c>
    </row>
    <row r="773" spans="1:8" x14ac:dyDescent="0.35">
      <c r="A773" s="2" t="s">
        <v>665</v>
      </c>
      <c r="B773" s="2" t="s">
        <v>447</v>
      </c>
      <c r="C773" s="2" t="s">
        <v>660</v>
      </c>
      <c r="D773" s="2" t="s">
        <v>661</v>
      </c>
      <c r="E773" s="2" t="s">
        <v>303</v>
      </c>
      <c r="F773" s="3">
        <v>9</v>
      </c>
      <c r="G773" s="4">
        <v>12</v>
      </c>
      <c r="H773" s="5">
        <v>0</v>
      </c>
    </row>
    <row r="774" spans="1:8" x14ac:dyDescent="0.35">
      <c r="A774" s="2" t="s">
        <v>665</v>
      </c>
      <c r="B774" s="2" t="s">
        <v>447</v>
      </c>
      <c r="C774" s="2" t="s">
        <v>647</v>
      </c>
      <c r="D774" s="2" t="s">
        <v>648</v>
      </c>
      <c r="E774" s="2" t="s">
        <v>535</v>
      </c>
      <c r="F774" s="3">
        <v>11</v>
      </c>
      <c r="G774" s="4">
        <v>12</v>
      </c>
      <c r="H774" s="5">
        <v>0</v>
      </c>
    </row>
    <row r="775" spans="1:8" x14ac:dyDescent="0.35">
      <c r="A775" s="2" t="s">
        <v>665</v>
      </c>
      <c r="B775" s="2" t="s">
        <v>447</v>
      </c>
      <c r="C775" s="2" t="s">
        <v>649</v>
      </c>
      <c r="D775" s="2" t="s">
        <v>650</v>
      </c>
      <c r="E775" s="2" t="s">
        <v>275</v>
      </c>
      <c r="F775" s="3">
        <v>4</v>
      </c>
      <c r="G775" s="4">
        <v>12</v>
      </c>
      <c r="H775" s="5">
        <v>0</v>
      </c>
    </row>
    <row r="776" spans="1:8" x14ac:dyDescent="0.35">
      <c r="A776" s="2" t="s">
        <v>665</v>
      </c>
      <c r="B776" s="2" t="s">
        <v>447</v>
      </c>
      <c r="C776" s="2" t="s">
        <v>651</v>
      </c>
      <c r="D776" s="2" t="s">
        <v>652</v>
      </c>
      <c r="E776" s="2" t="s">
        <v>136</v>
      </c>
      <c r="F776" s="3">
        <v>22</v>
      </c>
      <c r="G776" s="4">
        <v>6</v>
      </c>
      <c r="H776" s="5">
        <v>0</v>
      </c>
    </row>
    <row r="777" spans="1:8" x14ac:dyDescent="0.35">
      <c r="A777" s="2" t="s">
        <v>665</v>
      </c>
      <c r="B777" s="2" t="s">
        <v>447</v>
      </c>
      <c r="C777" s="2" t="s">
        <v>653</v>
      </c>
      <c r="D777" s="2" t="s">
        <v>654</v>
      </c>
      <c r="E777" s="2" t="s">
        <v>190</v>
      </c>
      <c r="F777" s="3">
        <v>0.5</v>
      </c>
      <c r="G777" s="4">
        <v>1</v>
      </c>
      <c r="H777" s="5">
        <v>0</v>
      </c>
    </row>
    <row r="778" spans="1:8" x14ac:dyDescent="0.35">
      <c r="A778" s="2" t="s">
        <v>665</v>
      </c>
      <c r="B778" s="2" t="s">
        <v>447</v>
      </c>
      <c r="C778" s="2" t="s">
        <v>662</v>
      </c>
      <c r="D778" s="2" t="s">
        <v>663</v>
      </c>
      <c r="E778" s="2" t="s">
        <v>664</v>
      </c>
      <c r="F778" s="3">
        <v>70000</v>
      </c>
      <c r="G778" s="4">
        <v>60</v>
      </c>
      <c r="H778" s="5">
        <v>5.0000000000000001E-3</v>
      </c>
    </row>
    <row r="779" spans="1:8" x14ac:dyDescent="0.35">
      <c r="A779" s="2" t="s">
        <v>665</v>
      </c>
      <c r="B779" s="2" t="s">
        <v>655</v>
      </c>
      <c r="C779" s="2" t="s">
        <v>612</v>
      </c>
      <c r="D779" s="2" t="s">
        <v>613</v>
      </c>
      <c r="E779" s="2" t="s">
        <v>147</v>
      </c>
      <c r="F779" s="3">
        <v>1365</v>
      </c>
      <c r="G779" s="4">
        <v>60</v>
      </c>
      <c r="H779" s="5">
        <v>7.4999999999999997E-3</v>
      </c>
    </row>
    <row r="780" spans="1:8" x14ac:dyDescent="0.35">
      <c r="A780" s="2" t="s">
        <v>665</v>
      </c>
      <c r="B780" s="2" t="s">
        <v>655</v>
      </c>
      <c r="C780" s="2" t="s">
        <v>614</v>
      </c>
      <c r="D780" s="2" t="s">
        <v>615</v>
      </c>
      <c r="E780" s="2" t="s">
        <v>193</v>
      </c>
      <c r="F780" s="3">
        <v>110</v>
      </c>
      <c r="G780" s="4">
        <v>36</v>
      </c>
      <c r="H780" s="5">
        <v>7.4999999999999997E-3</v>
      </c>
    </row>
    <row r="781" spans="1:8" x14ac:dyDescent="0.35">
      <c r="A781" s="2" t="s">
        <v>665</v>
      </c>
      <c r="B781" s="2" t="s">
        <v>655</v>
      </c>
      <c r="C781" s="2" t="s">
        <v>616</v>
      </c>
      <c r="D781" s="2" t="s">
        <v>617</v>
      </c>
      <c r="E781" s="2" t="s">
        <v>226</v>
      </c>
      <c r="F781" s="3">
        <v>3150</v>
      </c>
      <c r="G781" s="4">
        <v>60</v>
      </c>
      <c r="H781" s="5">
        <v>0</v>
      </c>
    </row>
    <row r="782" spans="1:8" x14ac:dyDescent="0.35">
      <c r="A782" s="2" t="s">
        <v>665</v>
      </c>
      <c r="B782" s="2" t="s">
        <v>655</v>
      </c>
      <c r="C782" s="2" t="s">
        <v>618</v>
      </c>
      <c r="D782" s="2" t="s">
        <v>619</v>
      </c>
      <c r="E782" s="2" t="s">
        <v>285</v>
      </c>
      <c r="F782" s="3">
        <v>160</v>
      </c>
      <c r="G782" s="4">
        <v>60</v>
      </c>
      <c r="H782" s="5">
        <v>0</v>
      </c>
    </row>
    <row r="783" spans="1:8" x14ac:dyDescent="0.35">
      <c r="A783" s="2" t="s">
        <v>665</v>
      </c>
      <c r="B783" s="2" t="s">
        <v>655</v>
      </c>
      <c r="C783" s="2" t="s">
        <v>620</v>
      </c>
      <c r="D783" s="2" t="s">
        <v>621</v>
      </c>
      <c r="E783" s="2" t="s">
        <v>92</v>
      </c>
      <c r="F783" s="3">
        <v>250</v>
      </c>
      <c r="G783" s="4">
        <v>36</v>
      </c>
      <c r="H783" s="5">
        <v>0</v>
      </c>
    </row>
    <row r="784" spans="1:8" x14ac:dyDescent="0.35">
      <c r="A784" s="2" t="s">
        <v>665</v>
      </c>
      <c r="B784" s="2" t="s">
        <v>655</v>
      </c>
      <c r="C784" s="2" t="s">
        <v>622</v>
      </c>
      <c r="D784" s="2" t="s">
        <v>623</v>
      </c>
      <c r="E784" s="2" t="s">
        <v>46</v>
      </c>
      <c r="F784" s="3">
        <v>250</v>
      </c>
      <c r="G784" s="4">
        <v>60</v>
      </c>
      <c r="H784" s="5">
        <v>0</v>
      </c>
    </row>
    <row r="785" spans="1:8" x14ac:dyDescent="0.35">
      <c r="A785" s="2" t="s">
        <v>665</v>
      </c>
      <c r="B785" s="2" t="s">
        <v>655</v>
      </c>
      <c r="C785" s="2" t="s">
        <v>624</v>
      </c>
      <c r="D785" s="2" t="s">
        <v>625</v>
      </c>
      <c r="E785" s="2" t="s">
        <v>169</v>
      </c>
      <c r="F785" s="3">
        <v>90</v>
      </c>
      <c r="G785" s="4">
        <v>60</v>
      </c>
      <c r="H785" s="5">
        <v>0</v>
      </c>
    </row>
    <row r="786" spans="1:8" x14ac:dyDescent="0.35">
      <c r="A786" s="2" t="s">
        <v>665</v>
      </c>
      <c r="B786" s="2" t="s">
        <v>655</v>
      </c>
      <c r="C786" s="2" t="s">
        <v>626</v>
      </c>
      <c r="D786" s="2" t="s">
        <v>627</v>
      </c>
      <c r="E786" s="2" t="s">
        <v>628</v>
      </c>
      <c r="F786" s="3">
        <v>1500</v>
      </c>
      <c r="G786" s="4">
        <v>36</v>
      </c>
      <c r="H786" s="5">
        <v>0</v>
      </c>
    </row>
    <row r="787" spans="1:8" x14ac:dyDescent="0.35">
      <c r="A787" s="2" t="s">
        <v>665</v>
      </c>
      <c r="B787" s="2" t="s">
        <v>655</v>
      </c>
      <c r="C787" s="2" t="s">
        <v>629</v>
      </c>
      <c r="D787" s="2" t="s">
        <v>630</v>
      </c>
      <c r="E787" s="2" t="s">
        <v>300</v>
      </c>
      <c r="F787" s="3">
        <v>55</v>
      </c>
      <c r="G787" s="4">
        <v>24</v>
      </c>
      <c r="H787" s="5">
        <v>0</v>
      </c>
    </row>
    <row r="788" spans="1:8" x14ac:dyDescent="0.35">
      <c r="A788" s="2" t="s">
        <v>665</v>
      </c>
      <c r="B788" s="2" t="s">
        <v>655</v>
      </c>
      <c r="C788" s="2" t="s">
        <v>631</v>
      </c>
      <c r="D788" s="2" t="s">
        <v>632</v>
      </c>
      <c r="E788" s="2" t="s">
        <v>322</v>
      </c>
      <c r="F788" s="3">
        <v>40.1</v>
      </c>
      <c r="G788" s="4">
        <v>60</v>
      </c>
      <c r="H788" s="5">
        <v>0</v>
      </c>
    </row>
    <row r="789" spans="1:8" x14ac:dyDescent="0.35">
      <c r="A789" s="2" t="s">
        <v>665</v>
      </c>
      <c r="B789" s="2" t="s">
        <v>655</v>
      </c>
      <c r="C789" s="2" t="s">
        <v>633</v>
      </c>
      <c r="D789" s="2" t="s">
        <v>634</v>
      </c>
      <c r="E789" s="2" t="s">
        <v>635</v>
      </c>
      <c r="F789" s="3">
        <v>14</v>
      </c>
      <c r="G789" s="4">
        <v>12</v>
      </c>
      <c r="H789" s="5">
        <v>0</v>
      </c>
    </row>
    <row r="790" spans="1:8" x14ac:dyDescent="0.35">
      <c r="A790" s="2" t="s">
        <v>665</v>
      </c>
      <c r="B790" s="2" t="s">
        <v>655</v>
      </c>
      <c r="C790" s="2" t="s">
        <v>636</v>
      </c>
      <c r="D790" s="2" t="s">
        <v>637</v>
      </c>
      <c r="E790" s="2" t="s">
        <v>638</v>
      </c>
      <c r="F790" s="3">
        <v>12</v>
      </c>
      <c r="G790" s="4">
        <v>12</v>
      </c>
      <c r="H790" s="5">
        <v>0</v>
      </c>
    </row>
    <row r="791" spans="1:8" x14ac:dyDescent="0.35">
      <c r="A791" s="2" t="s">
        <v>665</v>
      </c>
      <c r="B791" s="2" t="s">
        <v>655</v>
      </c>
      <c r="C791" s="2" t="s">
        <v>657</v>
      </c>
      <c r="D791" s="2" t="s">
        <v>658</v>
      </c>
      <c r="E791" s="2" t="s">
        <v>659</v>
      </c>
      <c r="F791" s="3">
        <v>15</v>
      </c>
      <c r="G791" s="4">
        <v>24</v>
      </c>
      <c r="H791" s="5">
        <v>0</v>
      </c>
    </row>
    <row r="792" spans="1:8" x14ac:dyDescent="0.35">
      <c r="A792" s="2" t="s">
        <v>665</v>
      </c>
      <c r="B792" s="2" t="s">
        <v>655</v>
      </c>
      <c r="C792" s="2" t="s">
        <v>639</v>
      </c>
      <c r="D792" s="2" t="s">
        <v>640</v>
      </c>
      <c r="E792" s="2" t="s">
        <v>641</v>
      </c>
      <c r="F792" s="3">
        <v>13</v>
      </c>
      <c r="G792" s="4">
        <v>12</v>
      </c>
      <c r="H792" s="5">
        <v>0</v>
      </c>
    </row>
    <row r="793" spans="1:8" x14ac:dyDescent="0.35">
      <c r="A793" s="2" t="s">
        <v>665</v>
      </c>
      <c r="B793" s="2" t="s">
        <v>655</v>
      </c>
      <c r="C793" s="2" t="s">
        <v>642</v>
      </c>
      <c r="D793" s="2" t="s">
        <v>643</v>
      </c>
      <c r="E793" s="2" t="s">
        <v>644</v>
      </c>
      <c r="F793" s="3">
        <v>13</v>
      </c>
      <c r="G793" s="4">
        <v>12</v>
      </c>
      <c r="H793" s="5">
        <v>0</v>
      </c>
    </row>
    <row r="794" spans="1:8" x14ac:dyDescent="0.35">
      <c r="A794" s="2" t="s">
        <v>665</v>
      </c>
      <c r="B794" s="2" t="s">
        <v>655</v>
      </c>
      <c r="C794" s="2" t="s">
        <v>645</v>
      </c>
      <c r="D794" s="2" t="s">
        <v>646</v>
      </c>
      <c r="E794" s="2" t="s">
        <v>303</v>
      </c>
      <c r="F794" s="3">
        <v>32</v>
      </c>
      <c r="G794" s="4">
        <v>24</v>
      </c>
      <c r="H794" s="5">
        <v>0</v>
      </c>
    </row>
    <row r="795" spans="1:8" x14ac:dyDescent="0.35">
      <c r="A795" s="2" t="s">
        <v>665</v>
      </c>
      <c r="B795" s="2" t="s">
        <v>655</v>
      </c>
      <c r="C795" s="2" t="s">
        <v>660</v>
      </c>
      <c r="D795" s="2" t="s">
        <v>661</v>
      </c>
      <c r="E795" s="2" t="s">
        <v>303</v>
      </c>
      <c r="F795" s="3">
        <v>9</v>
      </c>
      <c r="G795" s="4">
        <v>12</v>
      </c>
      <c r="H795" s="5">
        <v>0</v>
      </c>
    </row>
    <row r="796" spans="1:8" x14ac:dyDescent="0.35">
      <c r="A796" s="2" t="s">
        <v>665</v>
      </c>
      <c r="B796" s="2" t="s">
        <v>655</v>
      </c>
      <c r="C796" s="2" t="s">
        <v>647</v>
      </c>
      <c r="D796" s="2" t="s">
        <v>648</v>
      </c>
      <c r="E796" s="2" t="s">
        <v>535</v>
      </c>
      <c r="F796" s="3">
        <v>11</v>
      </c>
      <c r="G796" s="4">
        <v>12</v>
      </c>
      <c r="H796" s="5">
        <v>0</v>
      </c>
    </row>
    <row r="797" spans="1:8" x14ac:dyDescent="0.35">
      <c r="A797" s="2" t="s">
        <v>665</v>
      </c>
      <c r="B797" s="2" t="s">
        <v>655</v>
      </c>
      <c r="C797" s="2" t="s">
        <v>649</v>
      </c>
      <c r="D797" s="2" t="s">
        <v>650</v>
      </c>
      <c r="E797" s="2" t="s">
        <v>275</v>
      </c>
      <c r="F797" s="3">
        <v>4</v>
      </c>
      <c r="G797" s="4">
        <v>12</v>
      </c>
      <c r="H797" s="5">
        <v>0</v>
      </c>
    </row>
    <row r="798" spans="1:8" x14ac:dyDescent="0.35">
      <c r="A798" s="2" t="s">
        <v>665</v>
      </c>
      <c r="B798" s="2" t="s">
        <v>655</v>
      </c>
      <c r="C798" s="2" t="s">
        <v>651</v>
      </c>
      <c r="D798" s="2" t="s">
        <v>652</v>
      </c>
      <c r="E798" s="2" t="s">
        <v>136</v>
      </c>
      <c r="F798" s="3">
        <v>22</v>
      </c>
      <c r="G798" s="4">
        <v>6</v>
      </c>
      <c r="H798" s="5">
        <v>0</v>
      </c>
    </row>
    <row r="799" spans="1:8" x14ac:dyDescent="0.35">
      <c r="A799" s="2" t="s">
        <v>665</v>
      </c>
      <c r="B799" s="2" t="s">
        <v>655</v>
      </c>
      <c r="C799" s="2" t="s">
        <v>653</v>
      </c>
      <c r="D799" s="2" t="s">
        <v>654</v>
      </c>
      <c r="E799" s="2" t="s">
        <v>190</v>
      </c>
      <c r="F799" s="3">
        <v>0.5</v>
      </c>
      <c r="G799" s="4">
        <v>1</v>
      </c>
      <c r="H799" s="5">
        <v>0</v>
      </c>
    </row>
    <row r="800" spans="1:8" x14ac:dyDescent="0.35">
      <c r="A800" s="2" t="s">
        <v>665</v>
      </c>
      <c r="B800" s="2" t="s">
        <v>655</v>
      </c>
      <c r="C800" s="2" t="s">
        <v>662</v>
      </c>
      <c r="D800" s="2" t="s">
        <v>663</v>
      </c>
      <c r="E800" s="2" t="s">
        <v>664</v>
      </c>
      <c r="F800" s="3">
        <v>70000</v>
      </c>
      <c r="G800" s="4">
        <v>60</v>
      </c>
      <c r="H800" s="5">
        <v>5.0000000000000001E-3</v>
      </c>
    </row>
    <row r="801" spans="1:8" x14ac:dyDescent="0.35">
      <c r="A801" s="2" t="s">
        <v>666</v>
      </c>
      <c r="B801" s="2" t="s">
        <v>510</v>
      </c>
      <c r="C801" s="2" t="s">
        <v>612</v>
      </c>
      <c r="D801" s="2" t="s">
        <v>613</v>
      </c>
      <c r="E801" s="2" t="s">
        <v>147</v>
      </c>
      <c r="F801" s="3">
        <v>2273.94</v>
      </c>
      <c r="G801" s="4">
        <v>36</v>
      </c>
      <c r="H801" s="5">
        <v>7.4999999999999997E-3</v>
      </c>
    </row>
    <row r="802" spans="1:8" x14ac:dyDescent="0.35">
      <c r="A802" s="2" t="s">
        <v>666</v>
      </c>
      <c r="B802" s="2" t="s">
        <v>510</v>
      </c>
      <c r="C802" s="2" t="s">
        <v>614</v>
      </c>
      <c r="D802" s="2" t="s">
        <v>615</v>
      </c>
      <c r="E802" s="2" t="s">
        <v>193</v>
      </c>
      <c r="F802" s="3">
        <v>263.91000000000003</v>
      </c>
      <c r="G802" s="4">
        <v>24</v>
      </c>
      <c r="H802" s="5">
        <v>0</v>
      </c>
    </row>
    <row r="803" spans="1:8" x14ac:dyDescent="0.35">
      <c r="A803" s="2" t="s">
        <v>666</v>
      </c>
      <c r="B803" s="2" t="s">
        <v>510</v>
      </c>
      <c r="C803" s="2" t="s">
        <v>616</v>
      </c>
      <c r="D803" s="2" t="s">
        <v>617</v>
      </c>
      <c r="E803" s="2" t="s">
        <v>226</v>
      </c>
      <c r="F803" s="3">
        <v>2583.1999999999998</v>
      </c>
      <c r="G803" s="4">
        <v>36</v>
      </c>
      <c r="H803" s="5">
        <v>7.4999999999999997E-3</v>
      </c>
    </row>
    <row r="804" spans="1:8" x14ac:dyDescent="0.35">
      <c r="A804" s="2" t="s">
        <v>666</v>
      </c>
      <c r="B804" s="2" t="s">
        <v>510</v>
      </c>
      <c r="C804" s="2" t="s">
        <v>618</v>
      </c>
      <c r="D804" s="2" t="s">
        <v>619</v>
      </c>
      <c r="E804" s="2" t="s">
        <v>285</v>
      </c>
      <c r="F804" s="3">
        <v>399</v>
      </c>
      <c r="G804" s="4">
        <v>24</v>
      </c>
      <c r="H804" s="5">
        <v>0</v>
      </c>
    </row>
    <row r="805" spans="1:8" x14ac:dyDescent="0.35">
      <c r="A805" s="2" t="s">
        <v>666</v>
      </c>
      <c r="B805" s="2" t="s">
        <v>510</v>
      </c>
      <c r="C805" s="2" t="s">
        <v>620</v>
      </c>
      <c r="D805" s="2" t="s">
        <v>621</v>
      </c>
      <c r="E805" s="2" t="s">
        <v>92</v>
      </c>
      <c r="F805" s="3">
        <v>1250.7</v>
      </c>
      <c r="G805" s="4">
        <v>24</v>
      </c>
      <c r="H805" s="5">
        <v>0</v>
      </c>
    </row>
    <row r="806" spans="1:8" x14ac:dyDescent="0.35">
      <c r="A806" s="2" t="s">
        <v>666</v>
      </c>
      <c r="B806" s="2" t="s">
        <v>510</v>
      </c>
      <c r="C806" s="2" t="s">
        <v>622</v>
      </c>
      <c r="D806" s="2" t="s">
        <v>623</v>
      </c>
      <c r="E806" s="2" t="s">
        <v>46</v>
      </c>
      <c r="F806" s="3">
        <v>2418.25</v>
      </c>
      <c r="G806" s="4">
        <v>36</v>
      </c>
      <c r="H806" s="5">
        <v>0</v>
      </c>
    </row>
    <row r="807" spans="1:8" x14ac:dyDescent="0.35">
      <c r="A807" s="2" t="s">
        <v>666</v>
      </c>
      <c r="B807" s="2" t="s">
        <v>510</v>
      </c>
      <c r="C807" s="2" t="s">
        <v>624</v>
      </c>
      <c r="D807" s="2" t="s">
        <v>625</v>
      </c>
      <c r="E807" s="2" t="s">
        <v>169</v>
      </c>
      <c r="F807" s="3">
        <v>272.87</v>
      </c>
      <c r="G807" s="4">
        <v>24</v>
      </c>
      <c r="H807" s="5">
        <v>0</v>
      </c>
    </row>
    <row r="808" spans="1:8" x14ac:dyDescent="0.35">
      <c r="A808" s="2" t="s">
        <v>666</v>
      </c>
      <c r="B808" s="2" t="s">
        <v>510</v>
      </c>
      <c r="C808" s="2" t="s">
        <v>626</v>
      </c>
      <c r="D808" s="2" t="s">
        <v>627</v>
      </c>
      <c r="E808" s="2" t="s">
        <v>628</v>
      </c>
      <c r="F808" s="3">
        <v>3300</v>
      </c>
      <c r="G808" s="4">
        <v>36</v>
      </c>
      <c r="H808" s="5">
        <v>0</v>
      </c>
    </row>
    <row r="809" spans="1:8" x14ac:dyDescent="0.35">
      <c r="A809" s="2" t="s">
        <v>666</v>
      </c>
      <c r="B809" s="2" t="s">
        <v>510</v>
      </c>
      <c r="C809" s="2" t="s">
        <v>629</v>
      </c>
      <c r="D809" s="2" t="s">
        <v>630</v>
      </c>
      <c r="E809" s="2" t="s">
        <v>300</v>
      </c>
      <c r="F809" s="3">
        <v>52.61</v>
      </c>
      <c r="G809" s="4">
        <v>24</v>
      </c>
      <c r="H809" s="5">
        <v>0</v>
      </c>
    </row>
    <row r="810" spans="1:8" x14ac:dyDescent="0.35">
      <c r="A810" s="2" t="s">
        <v>666</v>
      </c>
      <c r="B810" s="2" t="s">
        <v>510</v>
      </c>
      <c r="C810" s="2" t="s">
        <v>631</v>
      </c>
      <c r="D810" s="2" t="s">
        <v>632</v>
      </c>
      <c r="E810" s="2" t="s">
        <v>322</v>
      </c>
      <c r="F810" s="3">
        <v>43.43</v>
      </c>
      <c r="G810" s="4">
        <v>24</v>
      </c>
      <c r="H810" s="5">
        <v>0</v>
      </c>
    </row>
    <row r="811" spans="1:8" x14ac:dyDescent="0.35">
      <c r="A811" s="2" t="s">
        <v>666</v>
      </c>
      <c r="B811" s="2" t="s">
        <v>510</v>
      </c>
      <c r="C811" s="2" t="s">
        <v>633</v>
      </c>
      <c r="D811" s="2" t="s">
        <v>634</v>
      </c>
      <c r="E811" s="2" t="s">
        <v>635</v>
      </c>
      <c r="F811" s="3">
        <v>17</v>
      </c>
      <c r="G811" s="4">
        <v>12</v>
      </c>
      <c r="H811" s="5">
        <v>0</v>
      </c>
    </row>
    <row r="812" spans="1:8" x14ac:dyDescent="0.35">
      <c r="A812" s="2" t="s">
        <v>666</v>
      </c>
      <c r="B812" s="2" t="s">
        <v>510</v>
      </c>
      <c r="C812" s="2" t="s">
        <v>636</v>
      </c>
      <c r="D812" s="2" t="s">
        <v>637</v>
      </c>
      <c r="E812" s="2" t="s">
        <v>638</v>
      </c>
      <c r="F812" s="3">
        <v>16</v>
      </c>
      <c r="G812" s="4">
        <v>12</v>
      </c>
      <c r="H812" s="5">
        <v>0</v>
      </c>
    </row>
    <row r="813" spans="1:8" x14ac:dyDescent="0.35">
      <c r="A813" s="2" t="s">
        <v>666</v>
      </c>
      <c r="B813" s="2" t="s">
        <v>510</v>
      </c>
      <c r="C813" s="2" t="s">
        <v>657</v>
      </c>
      <c r="D813" s="2" t="s">
        <v>658</v>
      </c>
      <c r="E813" s="2" t="s">
        <v>659</v>
      </c>
      <c r="F813" s="3">
        <v>48.16</v>
      </c>
      <c r="G813" s="4">
        <v>24</v>
      </c>
      <c r="H813" s="5">
        <v>0</v>
      </c>
    </row>
    <row r="814" spans="1:8" x14ac:dyDescent="0.35">
      <c r="A814" s="2" t="s">
        <v>666</v>
      </c>
      <c r="B814" s="2" t="s">
        <v>510</v>
      </c>
      <c r="C814" s="2" t="s">
        <v>639</v>
      </c>
      <c r="D814" s="2" t="s">
        <v>640</v>
      </c>
      <c r="E814" s="2" t="s">
        <v>641</v>
      </c>
      <c r="F814" s="3">
        <v>8.9600000000000009</v>
      </c>
      <c r="G814" s="4">
        <v>12</v>
      </c>
      <c r="H814" s="5">
        <v>0</v>
      </c>
    </row>
    <row r="815" spans="1:8" x14ac:dyDescent="0.35">
      <c r="A815" s="2" t="s">
        <v>666</v>
      </c>
      <c r="B815" s="2" t="s">
        <v>510</v>
      </c>
      <c r="C815" s="2" t="s">
        <v>642</v>
      </c>
      <c r="D815" s="2" t="s">
        <v>643</v>
      </c>
      <c r="E815" s="2" t="s">
        <v>644</v>
      </c>
      <c r="F815" s="3">
        <v>11.75</v>
      </c>
      <c r="G815" s="4">
        <v>12</v>
      </c>
      <c r="H815" s="5">
        <v>0</v>
      </c>
    </row>
    <row r="816" spans="1:8" x14ac:dyDescent="0.35">
      <c r="A816" s="2" t="s">
        <v>666</v>
      </c>
      <c r="B816" s="2" t="s">
        <v>510</v>
      </c>
      <c r="C816" s="2" t="s">
        <v>645</v>
      </c>
      <c r="D816" s="2" t="s">
        <v>646</v>
      </c>
      <c r="E816" s="2" t="s">
        <v>303</v>
      </c>
      <c r="F816" s="3">
        <v>39.81</v>
      </c>
      <c r="G816" s="4">
        <v>24</v>
      </c>
      <c r="H816" s="5">
        <v>0</v>
      </c>
    </row>
    <row r="817" spans="1:8" x14ac:dyDescent="0.35">
      <c r="A817" s="2" t="s">
        <v>666</v>
      </c>
      <c r="B817" s="2" t="s">
        <v>510</v>
      </c>
      <c r="C817" s="2" t="s">
        <v>660</v>
      </c>
      <c r="D817" s="2" t="s">
        <v>661</v>
      </c>
      <c r="E817" s="2" t="s">
        <v>303</v>
      </c>
      <c r="F817" s="3">
        <v>39.81</v>
      </c>
      <c r="G817" s="4">
        <v>12</v>
      </c>
      <c r="H817" s="5">
        <v>0</v>
      </c>
    </row>
    <row r="818" spans="1:8" x14ac:dyDescent="0.35">
      <c r="A818" s="2" t="s">
        <v>666</v>
      </c>
      <c r="B818" s="2" t="s">
        <v>510</v>
      </c>
      <c r="C818" s="2" t="s">
        <v>647</v>
      </c>
      <c r="D818" s="2" t="s">
        <v>648</v>
      </c>
      <c r="E818" s="2" t="s">
        <v>535</v>
      </c>
      <c r="F818" s="3">
        <v>57.39</v>
      </c>
      <c r="G818" s="4">
        <v>12</v>
      </c>
      <c r="H818" s="5">
        <v>0</v>
      </c>
    </row>
    <row r="819" spans="1:8" x14ac:dyDescent="0.35">
      <c r="A819" s="2" t="s">
        <v>666</v>
      </c>
      <c r="B819" s="2" t="s">
        <v>510</v>
      </c>
      <c r="C819" s="2" t="s">
        <v>649</v>
      </c>
      <c r="D819" s="2" t="s">
        <v>650</v>
      </c>
      <c r="E819" s="2" t="s">
        <v>275</v>
      </c>
      <c r="F819" s="3">
        <v>8.5</v>
      </c>
      <c r="G819" s="4">
        <v>12</v>
      </c>
      <c r="H819" s="5">
        <v>0</v>
      </c>
    </row>
    <row r="820" spans="1:8" x14ac:dyDescent="0.35">
      <c r="A820" s="2" t="s">
        <v>666</v>
      </c>
      <c r="B820" s="2" t="s">
        <v>510</v>
      </c>
      <c r="C820" s="2" t="s">
        <v>651</v>
      </c>
      <c r="D820" s="2" t="s">
        <v>652</v>
      </c>
      <c r="E820" s="2" t="s">
        <v>136</v>
      </c>
      <c r="F820" s="3">
        <v>84.23</v>
      </c>
      <c r="G820" s="4">
        <v>6</v>
      </c>
      <c r="H820" s="5">
        <v>0</v>
      </c>
    </row>
    <row r="821" spans="1:8" x14ac:dyDescent="0.35">
      <c r="A821" s="2" t="s">
        <v>666</v>
      </c>
      <c r="B821" s="2" t="s">
        <v>510</v>
      </c>
      <c r="C821" s="2" t="s">
        <v>653</v>
      </c>
      <c r="D821" s="2" t="s">
        <v>654</v>
      </c>
      <c r="E821" s="2" t="s">
        <v>190</v>
      </c>
      <c r="F821" s="3">
        <v>1.1100000000000001</v>
      </c>
      <c r="G821" s="4">
        <v>1</v>
      </c>
      <c r="H821" s="5">
        <v>0</v>
      </c>
    </row>
    <row r="822" spans="1:8" x14ac:dyDescent="0.35">
      <c r="A822" s="2" t="s">
        <v>666</v>
      </c>
      <c r="B822" s="2" t="s">
        <v>510</v>
      </c>
      <c r="C822" s="2" t="s">
        <v>662</v>
      </c>
      <c r="D822" s="2" t="s">
        <v>663</v>
      </c>
      <c r="E822" s="2" t="s">
        <v>664</v>
      </c>
      <c r="F822" s="3">
        <v>70000</v>
      </c>
      <c r="G822" s="4">
        <v>60</v>
      </c>
      <c r="H822" s="5">
        <v>5.0000000000000001E-3</v>
      </c>
    </row>
    <row r="823" spans="1:8" x14ac:dyDescent="0.35">
      <c r="A823" s="2" t="s">
        <v>666</v>
      </c>
      <c r="B823" s="2" t="s">
        <v>611</v>
      </c>
      <c r="C823" s="2" t="s">
        <v>612</v>
      </c>
      <c r="D823" s="2" t="s">
        <v>613</v>
      </c>
      <c r="E823" s="2" t="s">
        <v>147</v>
      </c>
      <c r="F823" s="3">
        <v>1365</v>
      </c>
      <c r="G823" s="4">
        <v>60</v>
      </c>
      <c r="H823" s="5">
        <v>7.4999999999999997E-3</v>
      </c>
    </row>
    <row r="824" spans="1:8" x14ac:dyDescent="0.35">
      <c r="A824" s="2" t="s">
        <v>666</v>
      </c>
      <c r="B824" s="2" t="s">
        <v>611</v>
      </c>
      <c r="C824" s="2" t="s">
        <v>614</v>
      </c>
      <c r="D824" s="2" t="s">
        <v>615</v>
      </c>
      <c r="E824" s="2" t="s">
        <v>193</v>
      </c>
      <c r="F824" s="3">
        <v>110</v>
      </c>
      <c r="G824" s="4">
        <v>36</v>
      </c>
      <c r="H824" s="5">
        <v>0</v>
      </c>
    </row>
    <row r="825" spans="1:8" x14ac:dyDescent="0.35">
      <c r="A825" s="2" t="s">
        <v>666</v>
      </c>
      <c r="B825" s="2" t="s">
        <v>611</v>
      </c>
      <c r="C825" s="2" t="s">
        <v>616</v>
      </c>
      <c r="D825" s="2" t="s">
        <v>617</v>
      </c>
      <c r="E825" s="2" t="s">
        <v>226</v>
      </c>
      <c r="F825" s="3">
        <v>3150</v>
      </c>
      <c r="G825" s="4">
        <v>60</v>
      </c>
      <c r="H825" s="5">
        <v>7.4999999999999997E-3</v>
      </c>
    </row>
    <row r="826" spans="1:8" x14ac:dyDescent="0.35">
      <c r="A826" s="2" t="s">
        <v>666</v>
      </c>
      <c r="B826" s="2" t="s">
        <v>611</v>
      </c>
      <c r="C826" s="2" t="s">
        <v>618</v>
      </c>
      <c r="D826" s="2" t="s">
        <v>619</v>
      </c>
      <c r="E826" s="2" t="s">
        <v>285</v>
      </c>
      <c r="F826" s="3">
        <v>160</v>
      </c>
      <c r="G826" s="4">
        <v>60</v>
      </c>
      <c r="H826" s="5">
        <v>0</v>
      </c>
    </row>
    <row r="827" spans="1:8" x14ac:dyDescent="0.35">
      <c r="A827" s="2" t="s">
        <v>666</v>
      </c>
      <c r="B827" s="2" t="s">
        <v>611</v>
      </c>
      <c r="C827" s="2" t="s">
        <v>620</v>
      </c>
      <c r="D827" s="2" t="s">
        <v>621</v>
      </c>
      <c r="E827" s="2" t="s">
        <v>92</v>
      </c>
      <c r="F827" s="3">
        <v>250</v>
      </c>
      <c r="G827" s="4">
        <v>36</v>
      </c>
      <c r="H827" s="5">
        <v>0</v>
      </c>
    </row>
    <row r="828" spans="1:8" x14ac:dyDescent="0.35">
      <c r="A828" s="2" t="s">
        <v>666</v>
      </c>
      <c r="B828" s="2" t="s">
        <v>611</v>
      </c>
      <c r="C828" s="2" t="s">
        <v>622</v>
      </c>
      <c r="D828" s="2" t="s">
        <v>623</v>
      </c>
      <c r="E828" s="2" t="s">
        <v>46</v>
      </c>
      <c r="F828" s="3">
        <v>250</v>
      </c>
      <c r="G828" s="4">
        <v>60</v>
      </c>
      <c r="H828" s="5">
        <v>0</v>
      </c>
    </row>
    <row r="829" spans="1:8" x14ac:dyDescent="0.35">
      <c r="A829" s="2" t="s">
        <v>666</v>
      </c>
      <c r="B829" s="2" t="s">
        <v>611</v>
      </c>
      <c r="C829" s="2" t="s">
        <v>624</v>
      </c>
      <c r="D829" s="2" t="s">
        <v>625</v>
      </c>
      <c r="E829" s="2" t="s">
        <v>169</v>
      </c>
      <c r="F829" s="3">
        <v>90</v>
      </c>
      <c r="G829" s="4">
        <v>60</v>
      </c>
      <c r="H829" s="5">
        <v>0</v>
      </c>
    </row>
    <row r="830" spans="1:8" x14ac:dyDescent="0.35">
      <c r="A830" s="2" t="s">
        <v>666</v>
      </c>
      <c r="B830" s="2" t="s">
        <v>611</v>
      </c>
      <c r="C830" s="2" t="s">
        <v>626</v>
      </c>
      <c r="D830" s="2" t="s">
        <v>627</v>
      </c>
      <c r="E830" s="2" t="s">
        <v>628</v>
      </c>
      <c r="F830" s="3">
        <v>1500</v>
      </c>
      <c r="G830" s="4">
        <v>36</v>
      </c>
      <c r="H830" s="5">
        <v>0</v>
      </c>
    </row>
    <row r="831" spans="1:8" x14ac:dyDescent="0.35">
      <c r="A831" s="2" t="s">
        <v>666</v>
      </c>
      <c r="B831" s="2" t="s">
        <v>611</v>
      </c>
      <c r="C831" s="2" t="s">
        <v>629</v>
      </c>
      <c r="D831" s="2" t="s">
        <v>630</v>
      </c>
      <c r="E831" s="2" t="s">
        <v>300</v>
      </c>
      <c r="F831" s="3">
        <v>55</v>
      </c>
      <c r="G831" s="4">
        <v>24</v>
      </c>
      <c r="H831" s="5">
        <v>0</v>
      </c>
    </row>
    <row r="832" spans="1:8" x14ac:dyDescent="0.35">
      <c r="A832" s="2" t="s">
        <v>666</v>
      </c>
      <c r="B832" s="2" t="s">
        <v>611</v>
      </c>
      <c r="C832" s="2" t="s">
        <v>631</v>
      </c>
      <c r="D832" s="2" t="s">
        <v>632</v>
      </c>
      <c r="E832" s="2" t="s">
        <v>322</v>
      </c>
      <c r="F832" s="3">
        <v>40.1</v>
      </c>
      <c r="G832" s="4">
        <v>60</v>
      </c>
      <c r="H832" s="5">
        <v>0</v>
      </c>
    </row>
    <row r="833" spans="1:8" x14ac:dyDescent="0.35">
      <c r="A833" s="2" t="s">
        <v>666</v>
      </c>
      <c r="B833" s="2" t="s">
        <v>611</v>
      </c>
      <c r="C833" s="2" t="s">
        <v>633</v>
      </c>
      <c r="D833" s="2" t="s">
        <v>634</v>
      </c>
      <c r="E833" s="2" t="s">
        <v>635</v>
      </c>
      <c r="F833" s="3">
        <v>14</v>
      </c>
      <c r="G833" s="4">
        <v>12</v>
      </c>
      <c r="H833" s="5">
        <v>0</v>
      </c>
    </row>
    <row r="834" spans="1:8" x14ac:dyDescent="0.35">
      <c r="A834" s="2" t="s">
        <v>666</v>
      </c>
      <c r="B834" s="2" t="s">
        <v>611</v>
      </c>
      <c r="C834" s="2" t="s">
        <v>636</v>
      </c>
      <c r="D834" s="2" t="s">
        <v>637</v>
      </c>
      <c r="E834" s="2" t="s">
        <v>638</v>
      </c>
      <c r="F834" s="3">
        <v>12</v>
      </c>
      <c r="G834" s="4">
        <v>12</v>
      </c>
      <c r="H834" s="5">
        <v>0</v>
      </c>
    </row>
    <row r="835" spans="1:8" x14ac:dyDescent="0.35">
      <c r="A835" s="2" t="s">
        <v>666</v>
      </c>
      <c r="B835" s="2" t="s">
        <v>611</v>
      </c>
      <c r="C835" s="2" t="s">
        <v>657</v>
      </c>
      <c r="D835" s="2" t="s">
        <v>658</v>
      </c>
      <c r="E835" s="2" t="s">
        <v>659</v>
      </c>
      <c r="F835" s="3">
        <v>15</v>
      </c>
      <c r="G835" s="4">
        <v>24</v>
      </c>
      <c r="H835" s="5">
        <v>0</v>
      </c>
    </row>
    <row r="836" spans="1:8" x14ac:dyDescent="0.35">
      <c r="A836" s="2" t="s">
        <v>666</v>
      </c>
      <c r="B836" s="2" t="s">
        <v>611</v>
      </c>
      <c r="C836" s="2" t="s">
        <v>639</v>
      </c>
      <c r="D836" s="2" t="s">
        <v>640</v>
      </c>
      <c r="E836" s="2" t="s">
        <v>641</v>
      </c>
      <c r="F836" s="3">
        <v>13</v>
      </c>
      <c r="G836" s="4">
        <v>12</v>
      </c>
      <c r="H836" s="5">
        <v>0</v>
      </c>
    </row>
    <row r="837" spans="1:8" x14ac:dyDescent="0.35">
      <c r="A837" s="2" t="s">
        <v>666</v>
      </c>
      <c r="B837" s="2" t="s">
        <v>611</v>
      </c>
      <c r="C837" s="2" t="s">
        <v>642</v>
      </c>
      <c r="D837" s="2" t="s">
        <v>643</v>
      </c>
      <c r="E837" s="2" t="s">
        <v>644</v>
      </c>
      <c r="F837" s="3">
        <v>16</v>
      </c>
      <c r="G837" s="4">
        <v>12</v>
      </c>
      <c r="H837" s="5">
        <v>0</v>
      </c>
    </row>
    <row r="838" spans="1:8" x14ac:dyDescent="0.35">
      <c r="A838" s="2" t="s">
        <v>666</v>
      </c>
      <c r="B838" s="2" t="s">
        <v>611</v>
      </c>
      <c r="C838" s="2" t="s">
        <v>645</v>
      </c>
      <c r="D838" s="2" t="s">
        <v>646</v>
      </c>
      <c r="E838" s="2" t="s">
        <v>303</v>
      </c>
      <c r="F838" s="3">
        <v>32</v>
      </c>
      <c r="G838" s="4">
        <v>24</v>
      </c>
      <c r="H838" s="5">
        <v>0</v>
      </c>
    </row>
    <row r="839" spans="1:8" x14ac:dyDescent="0.35">
      <c r="A839" s="2" t="s">
        <v>666</v>
      </c>
      <c r="B839" s="2" t="s">
        <v>611</v>
      </c>
      <c r="C839" s="2" t="s">
        <v>660</v>
      </c>
      <c r="D839" s="2" t="s">
        <v>661</v>
      </c>
      <c r="E839" s="2" t="s">
        <v>303</v>
      </c>
      <c r="F839" s="3">
        <v>9</v>
      </c>
      <c r="G839" s="4">
        <v>12</v>
      </c>
      <c r="H839" s="5">
        <v>0</v>
      </c>
    </row>
    <row r="840" spans="1:8" x14ac:dyDescent="0.35">
      <c r="A840" s="2" t="s">
        <v>666</v>
      </c>
      <c r="B840" s="2" t="s">
        <v>611</v>
      </c>
      <c r="C840" s="2" t="s">
        <v>647</v>
      </c>
      <c r="D840" s="2" t="s">
        <v>648</v>
      </c>
      <c r="E840" s="2" t="s">
        <v>535</v>
      </c>
      <c r="F840" s="3">
        <v>11</v>
      </c>
      <c r="G840" s="4">
        <v>12</v>
      </c>
      <c r="H840" s="5">
        <v>0</v>
      </c>
    </row>
    <row r="841" spans="1:8" x14ac:dyDescent="0.35">
      <c r="A841" s="2" t="s">
        <v>666</v>
      </c>
      <c r="B841" s="2" t="s">
        <v>611</v>
      </c>
      <c r="C841" s="2" t="s">
        <v>649</v>
      </c>
      <c r="D841" s="2" t="s">
        <v>650</v>
      </c>
      <c r="E841" s="2" t="s">
        <v>275</v>
      </c>
      <c r="F841" s="3">
        <v>4</v>
      </c>
      <c r="G841" s="4">
        <v>12</v>
      </c>
      <c r="H841" s="5">
        <v>0</v>
      </c>
    </row>
    <row r="842" spans="1:8" x14ac:dyDescent="0.35">
      <c r="A842" s="2" t="s">
        <v>666</v>
      </c>
      <c r="B842" s="2" t="s">
        <v>611</v>
      </c>
      <c r="C842" s="2" t="s">
        <v>651</v>
      </c>
      <c r="D842" s="2" t="s">
        <v>652</v>
      </c>
      <c r="E842" s="2" t="s">
        <v>136</v>
      </c>
      <c r="F842" s="3">
        <v>22</v>
      </c>
      <c r="G842" s="4">
        <v>6</v>
      </c>
      <c r="H842" s="5">
        <v>0</v>
      </c>
    </row>
    <row r="843" spans="1:8" x14ac:dyDescent="0.35">
      <c r="A843" s="2" t="s">
        <v>666</v>
      </c>
      <c r="B843" s="2" t="s">
        <v>611</v>
      </c>
      <c r="C843" s="2" t="s">
        <v>653</v>
      </c>
      <c r="D843" s="2" t="s">
        <v>654</v>
      </c>
      <c r="E843" s="2" t="s">
        <v>190</v>
      </c>
      <c r="F843" s="3">
        <v>0.5</v>
      </c>
      <c r="G843" s="4">
        <v>1</v>
      </c>
      <c r="H843" s="5">
        <v>0</v>
      </c>
    </row>
    <row r="844" spans="1:8" x14ac:dyDescent="0.35">
      <c r="A844" s="2" t="s">
        <v>666</v>
      </c>
      <c r="B844" s="2" t="s">
        <v>611</v>
      </c>
      <c r="C844" s="2" t="s">
        <v>662</v>
      </c>
      <c r="D844" s="2" t="s">
        <v>663</v>
      </c>
      <c r="E844" s="2" t="s">
        <v>664</v>
      </c>
      <c r="F844" s="3">
        <v>70000</v>
      </c>
      <c r="G844" s="4">
        <v>60</v>
      </c>
      <c r="H844" s="5">
        <v>5.0000000000000001E-3</v>
      </c>
    </row>
    <row r="845" spans="1:8" x14ac:dyDescent="0.35">
      <c r="A845" s="2" t="s">
        <v>666</v>
      </c>
      <c r="B845" s="2" t="s">
        <v>655</v>
      </c>
      <c r="C845" s="2" t="s">
        <v>612</v>
      </c>
      <c r="D845" s="2" t="s">
        <v>613</v>
      </c>
      <c r="E845" s="2" t="s">
        <v>147</v>
      </c>
      <c r="F845" s="3">
        <v>1365</v>
      </c>
      <c r="G845" s="4">
        <v>36</v>
      </c>
      <c r="H845" s="5">
        <v>7.4999999999999997E-3</v>
      </c>
    </row>
    <row r="846" spans="1:8" x14ac:dyDescent="0.35">
      <c r="A846" s="2" t="s">
        <v>666</v>
      </c>
      <c r="B846" s="2" t="s">
        <v>655</v>
      </c>
      <c r="C846" s="2" t="s">
        <v>614</v>
      </c>
      <c r="D846" s="2" t="s">
        <v>615</v>
      </c>
      <c r="E846" s="2" t="s">
        <v>193</v>
      </c>
      <c r="F846" s="3">
        <v>110</v>
      </c>
      <c r="G846" s="4">
        <v>36</v>
      </c>
      <c r="H846" s="5">
        <v>0</v>
      </c>
    </row>
    <row r="847" spans="1:8" x14ac:dyDescent="0.35">
      <c r="A847" s="2" t="s">
        <v>666</v>
      </c>
      <c r="B847" s="2" t="s">
        <v>655</v>
      </c>
      <c r="C847" s="2" t="s">
        <v>616</v>
      </c>
      <c r="D847" s="2" t="s">
        <v>617</v>
      </c>
      <c r="E847" s="2" t="s">
        <v>226</v>
      </c>
      <c r="F847" s="3">
        <v>4200</v>
      </c>
      <c r="G847" s="4">
        <v>36</v>
      </c>
      <c r="H847" s="5">
        <v>7.4999999999999997E-3</v>
      </c>
    </row>
    <row r="848" spans="1:8" x14ac:dyDescent="0.35">
      <c r="A848" s="2" t="s">
        <v>666</v>
      </c>
      <c r="B848" s="2" t="s">
        <v>655</v>
      </c>
      <c r="C848" s="2" t="s">
        <v>618</v>
      </c>
      <c r="D848" s="2" t="s">
        <v>619</v>
      </c>
      <c r="E848" s="2" t="s">
        <v>285</v>
      </c>
      <c r="F848" s="3">
        <v>160</v>
      </c>
      <c r="G848" s="4">
        <v>60</v>
      </c>
      <c r="H848" s="5">
        <v>0</v>
      </c>
    </row>
    <row r="849" spans="1:8" x14ac:dyDescent="0.35">
      <c r="A849" s="2" t="s">
        <v>666</v>
      </c>
      <c r="B849" s="2" t="s">
        <v>655</v>
      </c>
      <c r="C849" s="2" t="s">
        <v>620</v>
      </c>
      <c r="D849" s="2" t="s">
        <v>621</v>
      </c>
      <c r="E849" s="2" t="s">
        <v>92</v>
      </c>
      <c r="F849" s="3">
        <v>250</v>
      </c>
      <c r="G849" s="4">
        <v>36</v>
      </c>
      <c r="H849" s="5">
        <v>0</v>
      </c>
    </row>
    <row r="850" spans="1:8" x14ac:dyDescent="0.35">
      <c r="A850" s="2" t="s">
        <v>666</v>
      </c>
      <c r="B850" s="2" t="s">
        <v>655</v>
      </c>
      <c r="C850" s="2" t="s">
        <v>622</v>
      </c>
      <c r="D850" s="2" t="s">
        <v>623</v>
      </c>
      <c r="E850" s="2" t="s">
        <v>46</v>
      </c>
      <c r="F850" s="3">
        <v>250</v>
      </c>
      <c r="G850" s="4">
        <v>60</v>
      </c>
      <c r="H850" s="5">
        <v>0</v>
      </c>
    </row>
    <row r="851" spans="1:8" x14ac:dyDescent="0.35">
      <c r="A851" s="2" t="s">
        <v>666</v>
      </c>
      <c r="B851" s="2" t="s">
        <v>655</v>
      </c>
      <c r="C851" s="2" t="s">
        <v>624</v>
      </c>
      <c r="D851" s="2" t="s">
        <v>625</v>
      </c>
      <c r="E851" s="2" t="s">
        <v>169</v>
      </c>
      <c r="F851" s="3">
        <v>90</v>
      </c>
      <c r="G851" s="4">
        <v>60</v>
      </c>
      <c r="H851" s="5">
        <v>0</v>
      </c>
    </row>
    <row r="852" spans="1:8" x14ac:dyDescent="0.35">
      <c r="A852" s="2" t="s">
        <v>666</v>
      </c>
      <c r="B852" s="2" t="s">
        <v>655</v>
      </c>
      <c r="C852" s="2" t="s">
        <v>626</v>
      </c>
      <c r="D852" s="2" t="s">
        <v>627</v>
      </c>
      <c r="E852" s="2" t="s">
        <v>628</v>
      </c>
      <c r="F852" s="3">
        <v>1500</v>
      </c>
      <c r="G852" s="4">
        <v>36</v>
      </c>
      <c r="H852" s="5">
        <v>0</v>
      </c>
    </row>
    <row r="853" spans="1:8" x14ac:dyDescent="0.35">
      <c r="A853" s="2" t="s">
        <v>666</v>
      </c>
      <c r="B853" s="2" t="s">
        <v>655</v>
      </c>
      <c r="C853" s="2" t="s">
        <v>629</v>
      </c>
      <c r="D853" s="2" t="s">
        <v>630</v>
      </c>
      <c r="E853" s="2" t="s">
        <v>300</v>
      </c>
      <c r="F853" s="3">
        <v>55</v>
      </c>
      <c r="G853" s="4">
        <v>24</v>
      </c>
      <c r="H853" s="5">
        <v>0</v>
      </c>
    </row>
    <row r="854" spans="1:8" x14ac:dyDescent="0.35">
      <c r="A854" s="2" t="s">
        <v>666</v>
      </c>
      <c r="B854" s="2" t="s">
        <v>655</v>
      </c>
      <c r="C854" s="2" t="s">
        <v>631</v>
      </c>
      <c r="D854" s="2" t="s">
        <v>632</v>
      </c>
      <c r="E854" s="2" t="s">
        <v>322</v>
      </c>
      <c r="F854" s="3">
        <v>40.1</v>
      </c>
      <c r="G854" s="4">
        <v>60</v>
      </c>
      <c r="H854" s="5">
        <v>0</v>
      </c>
    </row>
    <row r="855" spans="1:8" x14ac:dyDescent="0.35">
      <c r="A855" s="2" t="s">
        <v>666</v>
      </c>
      <c r="B855" s="2" t="s">
        <v>655</v>
      </c>
      <c r="C855" s="2" t="s">
        <v>633</v>
      </c>
      <c r="D855" s="2" t="s">
        <v>634</v>
      </c>
      <c r="E855" s="2" t="s">
        <v>635</v>
      </c>
      <c r="F855" s="3">
        <v>14</v>
      </c>
      <c r="G855" s="4">
        <v>12</v>
      </c>
      <c r="H855" s="5">
        <v>0</v>
      </c>
    </row>
    <row r="856" spans="1:8" x14ac:dyDescent="0.35">
      <c r="A856" s="2" t="s">
        <v>666</v>
      </c>
      <c r="B856" s="2" t="s">
        <v>655</v>
      </c>
      <c r="C856" s="2" t="s">
        <v>636</v>
      </c>
      <c r="D856" s="2" t="s">
        <v>637</v>
      </c>
      <c r="E856" s="2" t="s">
        <v>638</v>
      </c>
      <c r="F856" s="3">
        <v>12</v>
      </c>
      <c r="G856" s="4">
        <v>12</v>
      </c>
      <c r="H856" s="5">
        <v>0</v>
      </c>
    </row>
    <row r="857" spans="1:8" x14ac:dyDescent="0.35">
      <c r="A857" s="2" t="s">
        <v>666</v>
      </c>
      <c r="B857" s="2" t="s">
        <v>655</v>
      </c>
      <c r="C857" s="2" t="s">
        <v>657</v>
      </c>
      <c r="D857" s="2" t="s">
        <v>658</v>
      </c>
      <c r="E857" s="2" t="s">
        <v>659</v>
      </c>
      <c r="F857" s="3">
        <v>15</v>
      </c>
      <c r="G857" s="4">
        <v>24</v>
      </c>
      <c r="H857" s="5">
        <v>0</v>
      </c>
    </row>
    <row r="858" spans="1:8" x14ac:dyDescent="0.35">
      <c r="A858" s="2" t="s">
        <v>666</v>
      </c>
      <c r="B858" s="2" t="s">
        <v>655</v>
      </c>
      <c r="C858" s="2" t="s">
        <v>639</v>
      </c>
      <c r="D858" s="2" t="s">
        <v>640</v>
      </c>
      <c r="E858" s="2" t="s">
        <v>641</v>
      </c>
      <c r="F858" s="3">
        <v>13</v>
      </c>
      <c r="G858" s="4">
        <v>12</v>
      </c>
      <c r="H858" s="5">
        <v>0</v>
      </c>
    </row>
    <row r="859" spans="1:8" x14ac:dyDescent="0.35">
      <c r="A859" s="2" t="s">
        <v>666</v>
      </c>
      <c r="B859" s="2" t="s">
        <v>655</v>
      </c>
      <c r="C859" s="2" t="s">
        <v>642</v>
      </c>
      <c r="D859" s="2" t="s">
        <v>643</v>
      </c>
      <c r="E859" s="2" t="s">
        <v>644</v>
      </c>
      <c r="F859" s="3">
        <v>16</v>
      </c>
      <c r="G859" s="4">
        <v>12</v>
      </c>
      <c r="H859" s="5">
        <v>0</v>
      </c>
    </row>
    <row r="860" spans="1:8" x14ac:dyDescent="0.35">
      <c r="A860" s="2" t="s">
        <v>666</v>
      </c>
      <c r="B860" s="2" t="s">
        <v>655</v>
      </c>
      <c r="C860" s="2" t="s">
        <v>645</v>
      </c>
      <c r="D860" s="2" t="s">
        <v>646</v>
      </c>
      <c r="E860" s="2" t="s">
        <v>303</v>
      </c>
      <c r="F860" s="3">
        <v>32</v>
      </c>
      <c r="G860" s="4">
        <v>24</v>
      </c>
      <c r="H860" s="5">
        <v>0</v>
      </c>
    </row>
    <row r="861" spans="1:8" x14ac:dyDescent="0.35">
      <c r="A861" s="2" t="s">
        <v>666</v>
      </c>
      <c r="B861" s="2" t="s">
        <v>655</v>
      </c>
      <c r="C861" s="2" t="s">
        <v>660</v>
      </c>
      <c r="D861" s="2" t="s">
        <v>661</v>
      </c>
      <c r="E861" s="2" t="s">
        <v>303</v>
      </c>
      <c r="F861" s="3">
        <v>9</v>
      </c>
      <c r="G861" s="4">
        <v>12</v>
      </c>
      <c r="H861" s="5">
        <v>0</v>
      </c>
    </row>
    <row r="862" spans="1:8" x14ac:dyDescent="0.35">
      <c r="A862" s="2" t="s">
        <v>666</v>
      </c>
      <c r="B862" s="2" t="s">
        <v>655</v>
      </c>
      <c r="C862" s="2" t="s">
        <v>647</v>
      </c>
      <c r="D862" s="2" t="s">
        <v>648</v>
      </c>
      <c r="E862" s="2" t="s">
        <v>535</v>
      </c>
      <c r="F862" s="3">
        <v>11</v>
      </c>
      <c r="G862" s="4">
        <v>12</v>
      </c>
      <c r="H862" s="5">
        <v>0</v>
      </c>
    </row>
    <row r="863" spans="1:8" x14ac:dyDescent="0.35">
      <c r="A863" s="2" t="s">
        <v>666</v>
      </c>
      <c r="B863" s="2" t="s">
        <v>655</v>
      </c>
      <c r="C863" s="2" t="s">
        <v>649</v>
      </c>
      <c r="D863" s="2" t="s">
        <v>650</v>
      </c>
      <c r="E863" s="2" t="s">
        <v>275</v>
      </c>
      <c r="F863" s="3">
        <v>4</v>
      </c>
      <c r="G863" s="4">
        <v>12</v>
      </c>
      <c r="H863" s="5">
        <v>0</v>
      </c>
    </row>
    <row r="864" spans="1:8" x14ac:dyDescent="0.35">
      <c r="A864" s="2" t="s">
        <v>666</v>
      </c>
      <c r="B864" s="2" t="s">
        <v>655</v>
      </c>
      <c r="C864" s="2" t="s">
        <v>651</v>
      </c>
      <c r="D864" s="2" t="s">
        <v>652</v>
      </c>
      <c r="E864" s="2" t="s">
        <v>136</v>
      </c>
      <c r="F864" s="3">
        <v>22</v>
      </c>
      <c r="G864" s="4">
        <v>6</v>
      </c>
      <c r="H864" s="5">
        <v>0</v>
      </c>
    </row>
    <row r="865" spans="1:8" x14ac:dyDescent="0.35">
      <c r="A865" s="2" t="s">
        <v>666</v>
      </c>
      <c r="B865" s="2" t="s">
        <v>655</v>
      </c>
      <c r="C865" s="2" t="s">
        <v>653</v>
      </c>
      <c r="D865" s="2" t="s">
        <v>654</v>
      </c>
      <c r="E865" s="2" t="s">
        <v>190</v>
      </c>
      <c r="F865" s="3">
        <v>0.5</v>
      </c>
      <c r="G865" s="4">
        <v>1</v>
      </c>
      <c r="H865" s="5">
        <v>0</v>
      </c>
    </row>
    <row r="866" spans="1:8" x14ac:dyDescent="0.35">
      <c r="A866" s="2" t="s">
        <v>666</v>
      </c>
      <c r="B866" s="2" t="s">
        <v>655</v>
      </c>
      <c r="C866" s="2" t="s">
        <v>662</v>
      </c>
      <c r="D866" s="2" t="s">
        <v>663</v>
      </c>
      <c r="E866" s="2" t="s">
        <v>664</v>
      </c>
      <c r="F866" s="3">
        <v>70000</v>
      </c>
      <c r="G866" s="4">
        <v>60</v>
      </c>
      <c r="H866" s="5">
        <v>5.0000000000000001E-3</v>
      </c>
    </row>
    <row r="867" spans="1:8" x14ac:dyDescent="0.35">
      <c r="A867" s="2" t="s">
        <v>666</v>
      </c>
      <c r="B867" s="2" t="s">
        <v>447</v>
      </c>
      <c r="C867" s="2" t="s">
        <v>612</v>
      </c>
      <c r="D867" s="2" t="s">
        <v>613</v>
      </c>
      <c r="E867" s="2" t="s">
        <v>147</v>
      </c>
      <c r="F867" s="3">
        <v>1499</v>
      </c>
      <c r="G867" s="4">
        <v>60</v>
      </c>
      <c r="H867" s="5">
        <v>7.4999999999999997E-3</v>
      </c>
    </row>
    <row r="868" spans="1:8" x14ac:dyDescent="0.35">
      <c r="A868" s="2" t="s">
        <v>666</v>
      </c>
      <c r="B868" s="2" t="s">
        <v>447</v>
      </c>
      <c r="C868" s="2" t="s">
        <v>614</v>
      </c>
      <c r="D868" s="2" t="s">
        <v>615</v>
      </c>
      <c r="E868" s="2" t="s">
        <v>193</v>
      </c>
      <c r="F868" s="3">
        <v>287.08999999999997</v>
      </c>
      <c r="G868" s="4">
        <v>36</v>
      </c>
      <c r="H868" s="5">
        <v>0</v>
      </c>
    </row>
    <row r="869" spans="1:8" x14ac:dyDescent="0.35">
      <c r="A869" s="2" t="s">
        <v>666</v>
      </c>
      <c r="B869" s="2" t="s">
        <v>447</v>
      </c>
      <c r="C869" s="2" t="s">
        <v>616</v>
      </c>
      <c r="D869" s="2" t="s">
        <v>617</v>
      </c>
      <c r="E869" s="2" t="s">
        <v>226</v>
      </c>
      <c r="F869" s="3">
        <v>4699.8999999999996</v>
      </c>
      <c r="G869" s="4">
        <v>60</v>
      </c>
      <c r="H869" s="5">
        <v>7.4999999999999997E-3</v>
      </c>
    </row>
    <row r="870" spans="1:8" x14ac:dyDescent="0.35">
      <c r="A870" s="2" t="s">
        <v>666</v>
      </c>
      <c r="B870" s="2" t="s">
        <v>447</v>
      </c>
      <c r="C870" s="2" t="s">
        <v>618</v>
      </c>
      <c r="D870" s="2" t="s">
        <v>619</v>
      </c>
      <c r="E870" s="2" t="s">
        <v>285</v>
      </c>
      <c r="F870" s="3">
        <v>380</v>
      </c>
      <c r="G870" s="4">
        <v>60</v>
      </c>
      <c r="H870" s="5">
        <v>0</v>
      </c>
    </row>
    <row r="871" spans="1:8" x14ac:dyDescent="0.35">
      <c r="A871" s="2" t="s">
        <v>666</v>
      </c>
      <c r="B871" s="2" t="s">
        <v>447</v>
      </c>
      <c r="C871" s="2" t="s">
        <v>620</v>
      </c>
      <c r="D871" s="2" t="s">
        <v>621</v>
      </c>
      <c r="E871" s="2" t="s">
        <v>92</v>
      </c>
      <c r="F871" s="3">
        <v>950</v>
      </c>
      <c r="G871" s="4">
        <v>36</v>
      </c>
      <c r="H871" s="5">
        <v>0</v>
      </c>
    </row>
    <row r="872" spans="1:8" x14ac:dyDescent="0.35">
      <c r="A872" s="2" t="s">
        <v>666</v>
      </c>
      <c r="B872" s="2" t="s">
        <v>447</v>
      </c>
      <c r="C872" s="2" t="s">
        <v>622</v>
      </c>
      <c r="D872" s="2" t="s">
        <v>623</v>
      </c>
      <c r="E872" s="2" t="s">
        <v>46</v>
      </c>
      <c r="F872" s="3">
        <v>267.83999999999997</v>
      </c>
      <c r="G872" s="4">
        <v>60</v>
      </c>
      <c r="H872" s="5">
        <v>0</v>
      </c>
    </row>
    <row r="873" spans="1:8" x14ac:dyDescent="0.35">
      <c r="A873" s="2" t="s">
        <v>666</v>
      </c>
      <c r="B873" s="2" t="s">
        <v>447</v>
      </c>
      <c r="C873" s="2" t="s">
        <v>624</v>
      </c>
      <c r="D873" s="2" t="s">
        <v>625</v>
      </c>
      <c r="E873" s="2" t="s">
        <v>169</v>
      </c>
      <c r="F873" s="3">
        <v>149.9</v>
      </c>
      <c r="G873" s="4">
        <v>60</v>
      </c>
      <c r="H873" s="5">
        <v>0</v>
      </c>
    </row>
    <row r="874" spans="1:8" x14ac:dyDescent="0.35">
      <c r="A874" s="2" t="s">
        <v>666</v>
      </c>
      <c r="B874" s="2" t="s">
        <v>447</v>
      </c>
      <c r="C874" s="2" t="s">
        <v>626</v>
      </c>
      <c r="D874" s="2" t="s">
        <v>627</v>
      </c>
      <c r="E874" s="2" t="s">
        <v>628</v>
      </c>
      <c r="F874" s="3">
        <v>2590</v>
      </c>
      <c r="G874" s="4">
        <v>36</v>
      </c>
      <c r="H874" s="5">
        <v>0</v>
      </c>
    </row>
    <row r="875" spans="1:8" x14ac:dyDescent="0.35">
      <c r="A875" s="2" t="s">
        <v>666</v>
      </c>
      <c r="B875" s="2" t="s">
        <v>447</v>
      </c>
      <c r="C875" s="2" t="s">
        <v>629</v>
      </c>
      <c r="D875" s="2" t="s">
        <v>630</v>
      </c>
      <c r="E875" s="2" t="s">
        <v>300</v>
      </c>
      <c r="F875" s="3">
        <v>55</v>
      </c>
      <c r="G875" s="4">
        <v>24</v>
      </c>
      <c r="H875" s="5">
        <v>0</v>
      </c>
    </row>
    <row r="876" spans="1:8" x14ac:dyDescent="0.35">
      <c r="A876" s="2" t="s">
        <v>666</v>
      </c>
      <c r="B876" s="2" t="s">
        <v>447</v>
      </c>
      <c r="C876" s="2" t="s">
        <v>631</v>
      </c>
      <c r="D876" s="2" t="s">
        <v>632</v>
      </c>
      <c r="E876" s="2" t="s">
        <v>322</v>
      </c>
      <c r="F876" s="3">
        <v>55</v>
      </c>
      <c r="G876" s="4">
        <v>60</v>
      </c>
      <c r="H876" s="5">
        <v>0</v>
      </c>
    </row>
    <row r="877" spans="1:8" x14ac:dyDescent="0.35">
      <c r="A877" s="2" t="s">
        <v>666</v>
      </c>
      <c r="B877" s="2" t="s">
        <v>447</v>
      </c>
      <c r="C877" s="2" t="s">
        <v>633</v>
      </c>
      <c r="D877" s="2" t="s">
        <v>634</v>
      </c>
      <c r="E877" s="2" t="s">
        <v>635</v>
      </c>
      <c r="F877" s="3">
        <v>14</v>
      </c>
      <c r="G877" s="4">
        <v>12</v>
      </c>
      <c r="H877" s="5">
        <v>0</v>
      </c>
    </row>
    <row r="878" spans="1:8" x14ac:dyDescent="0.35">
      <c r="A878" s="2" t="s">
        <v>666</v>
      </c>
      <c r="B878" s="2" t="s">
        <v>447</v>
      </c>
      <c r="C878" s="2" t="s">
        <v>636</v>
      </c>
      <c r="D878" s="2" t="s">
        <v>637</v>
      </c>
      <c r="E878" s="2" t="s">
        <v>638</v>
      </c>
      <c r="F878" s="3">
        <v>12</v>
      </c>
      <c r="G878" s="4">
        <v>12</v>
      </c>
      <c r="H878" s="5">
        <v>0</v>
      </c>
    </row>
    <row r="879" spans="1:8" x14ac:dyDescent="0.35">
      <c r="A879" s="2" t="s">
        <v>666</v>
      </c>
      <c r="B879" s="2" t="s">
        <v>447</v>
      </c>
      <c r="C879" s="2" t="s">
        <v>657</v>
      </c>
      <c r="D879" s="2" t="s">
        <v>658</v>
      </c>
      <c r="E879" s="2" t="s">
        <v>659</v>
      </c>
      <c r="F879" s="3">
        <v>15</v>
      </c>
      <c r="G879" s="4">
        <v>24</v>
      </c>
      <c r="H879" s="5">
        <v>0</v>
      </c>
    </row>
    <row r="880" spans="1:8" x14ac:dyDescent="0.35">
      <c r="A880" s="2" t="s">
        <v>666</v>
      </c>
      <c r="B880" s="2" t="s">
        <v>447</v>
      </c>
      <c r="C880" s="2" t="s">
        <v>639</v>
      </c>
      <c r="D880" s="2" t="s">
        <v>640</v>
      </c>
      <c r="E880" s="2" t="s">
        <v>641</v>
      </c>
      <c r="F880" s="3">
        <v>13</v>
      </c>
      <c r="G880" s="4">
        <v>12</v>
      </c>
      <c r="H880" s="5">
        <v>0</v>
      </c>
    </row>
    <row r="881" spans="1:8" x14ac:dyDescent="0.35">
      <c r="A881" s="2" t="s">
        <v>666</v>
      </c>
      <c r="B881" s="2" t="s">
        <v>447</v>
      </c>
      <c r="C881" s="2" t="s">
        <v>642</v>
      </c>
      <c r="D881" s="2" t="s">
        <v>643</v>
      </c>
      <c r="E881" s="2" t="s">
        <v>644</v>
      </c>
      <c r="F881" s="3">
        <v>16</v>
      </c>
      <c r="G881" s="4">
        <v>12</v>
      </c>
      <c r="H881" s="5">
        <v>0</v>
      </c>
    </row>
    <row r="882" spans="1:8" x14ac:dyDescent="0.35">
      <c r="A882" s="2" t="s">
        <v>666</v>
      </c>
      <c r="B882" s="2" t="s">
        <v>447</v>
      </c>
      <c r="C882" s="2" t="s">
        <v>645</v>
      </c>
      <c r="D882" s="2" t="s">
        <v>646</v>
      </c>
      <c r="E882" s="2" t="s">
        <v>303</v>
      </c>
      <c r="F882" s="3">
        <v>32</v>
      </c>
      <c r="G882" s="4">
        <v>24</v>
      </c>
      <c r="H882" s="5">
        <v>0</v>
      </c>
    </row>
    <row r="883" spans="1:8" x14ac:dyDescent="0.35">
      <c r="A883" s="2" t="s">
        <v>666</v>
      </c>
      <c r="B883" s="2" t="s">
        <v>447</v>
      </c>
      <c r="C883" s="2" t="s">
        <v>660</v>
      </c>
      <c r="D883" s="2" t="s">
        <v>661</v>
      </c>
      <c r="E883" s="2" t="s">
        <v>303</v>
      </c>
      <c r="F883" s="3">
        <v>9</v>
      </c>
      <c r="G883" s="4">
        <v>12</v>
      </c>
      <c r="H883" s="5">
        <v>0</v>
      </c>
    </row>
    <row r="884" spans="1:8" x14ac:dyDescent="0.35">
      <c r="A884" s="2" t="s">
        <v>666</v>
      </c>
      <c r="B884" s="2" t="s">
        <v>447</v>
      </c>
      <c r="C884" s="2" t="s">
        <v>647</v>
      </c>
      <c r="D884" s="2" t="s">
        <v>648</v>
      </c>
      <c r="E884" s="2" t="s">
        <v>535</v>
      </c>
      <c r="F884" s="3">
        <v>11</v>
      </c>
      <c r="G884" s="4">
        <v>12</v>
      </c>
      <c r="H884" s="5">
        <v>0</v>
      </c>
    </row>
    <row r="885" spans="1:8" x14ac:dyDescent="0.35">
      <c r="A885" s="2" t="s">
        <v>666</v>
      </c>
      <c r="B885" s="2" t="s">
        <v>447</v>
      </c>
      <c r="C885" s="2" t="s">
        <v>649</v>
      </c>
      <c r="D885" s="2" t="s">
        <v>650</v>
      </c>
      <c r="E885" s="2" t="s">
        <v>275</v>
      </c>
      <c r="F885" s="3">
        <v>4</v>
      </c>
      <c r="G885" s="4">
        <v>12</v>
      </c>
      <c r="H885" s="5">
        <v>0</v>
      </c>
    </row>
    <row r="886" spans="1:8" x14ac:dyDescent="0.35">
      <c r="A886" s="2" t="s">
        <v>666</v>
      </c>
      <c r="B886" s="2" t="s">
        <v>447</v>
      </c>
      <c r="C886" s="2" t="s">
        <v>651</v>
      </c>
      <c r="D886" s="2" t="s">
        <v>652</v>
      </c>
      <c r="E886" s="2" t="s">
        <v>136</v>
      </c>
      <c r="F886" s="3">
        <v>22</v>
      </c>
      <c r="G886" s="4">
        <v>6</v>
      </c>
      <c r="H886" s="5">
        <v>0</v>
      </c>
    </row>
    <row r="887" spans="1:8" x14ac:dyDescent="0.35">
      <c r="A887" s="2" t="s">
        <v>666</v>
      </c>
      <c r="B887" s="2" t="s">
        <v>447</v>
      </c>
      <c r="C887" s="2" t="s">
        <v>653</v>
      </c>
      <c r="D887" s="2" t="s">
        <v>654</v>
      </c>
      <c r="E887" s="2" t="s">
        <v>190</v>
      </c>
      <c r="F887" s="3">
        <v>0.5</v>
      </c>
      <c r="G887" s="4">
        <v>1</v>
      </c>
      <c r="H887" s="5">
        <v>0</v>
      </c>
    </row>
    <row r="888" spans="1:8" x14ac:dyDescent="0.35">
      <c r="A888" s="2" t="s">
        <v>666</v>
      </c>
      <c r="B888" s="2" t="s">
        <v>447</v>
      </c>
      <c r="C888" s="2" t="s">
        <v>662</v>
      </c>
      <c r="D888" s="2" t="s">
        <v>663</v>
      </c>
      <c r="E888" s="2" t="s">
        <v>664</v>
      </c>
      <c r="F888" s="3">
        <v>70000</v>
      </c>
      <c r="G888" s="4">
        <v>60</v>
      </c>
      <c r="H888" s="5">
        <v>5.0000000000000001E-3</v>
      </c>
    </row>
    <row r="889" spans="1:8" x14ac:dyDescent="0.35">
      <c r="A889" s="2" t="s">
        <v>667</v>
      </c>
      <c r="B889" s="2" t="s">
        <v>510</v>
      </c>
      <c r="C889" s="2" t="s">
        <v>612</v>
      </c>
      <c r="D889" s="2" t="s">
        <v>613</v>
      </c>
      <c r="E889" s="2" t="s">
        <v>147</v>
      </c>
      <c r="F889" s="3">
        <v>3500</v>
      </c>
      <c r="G889" s="4">
        <v>36</v>
      </c>
      <c r="H889" s="5">
        <v>7.4999999999999997E-3</v>
      </c>
    </row>
    <row r="890" spans="1:8" x14ac:dyDescent="0.35">
      <c r="A890" s="2" t="s">
        <v>667</v>
      </c>
      <c r="B890" s="2" t="s">
        <v>510</v>
      </c>
      <c r="C890" s="2" t="s">
        <v>614</v>
      </c>
      <c r="D890" s="2" t="s">
        <v>615</v>
      </c>
      <c r="E890" s="2" t="s">
        <v>193</v>
      </c>
      <c r="F890" s="3">
        <v>263.91000000000003</v>
      </c>
      <c r="G890" s="4">
        <v>24</v>
      </c>
      <c r="H890" s="5">
        <v>0</v>
      </c>
    </row>
    <row r="891" spans="1:8" x14ac:dyDescent="0.35">
      <c r="A891" s="2" t="s">
        <v>667</v>
      </c>
      <c r="B891" s="2" t="s">
        <v>510</v>
      </c>
      <c r="C891" s="2" t="s">
        <v>616</v>
      </c>
      <c r="D891" s="2" t="s">
        <v>617</v>
      </c>
      <c r="E891" s="2" t="s">
        <v>226</v>
      </c>
      <c r="F891" s="3">
        <v>2583.1999999999998</v>
      </c>
      <c r="G891" s="4">
        <v>36</v>
      </c>
      <c r="H891" s="5">
        <v>7.4999999999999997E-3</v>
      </c>
    </row>
    <row r="892" spans="1:8" x14ac:dyDescent="0.35">
      <c r="A892" s="2" t="s">
        <v>667</v>
      </c>
      <c r="B892" s="2" t="s">
        <v>510</v>
      </c>
      <c r="C892" s="2" t="s">
        <v>618</v>
      </c>
      <c r="D892" s="2" t="s">
        <v>619</v>
      </c>
      <c r="E892" s="2" t="s">
        <v>285</v>
      </c>
      <c r="F892" s="3">
        <v>399</v>
      </c>
      <c r="G892" s="4">
        <v>24</v>
      </c>
      <c r="H892" s="5">
        <v>0</v>
      </c>
    </row>
    <row r="893" spans="1:8" x14ac:dyDescent="0.35">
      <c r="A893" s="2" t="s">
        <v>667</v>
      </c>
      <c r="B893" s="2" t="s">
        <v>510</v>
      </c>
      <c r="C893" s="2" t="s">
        <v>620</v>
      </c>
      <c r="D893" s="2" t="s">
        <v>621</v>
      </c>
      <c r="E893" s="2" t="s">
        <v>92</v>
      </c>
      <c r="F893" s="3">
        <v>1250.7</v>
      </c>
      <c r="G893" s="4">
        <v>24</v>
      </c>
      <c r="H893" s="5">
        <v>0</v>
      </c>
    </row>
    <row r="894" spans="1:8" x14ac:dyDescent="0.35">
      <c r="A894" s="2" t="s">
        <v>667</v>
      </c>
      <c r="B894" s="2" t="s">
        <v>510</v>
      </c>
      <c r="C894" s="2" t="s">
        <v>622</v>
      </c>
      <c r="D894" s="2" t="s">
        <v>623</v>
      </c>
      <c r="E894" s="2" t="s">
        <v>46</v>
      </c>
      <c r="F894" s="3">
        <v>2418.25</v>
      </c>
      <c r="G894" s="4">
        <v>36</v>
      </c>
      <c r="H894" s="5">
        <v>0</v>
      </c>
    </row>
    <row r="895" spans="1:8" x14ac:dyDescent="0.35">
      <c r="A895" s="2" t="s">
        <v>667</v>
      </c>
      <c r="B895" s="2" t="s">
        <v>510</v>
      </c>
      <c r="C895" s="2" t="s">
        <v>624</v>
      </c>
      <c r="D895" s="2" t="s">
        <v>625</v>
      </c>
      <c r="E895" s="2" t="s">
        <v>169</v>
      </c>
      <c r="F895" s="3">
        <v>272.87</v>
      </c>
      <c r="G895" s="4">
        <v>24</v>
      </c>
      <c r="H895" s="5">
        <v>0</v>
      </c>
    </row>
    <row r="896" spans="1:8" x14ac:dyDescent="0.35">
      <c r="A896" s="2" t="s">
        <v>667</v>
      </c>
      <c r="B896" s="2" t="s">
        <v>510</v>
      </c>
      <c r="C896" s="2" t="s">
        <v>668</v>
      </c>
      <c r="D896" s="2" t="s">
        <v>669</v>
      </c>
      <c r="E896" s="2" t="s">
        <v>670</v>
      </c>
      <c r="F896" s="3">
        <v>5000</v>
      </c>
      <c r="G896" s="4">
        <v>36</v>
      </c>
      <c r="H896" s="5">
        <v>0</v>
      </c>
    </row>
    <row r="897" spans="1:8" x14ac:dyDescent="0.35">
      <c r="A897" s="2" t="s">
        <v>667</v>
      </c>
      <c r="B897" s="2" t="s">
        <v>510</v>
      </c>
      <c r="C897" s="2" t="s">
        <v>462</v>
      </c>
      <c r="D897" s="2" t="s">
        <v>463</v>
      </c>
      <c r="E897" s="2" t="s">
        <v>315</v>
      </c>
      <c r="F897" s="3">
        <v>197.08</v>
      </c>
      <c r="G897" s="4">
        <v>36</v>
      </c>
      <c r="H897" s="5">
        <v>0</v>
      </c>
    </row>
    <row r="898" spans="1:8" x14ac:dyDescent="0.35">
      <c r="A898" s="2" t="s">
        <v>667</v>
      </c>
      <c r="B898" s="2" t="s">
        <v>510</v>
      </c>
      <c r="C898" s="2" t="s">
        <v>671</v>
      </c>
      <c r="D898" s="2" t="s">
        <v>672</v>
      </c>
      <c r="E898" s="6" t="s">
        <v>315</v>
      </c>
      <c r="F898" s="3">
        <v>290</v>
      </c>
      <c r="G898" s="4">
        <v>36</v>
      </c>
      <c r="H898" s="5">
        <v>0</v>
      </c>
    </row>
    <row r="899" spans="1:8" x14ac:dyDescent="0.35">
      <c r="A899" s="2" t="s">
        <v>667</v>
      </c>
      <c r="B899" s="2" t="s">
        <v>510</v>
      </c>
      <c r="C899" s="2" t="s">
        <v>673</v>
      </c>
      <c r="D899" s="2" t="s">
        <v>317</v>
      </c>
      <c r="E899" s="2" t="s">
        <v>248</v>
      </c>
      <c r="F899" s="3">
        <v>450</v>
      </c>
      <c r="G899" s="4">
        <v>12</v>
      </c>
      <c r="H899" s="5">
        <v>0</v>
      </c>
    </row>
    <row r="900" spans="1:8" x14ac:dyDescent="0.35">
      <c r="A900" s="2" t="s">
        <v>667</v>
      </c>
      <c r="B900" s="2" t="s">
        <v>510</v>
      </c>
      <c r="C900" s="2" t="s">
        <v>626</v>
      </c>
      <c r="D900" s="2" t="s">
        <v>627</v>
      </c>
      <c r="E900" s="2" t="s">
        <v>628</v>
      </c>
      <c r="F900" s="3">
        <v>3300</v>
      </c>
      <c r="G900" s="4">
        <v>36</v>
      </c>
      <c r="H900" s="5">
        <v>0</v>
      </c>
    </row>
    <row r="901" spans="1:8" x14ac:dyDescent="0.35">
      <c r="A901" s="2" t="s">
        <v>667</v>
      </c>
      <c r="B901" s="2" t="s">
        <v>510</v>
      </c>
      <c r="C901" s="2" t="s">
        <v>629</v>
      </c>
      <c r="D901" s="2" t="s">
        <v>630</v>
      </c>
      <c r="E901" s="2" t="s">
        <v>300</v>
      </c>
      <c r="F901" s="3">
        <v>52.61</v>
      </c>
      <c r="G901" s="4">
        <v>24</v>
      </c>
      <c r="H901" s="5">
        <v>0</v>
      </c>
    </row>
    <row r="902" spans="1:8" x14ac:dyDescent="0.35">
      <c r="A902" s="2" t="s">
        <v>667</v>
      </c>
      <c r="B902" s="2" t="s">
        <v>510</v>
      </c>
      <c r="C902" s="2" t="s">
        <v>631</v>
      </c>
      <c r="D902" s="2" t="s">
        <v>632</v>
      </c>
      <c r="E902" s="2" t="s">
        <v>322</v>
      </c>
      <c r="F902" s="3">
        <v>43.43</v>
      </c>
      <c r="G902" s="4">
        <v>24</v>
      </c>
      <c r="H902" s="5">
        <v>0</v>
      </c>
    </row>
    <row r="903" spans="1:8" x14ac:dyDescent="0.35">
      <c r="A903" s="2" t="s">
        <v>667</v>
      </c>
      <c r="B903" s="2" t="s">
        <v>510</v>
      </c>
      <c r="C903" s="2" t="s">
        <v>633</v>
      </c>
      <c r="D903" s="2" t="s">
        <v>634</v>
      </c>
      <c r="E903" s="2" t="s">
        <v>635</v>
      </c>
      <c r="F903" s="3">
        <v>17</v>
      </c>
      <c r="G903" s="4">
        <v>12</v>
      </c>
      <c r="H903" s="5">
        <v>0</v>
      </c>
    </row>
    <row r="904" spans="1:8" x14ac:dyDescent="0.35">
      <c r="A904" s="2" t="s">
        <v>667</v>
      </c>
      <c r="B904" s="2" t="s">
        <v>510</v>
      </c>
      <c r="C904" s="2" t="s">
        <v>636</v>
      </c>
      <c r="D904" s="2" t="s">
        <v>637</v>
      </c>
      <c r="E904" s="2" t="s">
        <v>638</v>
      </c>
      <c r="F904" s="3">
        <v>16</v>
      </c>
      <c r="G904" s="4">
        <v>12</v>
      </c>
      <c r="H904" s="5">
        <v>0</v>
      </c>
    </row>
    <row r="905" spans="1:8" x14ac:dyDescent="0.35">
      <c r="A905" s="2" t="s">
        <v>667</v>
      </c>
      <c r="B905" s="2" t="s">
        <v>510</v>
      </c>
      <c r="C905" s="2" t="s">
        <v>657</v>
      </c>
      <c r="D905" s="2" t="s">
        <v>658</v>
      </c>
      <c r="E905" s="2" t="s">
        <v>659</v>
      </c>
      <c r="F905" s="3">
        <v>48.16</v>
      </c>
      <c r="G905" s="4">
        <v>12</v>
      </c>
      <c r="H905" s="5">
        <v>0</v>
      </c>
    </row>
    <row r="906" spans="1:8" x14ac:dyDescent="0.35">
      <c r="A906" s="2" t="s">
        <v>667</v>
      </c>
      <c r="B906" s="2" t="s">
        <v>510</v>
      </c>
      <c r="C906" s="2" t="s">
        <v>639</v>
      </c>
      <c r="D906" s="2" t="s">
        <v>640</v>
      </c>
      <c r="E906" s="2" t="s">
        <v>641</v>
      </c>
      <c r="F906" s="3">
        <v>8.9600000000000009</v>
      </c>
      <c r="G906" s="4">
        <v>12</v>
      </c>
      <c r="H906" s="5">
        <v>0</v>
      </c>
    </row>
    <row r="907" spans="1:8" x14ac:dyDescent="0.35">
      <c r="A907" s="2" t="s">
        <v>667</v>
      </c>
      <c r="B907" s="2" t="s">
        <v>510</v>
      </c>
      <c r="C907" s="2" t="s">
        <v>642</v>
      </c>
      <c r="D907" s="2" t="s">
        <v>643</v>
      </c>
      <c r="E907" s="2" t="s">
        <v>644</v>
      </c>
      <c r="F907" s="3">
        <v>11.75</v>
      </c>
      <c r="G907" s="4">
        <v>12</v>
      </c>
      <c r="H907" s="5">
        <v>0</v>
      </c>
    </row>
    <row r="908" spans="1:8" x14ac:dyDescent="0.35">
      <c r="A908" s="2" t="s">
        <v>667</v>
      </c>
      <c r="B908" s="2" t="s">
        <v>510</v>
      </c>
      <c r="C908" s="2" t="s">
        <v>645</v>
      </c>
      <c r="D908" s="2" t="s">
        <v>646</v>
      </c>
      <c r="E908" s="2" t="s">
        <v>303</v>
      </c>
      <c r="F908" s="3">
        <v>39.81</v>
      </c>
      <c r="G908" s="4">
        <v>24</v>
      </c>
      <c r="H908" s="5">
        <v>0</v>
      </c>
    </row>
    <row r="909" spans="1:8" x14ac:dyDescent="0.35">
      <c r="A909" s="2" t="s">
        <v>667</v>
      </c>
      <c r="B909" s="2" t="s">
        <v>510</v>
      </c>
      <c r="C909" s="2" t="s">
        <v>660</v>
      </c>
      <c r="D909" s="2" t="s">
        <v>661</v>
      </c>
      <c r="E909" s="2" t="s">
        <v>303</v>
      </c>
      <c r="F909" s="3">
        <v>39.81</v>
      </c>
      <c r="G909" s="4">
        <v>12</v>
      </c>
      <c r="H909" s="5">
        <v>0</v>
      </c>
    </row>
    <row r="910" spans="1:8" x14ac:dyDescent="0.35">
      <c r="A910" s="2" t="s">
        <v>667</v>
      </c>
      <c r="B910" s="2" t="s">
        <v>510</v>
      </c>
      <c r="C910" s="2" t="s">
        <v>647</v>
      </c>
      <c r="D910" s="2" t="s">
        <v>648</v>
      </c>
      <c r="E910" s="2" t="s">
        <v>535</v>
      </c>
      <c r="F910" s="3">
        <v>57.39</v>
      </c>
      <c r="G910" s="4">
        <v>12</v>
      </c>
      <c r="H910" s="5">
        <v>0</v>
      </c>
    </row>
    <row r="911" spans="1:8" x14ac:dyDescent="0.35">
      <c r="A911" s="2" t="s">
        <v>667</v>
      </c>
      <c r="B911" s="2" t="s">
        <v>510</v>
      </c>
      <c r="C911" s="2" t="s">
        <v>649</v>
      </c>
      <c r="D911" s="2" t="s">
        <v>650</v>
      </c>
      <c r="E911" s="2" t="s">
        <v>275</v>
      </c>
      <c r="F911" s="3">
        <v>8.5</v>
      </c>
      <c r="G911" s="4">
        <v>12</v>
      </c>
      <c r="H911" s="5">
        <v>0</v>
      </c>
    </row>
    <row r="912" spans="1:8" x14ac:dyDescent="0.35">
      <c r="A912" s="2" t="s">
        <v>667</v>
      </c>
      <c r="B912" s="2" t="s">
        <v>510</v>
      </c>
      <c r="C912" s="2" t="s">
        <v>651</v>
      </c>
      <c r="D912" s="2" t="s">
        <v>652</v>
      </c>
      <c r="E912" s="2" t="s">
        <v>136</v>
      </c>
      <c r="F912" s="3">
        <v>84.23</v>
      </c>
      <c r="G912" s="4">
        <v>6</v>
      </c>
      <c r="H912" s="5">
        <v>0</v>
      </c>
    </row>
    <row r="913" spans="1:8" x14ac:dyDescent="0.35">
      <c r="A913" s="2" t="s">
        <v>667</v>
      </c>
      <c r="B913" s="2" t="s">
        <v>510</v>
      </c>
      <c r="C913" s="2" t="s">
        <v>653</v>
      </c>
      <c r="D913" s="2" t="s">
        <v>654</v>
      </c>
      <c r="E913" s="2" t="s">
        <v>190</v>
      </c>
      <c r="F913" s="3">
        <v>1.1100000000000001</v>
      </c>
      <c r="G913" s="4">
        <v>1</v>
      </c>
      <c r="H913" s="5">
        <v>0</v>
      </c>
    </row>
    <row r="914" spans="1:8" x14ac:dyDescent="0.35">
      <c r="A914" s="2" t="s">
        <v>667</v>
      </c>
      <c r="B914" s="2" t="s">
        <v>611</v>
      </c>
      <c r="C914" s="2" t="s">
        <v>612</v>
      </c>
      <c r="D914" s="2" t="s">
        <v>613</v>
      </c>
      <c r="E914" s="2" t="s">
        <v>147</v>
      </c>
      <c r="F914" s="3">
        <v>1365</v>
      </c>
      <c r="G914" s="4">
        <v>60</v>
      </c>
      <c r="H914" s="5">
        <v>7.4999999999999997E-3</v>
      </c>
    </row>
    <row r="915" spans="1:8" x14ac:dyDescent="0.35">
      <c r="A915" s="2" t="s">
        <v>667</v>
      </c>
      <c r="B915" s="2" t="s">
        <v>611</v>
      </c>
      <c r="C915" s="2" t="s">
        <v>614</v>
      </c>
      <c r="D915" s="2" t="s">
        <v>615</v>
      </c>
      <c r="E915" s="2" t="s">
        <v>193</v>
      </c>
      <c r="F915" s="3">
        <v>110</v>
      </c>
      <c r="G915" s="4">
        <v>36</v>
      </c>
      <c r="H915" s="5">
        <v>0</v>
      </c>
    </row>
    <row r="916" spans="1:8" x14ac:dyDescent="0.35">
      <c r="A916" s="2" t="s">
        <v>667</v>
      </c>
      <c r="B916" s="2" t="s">
        <v>611</v>
      </c>
      <c r="C916" s="2" t="s">
        <v>616</v>
      </c>
      <c r="D916" s="2" t="s">
        <v>617</v>
      </c>
      <c r="E916" s="2" t="s">
        <v>226</v>
      </c>
      <c r="F916" s="3">
        <v>3150</v>
      </c>
      <c r="G916" s="4">
        <v>60</v>
      </c>
      <c r="H916" s="5">
        <v>7.4999999999999997E-3</v>
      </c>
    </row>
    <row r="917" spans="1:8" x14ac:dyDescent="0.35">
      <c r="A917" s="2" t="s">
        <v>667</v>
      </c>
      <c r="B917" s="2" t="s">
        <v>611</v>
      </c>
      <c r="C917" s="2" t="s">
        <v>618</v>
      </c>
      <c r="D917" s="2" t="s">
        <v>619</v>
      </c>
      <c r="E917" s="2" t="s">
        <v>285</v>
      </c>
      <c r="F917" s="3">
        <v>160</v>
      </c>
      <c r="G917" s="4">
        <v>60</v>
      </c>
      <c r="H917" s="5">
        <v>0</v>
      </c>
    </row>
    <row r="918" spans="1:8" x14ac:dyDescent="0.35">
      <c r="A918" s="2" t="s">
        <v>667</v>
      </c>
      <c r="B918" s="2" t="s">
        <v>611</v>
      </c>
      <c r="C918" s="2" t="s">
        <v>620</v>
      </c>
      <c r="D918" s="2" t="s">
        <v>621</v>
      </c>
      <c r="E918" s="2" t="s">
        <v>92</v>
      </c>
      <c r="F918" s="3">
        <v>250</v>
      </c>
      <c r="G918" s="4">
        <v>36</v>
      </c>
      <c r="H918" s="5">
        <v>0</v>
      </c>
    </row>
    <row r="919" spans="1:8" x14ac:dyDescent="0.35">
      <c r="A919" s="2" t="s">
        <v>667</v>
      </c>
      <c r="B919" s="2" t="s">
        <v>611</v>
      </c>
      <c r="C919" s="2" t="s">
        <v>622</v>
      </c>
      <c r="D919" s="2" t="s">
        <v>623</v>
      </c>
      <c r="E919" s="2" t="s">
        <v>46</v>
      </c>
      <c r="F919" s="3">
        <v>250</v>
      </c>
      <c r="G919" s="4">
        <v>60</v>
      </c>
      <c r="H919" s="5">
        <v>0</v>
      </c>
    </row>
    <row r="920" spans="1:8" x14ac:dyDescent="0.35">
      <c r="A920" s="2" t="s">
        <v>667</v>
      </c>
      <c r="B920" s="2" t="s">
        <v>611</v>
      </c>
      <c r="C920" s="2" t="s">
        <v>624</v>
      </c>
      <c r="D920" s="2" t="s">
        <v>625</v>
      </c>
      <c r="E920" s="2" t="s">
        <v>169</v>
      </c>
      <c r="F920" s="3">
        <v>90</v>
      </c>
      <c r="G920" s="4">
        <v>60</v>
      </c>
      <c r="H920" s="5">
        <v>0</v>
      </c>
    </row>
    <row r="921" spans="1:8" x14ac:dyDescent="0.35">
      <c r="A921" s="2" t="s">
        <v>667</v>
      </c>
      <c r="B921" s="2" t="s">
        <v>611</v>
      </c>
      <c r="C921" s="2" t="s">
        <v>668</v>
      </c>
      <c r="D921" s="2" t="s">
        <v>669</v>
      </c>
      <c r="E921" s="2" t="s">
        <v>670</v>
      </c>
      <c r="F921" s="3">
        <v>1400</v>
      </c>
      <c r="G921" s="4">
        <v>60</v>
      </c>
      <c r="H921" s="5">
        <v>0</v>
      </c>
    </row>
    <row r="922" spans="1:8" x14ac:dyDescent="0.35">
      <c r="A922" s="2" t="s">
        <v>667</v>
      </c>
      <c r="B922" s="2" t="s">
        <v>611</v>
      </c>
      <c r="C922" s="2" t="s">
        <v>462</v>
      </c>
      <c r="D922" s="2" t="s">
        <v>463</v>
      </c>
      <c r="E922" s="2" t="s">
        <v>315</v>
      </c>
      <c r="F922" s="3">
        <v>165</v>
      </c>
      <c r="G922" s="4">
        <v>36</v>
      </c>
      <c r="H922" s="5">
        <v>0</v>
      </c>
    </row>
    <row r="923" spans="1:8" x14ac:dyDescent="0.35">
      <c r="A923" s="2" t="s">
        <v>667</v>
      </c>
      <c r="B923" s="2" t="s">
        <v>611</v>
      </c>
      <c r="C923" s="2" t="s">
        <v>671</v>
      </c>
      <c r="D923" s="2" t="s">
        <v>672</v>
      </c>
      <c r="E923" s="6" t="s">
        <v>315</v>
      </c>
      <c r="F923" s="3">
        <v>150</v>
      </c>
      <c r="G923" s="4">
        <v>36</v>
      </c>
      <c r="H923" s="5">
        <v>0</v>
      </c>
    </row>
    <row r="924" spans="1:8" x14ac:dyDescent="0.35">
      <c r="A924" s="2" t="s">
        <v>667</v>
      </c>
      <c r="B924" s="2" t="s">
        <v>611</v>
      </c>
      <c r="C924" s="2" t="s">
        <v>673</v>
      </c>
      <c r="D924" s="2" t="s">
        <v>317</v>
      </c>
      <c r="E924" s="2" t="s">
        <v>248</v>
      </c>
      <c r="F924" s="3">
        <v>250</v>
      </c>
      <c r="G924" s="4">
        <v>12</v>
      </c>
      <c r="H924" s="5">
        <v>0</v>
      </c>
    </row>
    <row r="925" spans="1:8" x14ac:dyDescent="0.35">
      <c r="A925" s="2" t="s">
        <v>667</v>
      </c>
      <c r="B925" s="2" t="s">
        <v>611</v>
      </c>
      <c r="C925" s="2" t="s">
        <v>626</v>
      </c>
      <c r="D925" s="2" t="s">
        <v>627</v>
      </c>
      <c r="E925" s="2" t="s">
        <v>628</v>
      </c>
      <c r="F925" s="3">
        <v>1500</v>
      </c>
      <c r="G925" s="4">
        <v>36</v>
      </c>
      <c r="H925" s="5">
        <v>0</v>
      </c>
    </row>
    <row r="926" spans="1:8" x14ac:dyDescent="0.35">
      <c r="A926" s="2" t="s">
        <v>667</v>
      </c>
      <c r="B926" s="2" t="s">
        <v>611</v>
      </c>
      <c r="C926" s="2" t="s">
        <v>629</v>
      </c>
      <c r="D926" s="2" t="s">
        <v>630</v>
      </c>
      <c r="E926" s="2" t="s">
        <v>300</v>
      </c>
      <c r="F926" s="3">
        <v>55</v>
      </c>
      <c r="G926" s="4">
        <v>24</v>
      </c>
      <c r="H926" s="5">
        <v>0</v>
      </c>
    </row>
    <row r="927" spans="1:8" x14ac:dyDescent="0.35">
      <c r="A927" s="2" t="s">
        <v>667</v>
      </c>
      <c r="B927" s="2" t="s">
        <v>611</v>
      </c>
      <c r="C927" s="2" t="s">
        <v>631</v>
      </c>
      <c r="D927" s="2" t="s">
        <v>632</v>
      </c>
      <c r="E927" s="2" t="s">
        <v>322</v>
      </c>
      <c r="F927" s="3">
        <v>40.1</v>
      </c>
      <c r="G927" s="4">
        <v>60</v>
      </c>
      <c r="H927" s="5">
        <v>0</v>
      </c>
    </row>
    <row r="928" spans="1:8" x14ac:dyDescent="0.35">
      <c r="A928" s="2" t="s">
        <v>667</v>
      </c>
      <c r="B928" s="2" t="s">
        <v>611</v>
      </c>
      <c r="C928" s="2" t="s">
        <v>633</v>
      </c>
      <c r="D928" s="2" t="s">
        <v>634</v>
      </c>
      <c r="E928" s="2" t="s">
        <v>635</v>
      </c>
      <c r="F928" s="3">
        <v>14</v>
      </c>
      <c r="G928" s="4">
        <v>12</v>
      </c>
      <c r="H928" s="5">
        <v>0</v>
      </c>
    </row>
    <row r="929" spans="1:8" x14ac:dyDescent="0.35">
      <c r="A929" s="2" t="s">
        <v>667</v>
      </c>
      <c r="B929" s="2" t="s">
        <v>611</v>
      </c>
      <c r="C929" s="2" t="s">
        <v>636</v>
      </c>
      <c r="D929" s="2" t="s">
        <v>637</v>
      </c>
      <c r="E929" s="2" t="s">
        <v>638</v>
      </c>
      <c r="F929" s="3">
        <v>12</v>
      </c>
      <c r="G929" s="4">
        <v>12</v>
      </c>
      <c r="H929" s="5">
        <v>0</v>
      </c>
    </row>
    <row r="930" spans="1:8" x14ac:dyDescent="0.35">
      <c r="A930" s="2" t="s">
        <v>667</v>
      </c>
      <c r="B930" s="2" t="s">
        <v>611</v>
      </c>
      <c r="C930" s="2" t="s">
        <v>657</v>
      </c>
      <c r="D930" s="2" t="s">
        <v>658</v>
      </c>
      <c r="E930" s="2" t="s">
        <v>659</v>
      </c>
      <c r="F930" s="3">
        <v>15</v>
      </c>
      <c r="G930" s="4">
        <v>24</v>
      </c>
      <c r="H930" s="5">
        <v>0</v>
      </c>
    </row>
    <row r="931" spans="1:8" x14ac:dyDescent="0.35">
      <c r="A931" s="2" t="s">
        <v>667</v>
      </c>
      <c r="B931" s="2" t="s">
        <v>611</v>
      </c>
      <c r="C931" s="2" t="s">
        <v>639</v>
      </c>
      <c r="D931" s="2" t="s">
        <v>640</v>
      </c>
      <c r="E931" s="2" t="s">
        <v>641</v>
      </c>
      <c r="F931" s="3">
        <v>13</v>
      </c>
      <c r="G931" s="4">
        <v>12</v>
      </c>
      <c r="H931" s="5">
        <v>0</v>
      </c>
    </row>
    <row r="932" spans="1:8" x14ac:dyDescent="0.35">
      <c r="A932" s="2" t="s">
        <v>667</v>
      </c>
      <c r="B932" s="2" t="s">
        <v>611</v>
      </c>
      <c r="C932" s="2" t="s">
        <v>642</v>
      </c>
      <c r="D932" s="2" t="s">
        <v>643</v>
      </c>
      <c r="E932" s="2" t="s">
        <v>644</v>
      </c>
      <c r="F932" s="3">
        <v>13</v>
      </c>
      <c r="G932" s="4">
        <v>12</v>
      </c>
      <c r="H932" s="5">
        <v>0</v>
      </c>
    </row>
    <row r="933" spans="1:8" x14ac:dyDescent="0.35">
      <c r="A933" s="2" t="s">
        <v>667</v>
      </c>
      <c r="B933" s="2" t="s">
        <v>611</v>
      </c>
      <c r="C933" s="2" t="s">
        <v>645</v>
      </c>
      <c r="D933" s="2" t="s">
        <v>646</v>
      </c>
      <c r="E933" s="2" t="s">
        <v>303</v>
      </c>
      <c r="F933" s="3">
        <v>32</v>
      </c>
      <c r="G933" s="4">
        <v>24</v>
      </c>
      <c r="H933" s="5">
        <v>0</v>
      </c>
    </row>
    <row r="934" spans="1:8" x14ac:dyDescent="0.35">
      <c r="A934" s="2" t="s">
        <v>667</v>
      </c>
      <c r="B934" s="2" t="s">
        <v>611</v>
      </c>
      <c r="C934" s="2" t="s">
        <v>660</v>
      </c>
      <c r="D934" s="2" t="s">
        <v>661</v>
      </c>
      <c r="E934" s="2" t="s">
        <v>303</v>
      </c>
      <c r="F934" s="3">
        <v>9</v>
      </c>
      <c r="G934" s="4">
        <v>12</v>
      </c>
      <c r="H934" s="5">
        <v>0</v>
      </c>
    </row>
    <row r="935" spans="1:8" x14ac:dyDescent="0.35">
      <c r="A935" s="2" t="s">
        <v>667</v>
      </c>
      <c r="B935" s="2" t="s">
        <v>611</v>
      </c>
      <c r="C935" s="2" t="s">
        <v>647</v>
      </c>
      <c r="D935" s="2" t="s">
        <v>648</v>
      </c>
      <c r="E935" s="2" t="s">
        <v>535</v>
      </c>
      <c r="F935" s="3">
        <v>11</v>
      </c>
      <c r="G935" s="4">
        <v>12</v>
      </c>
      <c r="H935" s="5">
        <v>0</v>
      </c>
    </row>
    <row r="936" spans="1:8" x14ac:dyDescent="0.35">
      <c r="A936" s="2" t="s">
        <v>667</v>
      </c>
      <c r="B936" s="2" t="s">
        <v>611</v>
      </c>
      <c r="C936" s="2" t="s">
        <v>649</v>
      </c>
      <c r="D936" s="2" t="s">
        <v>650</v>
      </c>
      <c r="E936" s="2" t="s">
        <v>275</v>
      </c>
      <c r="F936" s="3">
        <v>4</v>
      </c>
      <c r="G936" s="4">
        <v>12</v>
      </c>
      <c r="H936" s="5">
        <v>0</v>
      </c>
    </row>
    <row r="937" spans="1:8" x14ac:dyDescent="0.35">
      <c r="A937" s="2" t="s">
        <v>667</v>
      </c>
      <c r="B937" s="2" t="s">
        <v>611</v>
      </c>
      <c r="C937" s="2" t="s">
        <v>651</v>
      </c>
      <c r="D937" s="2" t="s">
        <v>652</v>
      </c>
      <c r="E937" s="2" t="s">
        <v>136</v>
      </c>
      <c r="F937" s="3">
        <v>22</v>
      </c>
      <c r="G937" s="4">
        <v>6</v>
      </c>
      <c r="H937" s="5">
        <v>0</v>
      </c>
    </row>
    <row r="938" spans="1:8" x14ac:dyDescent="0.35">
      <c r="A938" s="2" t="s">
        <v>667</v>
      </c>
      <c r="B938" s="2" t="s">
        <v>611</v>
      </c>
      <c r="C938" s="2" t="s">
        <v>653</v>
      </c>
      <c r="D938" s="2" t="s">
        <v>654</v>
      </c>
      <c r="E938" s="2" t="s">
        <v>190</v>
      </c>
      <c r="F938" s="3">
        <v>0.5</v>
      </c>
      <c r="G938" s="4">
        <v>1</v>
      </c>
      <c r="H938" s="5">
        <v>0</v>
      </c>
    </row>
    <row r="939" spans="1:8" x14ac:dyDescent="0.35">
      <c r="A939" s="2" t="s">
        <v>667</v>
      </c>
      <c r="B939" s="2" t="s">
        <v>447</v>
      </c>
      <c r="C939" s="2" t="s">
        <v>612</v>
      </c>
      <c r="D939" s="2" t="s">
        <v>613</v>
      </c>
      <c r="E939" s="2" t="s">
        <v>147</v>
      </c>
      <c r="F939" s="3">
        <v>1499</v>
      </c>
      <c r="G939" s="4">
        <v>60</v>
      </c>
      <c r="H939" s="5">
        <v>7.4999999999999997E-3</v>
      </c>
    </row>
    <row r="940" spans="1:8" x14ac:dyDescent="0.35">
      <c r="A940" s="2" t="s">
        <v>667</v>
      </c>
      <c r="B940" s="2" t="s">
        <v>447</v>
      </c>
      <c r="C940" s="2" t="s">
        <v>614</v>
      </c>
      <c r="D940" s="2" t="s">
        <v>615</v>
      </c>
      <c r="E940" s="2" t="s">
        <v>193</v>
      </c>
      <c r="F940" s="3">
        <v>287.08999999999997</v>
      </c>
      <c r="G940" s="4">
        <v>36</v>
      </c>
      <c r="H940" s="5">
        <v>0</v>
      </c>
    </row>
    <row r="941" spans="1:8" x14ac:dyDescent="0.35">
      <c r="A941" s="2" t="s">
        <v>667</v>
      </c>
      <c r="B941" s="2" t="s">
        <v>447</v>
      </c>
      <c r="C941" s="2" t="s">
        <v>616</v>
      </c>
      <c r="D941" s="2" t="s">
        <v>617</v>
      </c>
      <c r="E941" s="2" t="s">
        <v>226</v>
      </c>
      <c r="F941" s="3">
        <v>4699.8999999999996</v>
      </c>
      <c r="G941" s="4">
        <v>60</v>
      </c>
      <c r="H941" s="5">
        <v>7.4999999999999997E-3</v>
      </c>
    </row>
    <row r="942" spans="1:8" x14ac:dyDescent="0.35">
      <c r="A942" s="2" t="s">
        <v>667</v>
      </c>
      <c r="B942" s="2" t="s">
        <v>447</v>
      </c>
      <c r="C942" s="2" t="s">
        <v>618</v>
      </c>
      <c r="D942" s="2" t="s">
        <v>619</v>
      </c>
      <c r="E942" s="2" t="s">
        <v>285</v>
      </c>
      <c r="F942" s="3">
        <v>380</v>
      </c>
      <c r="G942" s="4">
        <v>60</v>
      </c>
      <c r="H942" s="5">
        <v>0</v>
      </c>
    </row>
    <row r="943" spans="1:8" x14ac:dyDescent="0.35">
      <c r="A943" s="2" t="s">
        <v>667</v>
      </c>
      <c r="B943" s="2" t="s">
        <v>447</v>
      </c>
      <c r="C943" s="2" t="s">
        <v>620</v>
      </c>
      <c r="D943" s="2" t="s">
        <v>621</v>
      </c>
      <c r="E943" s="2" t="s">
        <v>92</v>
      </c>
      <c r="F943" s="3">
        <v>1690</v>
      </c>
      <c r="G943" s="4">
        <v>36</v>
      </c>
      <c r="H943" s="5">
        <v>0</v>
      </c>
    </row>
    <row r="944" spans="1:8" x14ac:dyDescent="0.35">
      <c r="A944" s="2" t="s">
        <v>667</v>
      </c>
      <c r="B944" s="2" t="s">
        <v>447</v>
      </c>
      <c r="C944" s="2" t="s">
        <v>622</v>
      </c>
      <c r="D944" s="2" t="s">
        <v>623</v>
      </c>
      <c r="E944" s="2" t="s">
        <v>46</v>
      </c>
      <c r="F944" s="3">
        <v>267.83999999999997</v>
      </c>
      <c r="G944" s="4">
        <v>60</v>
      </c>
      <c r="H944" s="5">
        <v>0</v>
      </c>
    </row>
    <row r="945" spans="1:8" x14ac:dyDescent="0.35">
      <c r="A945" s="2" t="s">
        <v>667</v>
      </c>
      <c r="B945" s="2" t="s">
        <v>447</v>
      </c>
      <c r="C945" s="2" t="s">
        <v>624</v>
      </c>
      <c r="D945" s="2" t="s">
        <v>625</v>
      </c>
      <c r="E945" s="2" t="s">
        <v>169</v>
      </c>
      <c r="F945" s="3">
        <v>149.9</v>
      </c>
      <c r="G945" s="4">
        <v>60</v>
      </c>
      <c r="H945" s="5">
        <v>0</v>
      </c>
    </row>
    <row r="946" spans="1:8" x14ac:dyDescent="0.35">
      <c r="A946" s="2" t="s">
        <v>667</v>
      </c>
      <c r="B946" s="2" t="s">
        <v>447</v>
      </c>
      <c r="C946" s="2" t="s">
        <v>668</v>
      </c>
      <c r="D946" s="2" t="s">
        <v>669</v>
      </c>
      <c r="E946" s="2" t="s">
        <v>670</v>
      </c>
      <c r="F946" s="3">
        <v>3099.9</v>
      </c>
      <c r="G946" s="4">
        <v>60</v>
      </c>
      <c r="H946" s="5">
        <v>0</v>
      </c>
    </row>
    <row r="947" spans="1:8" x14ac:dyDescent="0.35">
      <c r="A947" s="2" t="s">
        <v>667</v>
      </c>
      <c r="B947" s="2" t="s">
        <v>447</v>
      </c>
      <c r="C947" s="2" t="s">
        <v>462</v>
      </c>
      <c r="D947" s="2" t="s">
        <v>463</v>
      </c>
      <c r="E947" s="2" t="s">
        <v>315</v>
      </c>
      <c r="F947" s="3">
        <v>165</v>
      </c>
      <c r="G947" s="4">
        <v>36</v>
      </c>
      <c r="H947" s="5">
        <v>0</v>
      </c>
    </row>
    <row r="948" spans="1:8" x14ac:dyDescent="0.35">
      <c r="A948" s="2" t="s">
        <v>667</v>
      </c>
      <c r="B948" s="2" t="s">
        <v>447</v>
      </c>
      <c r="C948" s="2" t="s">
        <v>671</v>
      </c>
      <c r="D948" s="2" t="s">
        <v>672</v>
      </c>
      <c r="E948" s="6" t="s">
        <v>315</v>
      </c>
      <c r="F948" s="3">
        <v>150</v>
      </c>
      <c r="G948" s="4">
        <v>36</v>
      </c>
      <c r="H948" s="5">
        <v>0</v>
      </c>
    </row>
    <row r="949" spans="1:8" x14ac:dyDescent="0.35">
      <c r="A949" s="2" t="s">
        <v>667</v>
      </c>
      <c r="B949" s="2" t="s">
        <v>447</v>
      </c>
      <c r="C949" s="2" t="s">
        <v>673</v>
      </c>
      <c r="D949" s="2" t="s">
        <v>317</v>
      </c>
      <c r="E949" s="2" t="s">
        <v>248</v>
      </c>
      <c r="F949" s="3">
        <v>370.41</v>
      </c>
      <c r="G949" s="4">
        <v>12</v>
      </c>
      <c r="H949" s="5">
        <v>0</v>
      </c>
    </row>
    <row r="950" spans="1:8" x14ac:dyDescent="0.35">
      <c r="A950" s="2" t="s">
        <v>667</v>
      </c>
      <c r="B950" s="2" t="s">
        <v>447</v>
      </c>
      <c r="C950" s="2" t="s">
        <v>626</v>
      </c>
      <c r="D950" s="2" t="s">
        <v>627</v>
      </c>
      <c r="E950" s="2" t="s">
        <v>628</v>
      </c>
      <c r="F950" s="3">
        <v>2799</v>
      </c>
      <c r="G950" s="4">
        <v>36</v>
      </c>
      <c r="H950" s="5">
        <v>0</v>
      </c>
    </row>
    <row r="951" spans="1:8" x14ac:dyDescent="0.35">
      <c r="A951" s="2" t="s">
        <v>667</v>
      </c>
      <c r="B951" s="2" t="s">
        <v>447</v>
      </c>
      <c r="C951" s="2" t="s">
        <v>629</v>
      </c>
      <c r="D951" s="2" t="s">
        <v>630</v>
      </c>
      <c r="E951" s="2" t="s">
        <v>300</v>
      </c>
      <c r="F951" s="3">
        <v>55</v>
      </c>
      <c r="G951" s="4">
        <v>24</v>
      </c>
      <c r="H951" s="5">
        <v>0</v>
      </c>
    </row>
    <row r="952" spans="1:8" x14ac:dyDescent="0.35">
      <c r="A952" s="2" t="s">
        <v>667</v>
      </c>
      <c r="B952" s="2" t="s">
        <v>447</v>
      </c>
      <c r="C952" s="2" t="s">
        <v>631</v>
      </c>
      <c r="D952" s="2" t="s">
        <v>632</v>
      </c>
      <c r="E952" s="2" t="s">
        <v>322</v>
      </c>
      <c r="F952" s="3">
        <v>55</v>
      </c>
      <c r="G952" s="4">
        <v>60</v>
      </c>
      <c r="H952" s="5">
        <v>0</v>
      </c>
    </row>
    <row r="953" spans="1:8" x14ac:dyDescent="0.35">
      <c r="A953" s="2" t="s">
        <v>667</v>
      </c>
      <c r="B953" s="2" t="s">
        <v>447</v>
      </c>
      <c r="C953" s="2" t="s">
        <v>633</v>
      </c>
      <c r="D953" s="2" t="s">
        <v>634</v>
      </c>
      <c r="E953" s="2" t="s">
        <v>635</v>
      </c>
      <c r="F953" s="3">
        <v>19.989999999999998</v>
      </c>
      <c r="G953" s="4">
        <v>12</v>
      </c>
      <c r="H953" s="5">
        <v>0</v>
      </c>
    </row>
    <row r="954" spans="1:8" x14ac:dyDescent="0.35">
      <c r="A954" s="2" t="s">
        <v>667</v>
      </c>
      <c r="B954" s="2" t="s">
        <v>447</v>
      </c>
      <c r="C954" s="2" t="s">
        <v>636</v>
      </c>
      <c r="D954" s="2" t="s">
        <v>637</v>
      </c>
      <c r="E954" s="2" t="s">
        <v>638</v>
      </c>
      <c r="F954" s="3">
        <v>12</v>
      </c>
      <c r="G954" s="4">
        <v>12</v>
      </c>
      <c r="H954" s="5">
        <v>0</v>
      </c>
    </row>
    <row r="955" spans="1:8" x14ac:dyDescent="0.35">
      <c r="A955" s="2" t="s">
        <v>667</v>
      </c>
      <c r="B955" s="2" t="s">
        <v>447</v>
      </c>
      <c r="C955" s="2" t="s">
        <v>657</v>
      </c>
      <c r="D955" s="2" t="s">
        <v>658</v>
      </c>
      <c r="E955" s="2" t="s">
        <v>659</v>
      </c>
      <c r="F955" s="3">
        <v>15</v>
      </c>
      <c r="G955" s="4">
        <v>24</v>
      </c>
      <c r="H955" s="5">
        <v>0</v>
      </c>
    </row>
    <row r="956" spans="1:8" x14ac:dyDescent="0.35">
      <c r="A956" s="2" t="s">
        <v>667</v>
      </c>
      <c r="B956" s="2" t="s">
        <v>447</v>
      </c>
      <c r="C956" s="2" t="s">
        <v>639</v>
      </c>
      <c r="D956" s="2" t="s">
        <v>640</v>
      </c>
      <c r="E956" s="2" t="s">
        <v>641</v>
      </c>
      <c r="F956" s="3">
        <v>13</v>
      </c>
      <c r="G956" s="4">
        <v>12</v>
      </c>
      <c r="H956" s="5">
        <v>0</v>
      </c>
    </row>
    <row r="957" spans="1:8" x14ac:dyDescent="0.35">
      <c r="A957" s="2" t="s">
        <v>667</v>
      </c>
      <c r="B957" s="2" t="s">
        <v>447</v>
      </c>
      <c r="C957" s="2" t="s">
        <v>642</v>
      </c>
      <c r="D957" s="2" t="s">
        <v>643</v>
      </c>
      <c r="E957" s="2" t="s">
        <v>644</v>
      </c>
      <c r="F957" s="3">
        <v>13</v>
      </c>
      <c r="G957" s="4">
        <v>12</v>
      </c>
      <c r="H957" s="5">
        <v>0</v>
      </c>
    </row>
    <row r="958" spans="1:8" x14ac:dyDescent="0.35">
      <c r="A958" s="2" t="s">
        <v>667</v>
      </c>
      <c r="B958" s="2" t="s">
        <v>447</v>
      </c>
      <c r="C958" s="2" t="s">
        <v>645</v>
      </c>
      <c r="D958" s="2" t="s">
        <v>646</v>
      </c>
      <c r="E958" s="2" t="s">
        <v>303</v>
      </c>
      <c r="F958" s="3">
        <v>43</v>
      </c>
      <c r="G958" s="4">
        <v>24</v>
      </c>
      <c r="H958" s="5">
        <v>0</v>
      </c>
    </row>
    <row r="959" spans="1:8" x14ac:dyDescent="0.35">
      <c r="A959" s="2" t="s">
        <v>667</v>
      </c>
      <c r="B959" s="2" t="s">
        <v>447</v>
      </c>
      <c r="C959" s="2" t="s">
        <v>660</v>
      </c>
      <c r="D959" s="2" t="s">
        <v>661</v>
      </c>
      <c r="E959" s="2" t="s">
        <v>303</v>
      </c>
      <c r="F959" s="3">
        <v>12</v>
      </c>
      <c r="G959" s="4">
        <v>12</v>
      </c>
      <c r="H959" s="5">
        <v>0</v>
      </c>
    </row>
    <row r="960" spans="1:8" x14ac:dyDescent="0.35">
      <c r="A960" s="2" t="s">
        <v>667</v>
      </c>
      <c r="B960" s="2" t="s">
        <v>447</v>
      </c>
      <c r="C960" s="2" t="s">
        <v>647</v>
      </c>
      <c r="D960" s="2" t="s">
        <v>648</v>
      </c>
      <c r="E960" s="2" t="s">
        <v>535</v>
      </c>
      <c r="F960" s="3">
        <v>29.24</v>
      </c>
      <c r="G960" s="4">
        <v>12</v>
      </c>
      <c r="H960" s="5">
        <v>0</v>
      </c>
    </row>
    <row r="961" spans="1:8" x14ac:dyDescent="0.35">
      <c r="A961" s="2" t="s">
        <v>667</v>
      </c>
      <c r="B961" s="2" t="s">
        <v>447</v>
      </c>
      <c r="C961" s="2" t="s">
        <v>649</v>
      </c>
      <c r="D961" s="2" t="s">
        <v>650</v>
      </c>
      <c r="E961" s="2" t="s">
        <v>275</v>
      </c>
      <c r="F961" s="3">
        <v>4</v>
      </c>
      <c r="G961" s="4">
        <v>12</v>
      </c>
      <c r="H961" s="5">
        <v>0</v>
      </c>
    </row>
    <row r="962" spans="1:8" x14ac:dyDescent="0.35">
      <c r="A962" s="2" t="s">
        <v>667</v>
      </c>
      <c r="B962" s="2" t="s">
        <v>447</v>
      </c>
      <c r="C962" s="2" t="s">
        <v>651</v>
      </c>
      <c r="D962" s="2" t="s">
        <v>652</v>
      </c>
      <c r="E962" s="2" t="s">
        <v>136</v>
      </c>
      <c r="F962" s="3">
        <v>22</v>
      </c>
      <c r="G962" s="4">
        <v>6</v>
      </c>
      <c r="H962" s="5">
        <v>0</v>
      </c>
    </row>
    <row r="963" spans="1:8" x14ac:dyDescent="0.35">
      <c r="A963" s="2" t="s">
        <v>667</v>
      </c>
      <c r="B963" s="2" t="s">
        <v>447</v>
      </c>
      <c r="C963" s="2" t="s">
        <v>653</v>
      </c>
      <c r="D963" s="2" t="s">
        <v>654</v>
      </c>
      <c r="E963" s="2" t="s">
        <v>190</v>
      </c>
      <c r="F963" s="3">
        <v>1.79</v>
      </c>
      <c r="G963" s="4">
        <v>1</v>
      </c>
      <c r="H963" s="5">
        <v>0</v>
      </c>
    </row>
    <row r="964" spans="1:8" x14ac:dyDescent="0.35">
      <c r="A964" s="2" t="s">
        <v>667</v>
      </c>
      <c r="B964" s="2" t="s">
        <v>655</v>
      </c>
      <c r="C964" s="2" t="s">
        <v>612</v>
      </c>
      <c r="D964" s="2" t="s">
        <v>613</v>
      </c>
      <c r="E964" s="2" t="s">
        <v>147</v>
      </c>
      <c r="F964" s="3">
        <v>1365</v>
      </c>
      <c r="G964" s="4">
        <v>60</v>
      </c>
      <c r="H964" s="5">
        <v>7.4999999999999997E-3</v>
      </c>
    </row>
    <row r="965" spans="1:8" x14ac:dyDescent="0.35">
      <c r="A965" s="2" t="s">
        <v>667</v>
      </c>
      <c r="B965" s="2" t="s">
        <v>655</v>
      </c>
      <c r="C965" s="2" t="s">
        <v>614</v>
      </c>
      <c r="D965" s="2" t="s">
        <v>615</v>
      </c>
      <c r="E965" s="2" t="s">
        <v>193</v>
      </c>
      <c r="F965" s="3">
        <v>110</v>
      </c>
      <c r="G965" s="4">
        <v>36</v>
      </c>
      <c r="H965" s="5">
        <v>0</v>
      </c>
    </row>
    <row r="966" spans="1:8" x14ac:dyDescent="0.35">
      <c r="A966" s="2" t="s">
        <v>667</v>
      </c>
      <c r="B966" s="2" t="s">
        <v>655</v>
      </c>
      <c r="C966" s="2" t="s">
        <v>616</v>
      </c>
      <c r="D966" s="2" t="s">
        <v>617</v>
      </c>
      <c r="E966" s="2" t="s">
        <v>226</v>
      </c>
      <c r="F966" s="3">
        <v>3150</v>
      </c>
      <c r="G966" s="4">
        <v>60</v>
      </c>
      <c r="H966" s="5">
        <v>7.4999999999999997E-3</v>
      </c>
    </row>
    <row r="967" spans="1:8" x14ac:dyDescent="0.35">
      <c r="A967" s="2" t="s">
        <v>667</v>
      </c>
      <c r="B967" s="2" t="s">
        <v>655</v>
      </c>
      <c r="C967" s="2" t="s">
        <v>618</v>
      </c>
      <c r="D967" s="2" t="s">
        <v>619</v>
      </c>
      <c r="E967" s="2" t="s">
        <v>285</v>
      </c>
      <c r="F967" s="3">
        <v>160</v>
      </c>
      <c r="G967" s="4">
        <v>60</v>
      </c>
      <c r="H967" s="5">
        <v>0</v>
      </c>
    </row>
    <row r="968" spans="1:8" x14ac:dyDescent="0.35">
      <c r="A968" s="2" t="s">
        <v>667</v>
      </c>
      <c r="B968" s="2" t="s">
        <v>655</v>
      </c>
      <c r="C968" s="2" t="s">
        <v>620</v>
      </c>
      <c r="D968" s="2" t="s">
        <v>621</v>
      </c>
      <c r="E968" s="2" t="s">
        <v>92</v>
      </c>
      <c r="F968" s="3">
        <v>250</v>
      </c>
      <c r="G968" s="4">
        <v>36</v>
      </c>
      <c r="H968" s="5">
        <v>0</v>
      </c>
    </row>
    <row r="969" spans="1:8" x14ac:dyDescent="0.35">
      <c r="A969" s="2" t="s">
        <v>667</v>
      </c>
      <c r="B969" s="2" t="s">
        <v>655</v>
      </c>
      <c r="C969" s="2" t="s">
        <v>622</v>
      </c>
      <c r="D969" s="2" t="s">
        <v>623</v>
      </c>
      <c r="E969" s="2" t="s">
        <v>46</v>
      </c>
      <c r="F969" s="3">
        <v>250</v>
      </c>
      <c r="G969" s="4">
        <v>60</v>
      </c>
      <c r="H969" s="5">
        <v>0</v>
      </c>
    </row>
    <row r="970" spans="1:8" x14ac:dyDescent="0.35">
      <c r="A970" s="2" t="s">
        <v>667</v>
      </c>
      <c r="B970" s="2" t="s">
        <v>655</v>
      </c>
      <c r="C970" s="2" t="s">
        <v>624</v>
      </c>
      <c r="D970" s="2" t="s">
        <v>625</v>
      </c>
      <c r="E970" s="2" t="s">
        <v>169</v>
      </c>
      <c r="F970" s="3">
        <v>90</v>
      </c>
      <c r="G970" s="4">
        <v>60</v>
      </c>
      <c r="H970" s="5">
        <v>0</v>
      </c>
    </row>
    <row r="971" spans="1:8" x14ac:dyDescent="0.35">
      <c r="A971" s="2" t="s">
        <v>667</v>
      </c>
      <c r="B971" s="2" t="s">
        <v>655</v>
      </c>
      <c r="C971" s="2" t="s">
        <v>668</v>
      </c>
      <c r="D971" s="2" t="s">
        <v>669</v>
      </c>
      <c r="E971" s="2" t="s">
        <v>670</v>
      </c>
      <c r="F971" s="3">
        <v>1400</v>
      </c>
      <c r="G971" s="4">
        <v>60</v>
      </c>
      <c r="H971" s="5">
        <v>0</v>
      </c>
    </row>
    <row r="972" spans="1:8" x14ac:dyDescent="0.35">
      <c r="A972" s="2" t="s">
        <v>667</v>
      </c>
      <c r="B972" s="2" t="s">
        <v>655</v>
      </c>
      <c r="C972" s="2" t="s">
        <v>462</v>
      </c>
      <c r="D972" s="2" t="s">
        <v>463</v>
      </c>
      <c r="E972" s="2" t="s">
        <v>315</v>
      </c>
      <c r="F972" s="3">
        <v>165</v>
      </c>
      <c r="G972" s="4">
        <v>36</v>
      </c>
      <c r="H972" s="5">
        <v>0</v>
      </c>
    </row>
    <row r="973" spans="1:8" x14ac:dyDescent="0.35">
      <c r="A973" s="2" t="s">
        <v>667</v>
      </c>
      <c r="B973" s="2" t="s">
        <v>655</v>
      </c>
      <c r="C973" s="2" t="s">
        <v>671</v>
      </c>
      <c r="D973" s="2" t="s">
        <v>672</v>
      </c>
      <c r="E973" s="6" t="s">
        <v>315</v>
      </c>
      <c r="F973" s="3">
        <v>150</v>
      </c>
      <c r="G973" s="4">
        <v>36</v>
      </c>
      <c r="H973" s="5">
        <v>0</v>
      </c>
    </row>
    <row r="974" spans="1:8" x14ac:dyDescent="0.35">
      <c r="A974" s="2" t="s">
        <v>667</v>
      </c>
      <c r="B974" s="2" t="s">
        <v>655</v>
      </c>
      <c r="C974" s="2" t="s">
        <v>673</v>
      </c>
      <c r="D974" s="2" t="s">
        <v>317</v>
      </c>
      <c r="E974" s="2" t="s">
        <v>248</v>
      </c>
      <c r="F974" s="3">
        <v>250</v>
      </c>
      <c r="G974" s="4">
        <v>12</v>
      </c>
      <c r="H974" s="5">
        <v>0</v>
      </c>
    </row>
    <row r="975" spans="1:8" x14ac:dyDescent="0.35">
      <c r="A975" s="2" t="s">
        <v>667</v>
      </c>
      <c r="B975" s="2" t="s">
        <v>655</v>
      </c>
      <c r="C975" s="2" t="s">
        <v>626</v>
      </c>
      <c r="D975" s="2" t="s">
        <v>627</v>
      </c>
      <c r="E975" s="2" t="s">
        <v>628</v>
      </c>
      <c r="F975" s="3">
        <v>1500</v>
      </c>
      <c r="G975" s="4">
        <v>36</v>
      </c>
      <c r="H975" s="5">
        <v>0</v>
      </c>
    </row>
    <row r="976" spans="1:8" x14ac:dyDescent="0.35">
      <c r="A976" s="2" t="s">
        <v>667</v>
      </c>
      <c r="B976" s="2" t="s">
        <v>655</v>
      </c>
      <c r="C976" s="2" t="s">
        <v>629</v>
      </c>
      <c r="D976" s="2" t="s">
        <v>630</v>
      </c>
      <c r="E976" s="2" t="s">
        <v>300</v>
      </c>
      <c r="F976" s="3">
        <v>55</v>
      </c>
      <c r="G976" s="4">
        <v>24</v>
      </c>
      <c r="H976" s="5">
        <v>0</v>
      </c>
    </row>
    <row r="977" spans="1:8" x14ac:dyDescent="0.35">
      <c r="A977" s="2" t="s">
        <v>667</v>
      </c>
      <c r="B977" s="2" t="s">
        <v>655</v>
      </c>
      <c r="C977" s="2" t="s">
        <v>631</v>
      </c>
      <c r="D977" s="2" t="s">
        <v>632</v>
      </c>
      <c r="E977" s="2" t="s">
        <v>322</v>
      </c>
      <c r="F977" s="3">
        <v>40.1</v>
      </c>
      <c r="G977" s="4">
        <v>60</v>
      </c>
      <c r="H977" s="5">
        <v>0</v>
      </c>
    </row>
    <row r="978" spans="1:8" x14ac:dyDescent="0.35">
      <c r="A978" s="2" t="s">
        <v>667</v>
      </c>
      <c r="B978" s="2" t="s">
        <v>655</v>
      </c>
      <c r="C978" s="2" t="s">
        <v>633</v>
      </c>
      <c r="D978" s="2" t="s">
        <v>634</v>
      </c>
      <c r="E978" s="2" t="s">
        <v>635</v>
      </c>
      <c r="F978" s="3">
        <v>14</v>
      </c>
      <c r="G978" s="4">
        <v>12</v>
      </c>
      <c r="H978" s="5">
        <v>0</v>
      </c>
    </row>
    <row r="979" spans="1:8" x14ac:dyDescent="0.35">
      <c r="A979" s="2" t="s">
        <v>667</v>
      </c>
      <c r="B979" s="2" t="s">
        <v>655</v>
      </c>
      <c r="C979" s="2" t="s">
        <v>636</v>
      </c>
      <c r="D979" s="2" t="s">
        <v>637</v>
      </c>
      <c r="E979" s="2" t="s">
        <v>638</v>
      </c>
      <c r="F979" s="3">
        <v>12</v>
      </c>
      <c r="G979" s="4">
        <v>12</v>
      </c>
      <c r="H979" s="5">
        <v>0</v>
      </c>
    </row>
    <row r="980" spans="1:8" x14ac:dyDescent="0.35">
      <c r="A980" s="2" t="s">
        <v>667</v>
      </c>
      <c r="B980" s="2" t="s">
        <v>655</v>
      </c>
      <c r="C980" s="2" t="s">
        <v>657</v>
      </c>
      <c r="D980" s="2" t="s">
        <v>658</v>
      </c>
      <c r="E980" s="2" t="s">
        <v>659</v>
      </c>
      <c r="F980" s="3">
        <v>15</v>
      </c>
      <c r="G980" s="4">
        <v>24</v>
      </c>
      <c r="H980" s="5">
        <v>0</v>
      </c>
    </row>
    <row r="981" spans="1:8" x14ac:dyDescent="0.35">
      <c r="A981" s="2" t="s">
        <v>667</v>
      </c>
      <c r="B981" s="2" t="s">
        <v>655</v>
      </c>
      <c r="C981" s="2" t="s">
        <v>639</v>
      </c>
      <c r="D981" s="2" t="s">
        <v>640</v>
      </c>
      <c r="E981" s="2" t="s">
        <v>641</v>
      </c>
      <c r="F981" s="3">
        <v>13</v>
      </c>
      <c r="G981" s="4">
        <v>12</v>
      </c>
      <c r="H981" s="5">
        <v>0</v>
      </c>
    </row>
    <row r="982" spans="1:8" x14ac:dyDescent="0.35">
      <c r="A982" s="2" t="s">
        <v>667</v>
      </c>
      <c r="B982" s="2" t="s">
        <v>655</v>
      </c>
      <c r="C982" s="2" t="s">
        <v>642</v>
      </c>
      <c r="D982" s="2" t="s">
        <v>643</v>
      </c>
      <c r="E982" s="2" t="s">
        <v>644</v>
      </c>
      <c r="F982" s="3">
        <v>13</v>
      </c>
      <c r="G982" s="4">
        <v>12</v>
      </c>
      <c r="H982" s="5">
        <v>0</v>
      </c>
    </row>
    <row r="983" spans="1:8" x14ac:dyDescent="0.35">
      <c r="A983" s="2" t="s">
        <v>667</v>
      </c>
      <c r="B983" s="2" t="s">
        <v>655</v>
      </c>
      <c r="C983" s="2" t="s">
        <v>645</v>
      </c>
      <c r="D983" s="2" t="s">
        <v>646</v>
      </c>
      <c r="E983" s="2" t="s">
        <v>303</v>
      </c>
      <c r="F983" s="3">
        <v>32</v>
      </c>
      <c r="G983" s="4">
        <v>24</v>
      </c>
      <c r="H983" s="5">
        <v>0</v>
      </c>
    </row>
    <row r="984" spans="1:8" x14ac:dyDescent="0.35">
      <c r="A984" s="2" t="s">
        <v>667</v>
      </c>
      <c r="B984" s="2" t="s">
        <v>655</v>
      </c>
      <c r="C984" s="2" t="s">
        <v>660</v>
      </c>
      <c r="D984" s="2" t="s">
        <v>661</v>
      </c>
      <c r="E984" s="2" t="s">
        <v>303</v>
      </c>
      <c r="F984" s="3">
        <v>9</v>
      </c>
      <c r="G984" s="4">
        <v>12</v>
      </c>
      <c r="H984" s="5">
        <v>0</v>
      </c>
    </row>
    <row r="985" spans="1:8" x14ac:dyDescent="0.35">
      <c r="A985" s="2" t="s">
        <v>667</v>
      </c>
      <c r="B985" s="2" t="s">
        <v>655</v>
      </c>
      <c r="C985" s="2" t="s">
        <v>647</v>
      </c>
      <c r="D985" s="2" t="s">
        <v>648</v>
      </c>
      <c r="E985" s="2" t="s">
        <v>535</v>
      </c>
      <c r="F985" s="3">
        <v>11</v>
      </c>
      <c r="G985" s="4">
        <v>12</v>
      </c>
      <c r="H985" s="5">
        <v>0</v>
      </c>
    </row>
    <row r="986" spans="1:8" x14ac:dyDescent="0.35">
      <c r="A986" s="2" t="s">
        <v>667</v>
      </c>
      <c r="B986" s="2" t="s">
        <v>655</v>
      </c>
      <c r="C986" s="2" t="s">
        <v>649</v>
      </c>
      <c r="D986" s="2" t="s">
        <v>650</v>
      </c>
      <c r="E986" s="2" t="s">
        <v>275</v>
      </c>
      <c r="F986" s="3">
        <v>4</v>
      </c>
      <c r="G986" s="4">
        <v>12</v>
      </c>
      <c r="H986" s="5">
        <v>0</v>
      </c>
    </row>
    <row r="987" spans="1:8" x14ac:dyDescent="0.35">
      <c r="A987" s="2" t="s">
        <v>667</v>
      </c>
      <c r="B987" s="2" t="s">
        <v>655</v>
      </c>
      <c r="C987" s="2" t="s">
        <v>651</v>
      </c>
      <c r="D987" s="2" t="s">
        <v>652</v>
      </c>
      <c r="E987" s="2" t="s">
        <v>136</v>
      </c>
      <c r="F987" s="3">
        <v>22</v>
      </c>
      <c r="G987" s="4">
        <v>6</v>
      </c>
      <c r="H987" s="5">
        <v>0</v>
      </c>
    </row>
    <row r="988" spans="1:8" x14ac:dyDescent="0.35">
      <c r="A988" s="2" t="s">
        <v>667</v>
      </c>
      <c r="B988" s="2" t="s">
        <v>655</v>
      </c>
      <c r="C988" s="2" t="s">
        <v>653</v>
      </c>
      <c r="D988" s="2" t="s">
        <v>654</v>
      </c>
      <c r="E988" s="2" t="s">
        <v>190</v>
      </c>
      <c r="F988" s="3">
        <v>0.5</v>
      </c>
      <c r="G988" s="4">
        <v>1</v>
      </c>
      <c r="H988" s="5">
        <v>0</v>
      </c>
    </row>
    <row r="989" spans="1:8" x14ac:dyDescent="0.35">
      <c r="A989" s="2" t="s">
        <v>674</v>
      </c>
      <c r="B989" s="2" t="s">
        <v>611</v>
      </c>
      <c r="C989" s="2" t="s">
        <v>612</v>
      </c>
      <c r="D989" s="2" t="s">
        <v>613</v>
      </c>
      <c r="E989" s="2" t="s">
        <v>147</v>
      </c>
      <c r="F989" s="3">
        <v>2730</v>
      </c>
      <c r="G989" s="4">
        <v>60</v>
      </c>
      <c r="H989" s="5">
        <v>7.4999999999999997E-3</v>
      </c>
    </row>
    <row r="990" spans="1:8" x14ac:dyDescent="0.35">
      <c r="A990" s="2" t="s">
        <v>674</v>
      </c>
      <c r="B990" s="2" t="s">
        <v>611</v>
      </c>
      <c r="C990" s="2" t="s">
        <v>614</v>
      </c>
      <c r="D990" s="2" t="s">
        <v>615</v>
      </c>
      <c r="E990" s="2" t="s">
        <v>193</v>
      </c>
      <c r="F990" s="3">
        <v>220</v>
      </c>
      <c r="G990" s="4">
        <v>36</v>
      </c>
      <c r="H990" s="5">
        <v>0</v>
      </c>
    </row>
    <row r="991" spans="1:8" x14ac:dyDescent="0.35">
      <c r="A991" s="2" t="s">
        <v>674</v>
      </c>
      <c r="B991" s="2" t="s">
        <v>611</v>
      </c>
      <c r="C991" s="2" t="s">
        <v>675</v>
      </c>
      <c r="D991" s="2" t="s">
        <v>676</v>
      </c>
      <c r="E991" s="2" t="s">
        <v>226</v>
      </c>
      <c r="F991" s="3">
        <v>6300</v>
      </c>
      <c r="G991" s="4">
        <v>60</v>
      </c>
      <c r="H991" s="5">
        <v>7.4999999999999997E-3</v>
      </c>
    </row>
    <row r="992" spans="1:8" x14ac:dyDescent="0.35">
      <c r="A992" s="2" t="s">
        <v>674</v>
      </c>
      <c r="B992" s="2" t="s">
        <v>611</v>
      </c>
      <c r="C992" s="2" t="s">
        <v>677</v>
      </c>
      <c r="D992" s="2" t="s">
        <v>678</v>
      </c>
      <c r="E992" s="2" t="s">
        <v>679</v>
      </c>
      <c r="F992" s="3">
        <v>320</v>
      </c>
      <c r="G992" s="4">
        <v>60</v>
      </c>
      <c r="H992" s="5">
        <v>0</v>
      </c>
    </row>
    <row r="993" spans="1:8" x14ac:dyDescent="0.35">
      <c r="A993" s="2" t="s">
        <v>674</v>
      </c>
      <c r="B993" s="2" t="s">
        <v>611</v>
      </c>
      <c r="C993" s="2" t="s">
        <v>620</v>
      </c>
      <c r="D993" s="2" t="s">
        <v>621</v>
      </c>
      <c r="E993" s="2" t="s">
        <v>92</v>
      </c>
      <c r="F993" s="3">
        <v>500</v>
      </c>
      <c r="G993" s="4">
        <v>36</v>
      </c>
      <c r="H993" s="5">
        <v>0</v>
      </c>
    </row>
    <row r="994" spans="1:8" x14ac:dyDescent="0.35">
      <c r="A994" s="2" t="s">
        <v>674</v>
      </c>
      <c r="B994" s="2" t="s">
        <v>611</v>
      </c>
      <c r="C994" s="2" t="s">
        <v>622</v>
      </c>
      <c r="D994" s="2" t="s">
        <v>623</v>
      </c>
      <c r="E994" s="2" t="s">
        <v>46</v>
      </c>
      <c r="F994" s="3">
        <v>500</v>
      </c>
      <c r="G994" s="4">
        <v>60</v>
      </c>
      <c r="H994" s="5">
        <v>0</v>
      </c>
    </row>
    <row r="995" spans="1:8" x14ac:dyDescent="0.35">
      <c r="A995" s="2" t="s">
        <v>674</v>
      </c>
      <c r="B995" s="2" t="s">
        <v>611</v>
      </c>
      <c r="C995" s="2" t="s">
        <v>680</v>
      </c>
      <c r="D995" s="2" t="s">
        <v>681</v>
      </c>
      <c r="E995" s="2" t="s">
        <v>180</v>
      </c>
      <c r="F995" s="3">
        <v>260</v>
      </c>
      <c r="G995" s="4">
        <v>60</v>
      </c>
      <c r="H995" s="5">
        <v>0</v>
      </c>
    </row>
    <row r="996" spans="1:8" x14ac:dyDescent="0.35">
      <c r="A996" s="2" t="s">
        <v>674</v>
      </c>
      <c r="B996" s="2" t="s">
        <v>611</v>
      </c>
      <c r="C996" s="2" t="s">
        <v>629</v>
      </c>
      <c r="D996" s="2" t="s">
        <v>630</v>
      </c>
      <c r="E996" s="2" t="s">
        <v>300</v>
      </c>
      <c r="F996" s="3">
        <v>110</v>
      </c>
      <c r="G996" s="4">
        <v>24</v>
      </c>
      <c r="H996" s="5">
        <v>0</v>
      </c>
    </row>
    <row r="997" spans="1:8" x14ac:dyDescent="0.35">
      <c r="A997" s="2" t="s">
        <v>674</v>
      </c>
      <c r="B997" s="2" t="s">
        <v>611</v>
      </c>
      <c r="C997" s="2" t="s">
        <v>631</v>
      </c>
      <c r="D997" s="2" t="s">
        <v>632</v>
      </c>
      <c r="E997" s="2" t="s">
        <v>322</v>
      </c>
      <c r="F997" s="3">
        <v>80.2</v>
      </c>
      <c r="G997" s="4">
        <v>60</v>
      </c>
      <c r="H997" s="5">
        <v>0</v>
      </c>
    </row>
    <row r="998" spans="1:8" x14ac:dyDescent="0.35">
      <c r="A998" s="2" t="s">
        <v>674</v>
      </c>
      <c r="B998" s="2" t="s">
        <v>611</v>
      </c>
      <c r="C998" s="2" t="s">
        <v>633</v>
      </c>
      <c r="D998" s="2" t="s">
        <v>634</v>
      </c>
      <c r="E998" s="2" t="s">
        <v>635</v>
      </c>
      <c r="F998" s="3">
        <v>28</v>
      </c>
      <c r="G998" s="4">
        <v>12</v>
      </c>
      <c r="H998" s="5">
        <v>0</v>
      </c>
    </row>
    <row r="999" spans="1:8" x14ac:dyDescent="0.35">
      <c r="A999" s="2" t="s">
        <v>674</v>
      </c>
      <c r="B999" s="2" t="s">
        <v>611</v>
      </c>
      <c r="C999" s="2" t="s">
        <v>636</v>
      </c>
      <c r="D999" s="2" t="s">
        <v>637</v>
      </c>
      <c r="E999" s="2" t="s">
        <v>638</v>
      </c>
      <c r="F999" s="3">
        <v>24</v>
      </c>
      <c r="G999" s="4">
        <v>12</v>
      </c>
      <c r="H999" s="5">
        <v>0</v>
      </c>
    </row>
    <row r="1000" spans="1:8" x14ac:dyDescent="0.35">
      <c r="A1000" s="2" t="s">
        <v>674</v>
      </c>
      <c r="B1000" s="2" t="s">
        <v>611</v>
      </c>
      <c r="C1000" s="2" t="s">
        <v>657</v>
      </c>
      <c r="D1000" s="2" t="s">
        <v>658</v>
      </c>
      <c r="E1000" s="2" t="s">
        <v>659</v>
      </c>
      <c r="F1000" s="3">
        <v>30</v>
      </c>
      <c r="G1000" s="4">
        <v>24</v>
      </c>
      <c r="H1000" s="5">
        <v>0</v>
      </c>
    </row>
    <row r="1001" spans="1:8" x14ac:dyDescent="0.35">
      <c r="A1001" s="2" t="s">
        <v>674</v>
      </c>
      <c r="B1001" s="2" t="s">
        <v>611</v>
      </c>
      <c r="C1001" s="2" t="s">
        <v>682</v>
      </c>
      <c r="D1001" s="2" t="s">
        <v>683</v>
      </c>
      <c r="E1001" s="2" t="s">
        <v>684</v>
      </c>
      <c r="F1001" s="3">
        <v>19</v>
      </c>
      <c r="G1001" s="4">
        <v>12</v>
      </c>
      <c r="H1001" s="5">
        <v>0</v>
      </c>
    </row>
    <row r="1002" spans="1:8" x14ac:dyDescent="0.35">
      <c r="A1002" s="2" t="s">
        <v>674</v>
      </c>
      <c r="B1002" s="2" t="s">
        <v>611</v>
      </c>
      <c r="C1002" s="2" t="s">
        <v>642</v>
      </c>
      <c r="D1002" s="2" t="s">
        <v>643</v>
      </c>
      <c r="E1002" s="2" t="s">
        <v>644</v>
      </c>
      <c r="F1002" s="3">
        <v>16</v>
      </c>
      <c r="G1002" s="4">
        <v>12</v>
      </c>
      <c r="H1002" s="5">
        <v>0</v>
      </c>
    </row>
    <row r="1003" spans="1:8" x14ac:dyDescent="0.35">
      <c r="A1003" s="2" t="s">
        <v>674</v>
      </c>
      <c r="B1003" s="2" t="s">
        <v>611</v>
      </c>
      <c r="C1003" s="2" t="s">
        <v>685</v>
      </c>
      <c r="D1003" s="2" t="s">
        <v>686</v>
      </c>
      <c r="E1003" s="2" t="s">
        <v>303</v>
      </c>
      <c r="F1003" s="3">
        <v>32</v>
      </c>
      <c r="G1003" s="4">
        <v>24</v>
      </c>
      <c r="H1003" s="5">
        <v>0</v>
      </c>
    </row>
    <row r="1004" spans="1:8" x14ac:dyDescent="0.35">
      <c r="A1004" s="2" t="s">
        <v>674</v>
      </c>
      <c r="B1004" s="2" t="s">
        <v>611</v>
      </c>
      <c r="C1004" s="2" t="s">
        <v>660</v>
      </c>
      <c r="D1004" s="2" t="s">
        <v>661</v>
      </c>
      <c r="E1004" s="2" t="s">
        <v>303</v>
      </c>
      <c r="F1004" s="3">
        <v>18</v>
      </c>
      <c r="G1004" s="4">
        <v>12</v>
      </c>
      <c r="H1004" s="5">
        <v>0</v>
      </c>
    </row>
    <row r="1005" spans="1:8" x14ac:dyDescent="0.35">
      <c r="A1005" s="2" t="s">
        <v>674</v>
      </c>
      <c r="B1005" s="2" t="s">
        <v>611</v>
      </c>
      <c r="C1005" s="2" t="s">
        <v>647</v>
      </c>
      <c r="D1005" s="2" t="s">
        <v>648</v>
      </c>
      <c r="E1005" s="2" t="s">
        <v>535</v>
      </c>
      <c r="F1005" s="3">
        <v>22</v>
      </c>
      <c r="G1005" s="4">
        <v>12</v>
      </c>
      <c r="H1005" s="5">
        <v>0</v>
      </c>
    </row>
    <row r="1006" spans="1:8" x14ac:dyDescent="0.35">
      <c r="A1006" s="2" t="s">
        <v>674</v>
      </c>
      <c r="B1006" s="2" t="s">
        <v>611</v>
      </c>
      <c r="C1006" s="2" t="s">
        <v>649</v>
      </c>
      <c r="D1006" s="2" t="s">
        <v>650</v>
      </c>
      <c r="E1006" s="2" t="s">
        <v>275</v>
      </c>
      <c r="F1006" s="3">
        <v>8</v>
      </c>
      <c r="G1006" s="4">
        <v>12</v>
      </c>
      <c r="H1006" s="5">
        <v>0</v>
      </c>
    </row>
    <row r="1007" spans="1:8" x14ac:dyDescent="0.35">
      <c r="A1007" s="2" t="s">
        <v>674</v>
      </c>
      <c r="B1007" s="2" t="s">
        <v>611</v>
      </c>
      <c r="C1007" s="2" t="s">
        <v>651</v>
      </c>
      <c r="D1007" s="2" t="s">
        <v>652</v>
      </c>
      <c r="E1007" s="2" t="s">
        <v>136</v>
      </c>
      <c r="F1007" s="3">
        <v>44</v>
      </c>
      <c r="G1007" s="4">
        <v>6</v>
      </c>
      <c r="H1007" s="5">
        <v>0</v>
      </c>
    </row>
    <row r="1008" spans="1:8" x14ac:dyDescent="0.35">
      <c r="A1008" s="2" t="s">
        <v>674</v>
      </c>
      <c r="B1008" s="2" t="s">
        <v>611</v>
      </c>
      <c r="C1008" s="2" t="s">
        <v>653</v>
      </c>
      <c r="D1008" s="2" t="s">
        <v>654</v>
      </c>
      <c r="E1008" s="2" t="s">
        <v>190</v>
      </c>
      <c r="F1008" s="3">
        <v>1</v>
      </c>
      <c r="G1008" s="4">
        <v>1</v>
      </c>
      <c r="H1008" s="5">
        <v>0</v>
      </c>
    </row>
    <row r="1009" spans="1:8" x14ac:dyDescent="0.35">
      <c r="A1009" s="2" t="s">
        <v>674</v>
      </c>
      <c r="B1009" s="2" t="s">
        <v>611</v>
      </c>
      <c r="C1009" s="2" t="s">
        <v>687</v>
      </c>
      <c r="D1009" s="2" t="s">
        <v>473</v>
      </c>
      <c r="E1009" s="2" t="s">
        <v>473</v>
      </c>
      <c r="F1009" s="3">
        <v>700</v>
      </c>
      <c r="G1009" s="4">
        <v>36</v>
      </c>
      <c r="H1009" s="5">
        <v>0</v>
      </c>
    </row>
    <row r="1010" spans="1:8" x14ac:dyDescent="0.35">
      <c r="A1010" s="2" t="s">
        <v>674</v>
      </c>
      <c r="B1010" s="2" t="s">
        <v>611</v>
      </c>
      <c r="C1010" s="2" t="s">
        <v>688</v>
      </c>
      <c r="D1010" s="2" t="s">
        <v>689</v>
      </c>
      <c r="E1010" s="2" t="s">
        <v>690</v>
      </c>
      <c r="F1010" s="3">
        <v>600</v>
      </c>
      <c r="G1010" s="4">
        <v>36</v>
      </c>
      <c r="H1010" s="5">
        <v>0</v>
      </c>
    </row>
    <row r="1011" spans="1:8" x14ac:dyDescent="0.35">
      <c r="A1011" s="2" t="s">
        <v>674</v>
      </c>
      <c r="B1011" s="2" t="s">
        <v>611</v>
      </c>
      <c r="C1011" s="2" t="s">
        <v>691</v>
      </c>
      <c r="D1011" s="2" t="s">
        <v>692</v>
      </c>
      <c r="E1011" s="2" t="s">
        <v>670</v>
      </c>
      <c r="F1011" s="3">
        <v>2800</v>
      </c>
      <c r="G1011" s="4">
        <v>60</v>
      </c>
      <c r="H1011" s="5">
        <v>7.4999999999999997E-3</v>
      </c>
    </row>
    <row r="1012" spans="1:8" x14ac:dyDescent="0.35">
      <c r="A1012" s="2" t="s">
        <v>674</v>
      </c>
      <c r="B1012" s="2" t="s">
        <v>510</v>
      </c>
      <c r="C1012" s="2" t="s">
        <v>612</v>
      </c>
      <c r="D1012" s="2" t="s">
        <v>613</v>
      </c>
      <c r="E1012" s="2" t="s">
        <v>147</v>
      </c>
      <c r="F1012" s="3">
        <v>2273.94</v>
      </c>
      <c r="G1012" s="4">
        <v>36</v>
      </c>
      <c r="H1012" s="5">
        <v>7.4999999999999997E-3</v>
      </c>
    </row>
    <row r="1013" spans="1:8" x14ac:dyDescent="0.35">
      <c r="A1013" s="2" t="s">
        <v>674</v>
      </c>
      <c r="B1013" s="2" t="s">
        <v>510</v>
      </c>
      <c r="C1013" s="2" t="s">
        <v>614</v>
      </c>
      <c r="D1013" s="2" t="s">
        <v>615</v>
      </c>
      <c r="E1013" s="2" t="s">
        <v>193</v>
      </c>
      <c r="F1013" s="3">
        <v>263.91000000000003</v>
      </c>
      <c r="G1013" s="4">
        <v>24</v>
      </c>
      <c r="H1013" s="5">
        <v>0</v>
      </c>
    </row>
    <row r="1014" spans="1:8" x14ac:dyDescent="0.35">
      <c r="A1014" s="2" t="s">
        <v>674</v>
      </c>
      <c r="B1014" s="2" t="s">
        <v>510</v>
      </c>
      <c r="C1014" s="2" t="s">
        <v>675</v>
      </c>
      <c r="D1014" s="2" t="s">
        <v>676</v>
      </c>
      <c r="E1014" s="2" t="s">
        <v>226</v>
      </c>
      <c r="F1014" s="3">
        <v>2583.1999999999998</v>
      </c>
      <c r="G1014" s="4">
        <v>36</v>
      </c>
      <c r="H1014" s="5">
        <v>7.4999999999999997E-3</v>
      </c>
    </row>
    <row r="1015" spans="1:8" x14ac:dyDescent="0.35">
      <c r="A1015" s="2" t="s">
        <v>674</v>
      </c>
      <c r="B1015" s="2" t="s">
        <v>510</v>
      </c>
      <c r="C1015" s="2" t="s">
        <v>677</v>
      </c>
      <c r="D1015" s="2" t="s">
        <v>678</v>
      </c>
      <c r="E1015" s="2" t="s">
        <v>679</v>
      </c>
      <c r="F1015" s="3">
        <v>399</v>
      </c>
      <c r="G1015" s="4">
        <v>24</v>
      </c>
      <c r="H1015" s="5">
        <v>0</v>
      </c>
    </row>
    <row r="1016" spans="1:8" x14ac:dyDescent="0.35">
      <c r="A1016" s="2" t="s">
        <v>674</v>
      </c>
      <c r="B1016" s="2" t="s">
        <v>510</v>
      </c>
      <c r="C1016" s="2" t="s">
        <v>620</v>
      </c>
      <c r="D1016" s="2" t="s">
        <v>621</v>
      </c>
      <c r="E1016" s="2" t="s">
        <v>92</v>
      </c>
      <c r="F1016" s="3">
        <v>1250.7</v>
      </c>
      <c r="G1016" s="4">
        <v>24</v>
      </c>
      <c r="H1016" s="5">
        <v>0</v>
      </c>
    </row>
    <row r="1017" spans="1:8" x14ac:dyDescent="0.35">
      <c r="A1017" s="2" t="s">
        <v>674</v>
      </c>
      <c r="B1017" s="2" t="s">
        <v>510</v>
      </c>
      <c r="C1017" s="2" t="s">
        <v>622</v>
      </c>
      <c r="D1017" s="2" t="s">
        <v>623</v>
      </c>
      <c r="E1017" s="2" t="s">
        <v>46</v>
      </c>
      <c r="F1017" s="3">
        <v>2418.25</v>
      </c>
      <c r="G1017" s="4">
        <v>36</v>
      </c>
      <c r="H1017" s="5">
        <v>0</v>
      </c>
    </row>
    <row r="1018" spans="1:8" x14ac:dyDescent="0.35">
      <c r="A1018" s="2" t="s">
        <v>674</v>
      </c>
      <c r="B1018" s="2" t="s">
        <v>510</v>
      </c>
      <c r="C1018" s="2" t="s">
        <v>680</v>
      </c>
      <c r="D1018" s="2" t="s">
        <v>681</v>
      </c>
      <c r="E1018" s="2" t="s">
        <v>180</v>
      </c>
      <c r="F1018" s="3">
        <v>272.87</v>
      </c>
      <c r="G1018" s="4">
        <v>24</v>
      </c>
      <c r="H1018" s="5">
        <v>0</v>
      </c>
    </row>
    <row r="1019" spans="1:8" x14ac:dyDescent="0.35">
      <c r="A1019" s="2" t="s">
        <v>674</v>
      </c>
      <c r="B1019" s="2" t="s">
        <v>510</v>
      </c>
      <c r="C1019" s="2" t="s">
        <v>629</v>
      </c>
      <c r="D1019" s="2" t="s">
        <v>630</v>
      </c>
      <c r="E1019" s="2" t="s">
        <v>300</v>
      </c>
      <c r="F1019" s="3">
        <v>52.61</v>
      </c>
      <c r="G1019" s="4">
        <v>24</v>
      </c>
      <c r="H1019" s="5">
        <v>0</v>
      </c>
    </row>
    <row r="1020" spans="1:8" x14ac:dyDescent="0.35">
      <c r="A1020" s="2" t="s">
        <v>674</v>
      </c>
      <c r="B1020" s="2" t="s">
        <v>510</v>
      </c>
      <c r="C1020" s="2" t="s">
        <v>631</v>
      </c>
      <c r="D1020" s="2" t="s">
        <v>632</v>
      </c>
      <c r="E1020" s="2" t="s">
        <v>322</v>
      </c>
      <c r="F1020" s="3">
        <v>43.43</v>
      </c>
      <c r="G1020" s="4">
        <v>24</v>
      </c>
      <c r="H1020" s="5">
        <v>0</v>
      </c>
    </row>
    <row r="1021" spans="1:8" x14ac:dyDescent="0.35">
      <c r="A1021" s="2" t="s">
        <v>674</v>
      </c>
      <c r="B1021" s="2" t="s">
        <v>510</v>
      </c>
      <c r="C1021" s="2" t="s">
        <v>633</v>
      </c>
      <c r="D1021" s="2" t="s">
        <v>634</v>
      </c>
      <c r="E1021" s="2" t="s">
        <v>635</v>
      </c>
      <c r="F1021" s="3">
        <v>17</v>
      </c>
      <c r="G1021" s="4">
        <v>12</v>
      </c>
      <c r="H1021" s="5">
        <v>0</v>
      </c>
    </row>
    <row r="1022" spans="1:8" x14ac:dyDescent="0.35">
      <c r="A1022" s="2" t="s">
        <v>674</v>
      </c>
      <c r="B1022" s="2" t="s">
        <v>510</v>
      </c>
      <c r="C1022" s="2" t="s">
        <v>636</v>
      </c>
      <c r="D1022" s="2" t="s">
        <v>637</v>
      </c>
      <c r="E1022" s="2" t="s">
        <v>638</v>
      </c>
      <c r="F1022" s="3">
        <v>12</v>
      </c>
      <c r="G1022" s="4">
        <v>12</v>
      </c>
      <c r="H1022" s="5">
        <v>0</v>
      </c>
    </row>
    <row r="1023" spans="1:8" x14ac:dyDescent="0.35">
      <c r="A1023" s="2" t="s">
        <v>674</v>
      </c>
      <c r="B1023" s="2" t="s">
        <v>510</v>
      </c>
      <c r="C1023" s="2" t="s">
        <v>657</v>
      </c>
      <c r="D1023" s="2" t="s">
        <v>658</v>
      </c>
      <c r="E1023" s="2" t="s">
        <v>659</v>
      </c>
      <c r="F1023" s="3">
        <v>48.16</v>
      </c>
      <c r="G1023" s="4">
        <v>12</v>
      </c>
      <c r="H1023" s="5">
        <v>0</v>
      </c>
    </row>
    <row r="1024" spans="1:8" x14ac:dyDescent="0.35">
      <c r="A1024" s="2" t="s">
        <v>674</v>
      </c>
      <c r="B1024" s="2" t="s">
        <v>510</v>
      </c>
      <c r="C1024" s="2" t="s">
        <v>682</v>
      </c>
      <c r="D1024" s="2" t="s">
        <v>683</v>
      </c>
      <c r="E1024" s="2" t="s">
        <v>684</v>
      </c>
      <c r="F1024" s="3">
        <v>8.9600000000000009</v>
      </c>
      <c r="G1024" s="4">
        <v>12</v>
      </c>
      <c r="H1024" s="5">
        <v>0</v>
      </c>
    </row>
    <row r="1025" spans="1:8" x14ac:dyDescent="0.35">
      <c r="A1025" s="2" t="s">
        <v>674</v>
      </c>
      <c r="B1025" s="2" t="s">
        <v>510</v>
      </c>
      <c r="C1025" s="2" t="s">
        <v>642</v>
      </c>
      <c r="D1025" s="2" t="s">
        <v>643</v>
      </c>
      <c r="E1025" s="2" t="s">
        <v>644</v>
      </c>
      <c r="F1025" s="3">
        <v>11.75</v>
      </c>
      <c r="G1025" s="4">
        <v>12</v>
      </c>
      <c r="H1025" s="5">
        <v>0</v>
      </c>
    </row>
    <row r="1026" spans="1:8" x14ac:dyDescent="0.35">
      <c r="A1026" s="2" t="s">
        <v>674</v>
      </c>
      <c r="B1026" s="2" t="s">
        <v>510</v>
      </c>
      <c r="C1026" s="2" t="s">
        <v>685</v>
      </c>
      <c r="D1026" s="2" t="s">
        <v>686</v>
      </c>
      <c r="E1026" s="2" t="s">
        <v>303</v>
      </c>
      <c r="F1026" s="3">
        <v>39.81</v>
      </c>
      <c r="G1026" s="4">
        <v>24</v>
      </c>
      <c r="H1026" s="5">
        <v>0</v>
      </c>
    </row>
    <row r="1027" spans="1:8" x14ac:dyDescent="0.35">
      <c r="A1027" s="2" t="s">
        <v>674</v>
      </c>
      <c r="B1027" s="2" t="s">
        <v>510</v>
      </c>
      <c r="C1027" s="2" t="s">
        <v>660</v>
      </c>
      <c r="D1027" s="2" t="s">
        <v>661</v>
      </c>
      <c r="E1027" s="2" t="s">
        <v>303</v>
      </c>
      <c r="F1027" s="3">
        <v>39.81</v>
      </c>
      <c r="G1027" s="4">
        <v>12</v>
      </c>
      <c r="H1027" s="5">
        <v>0</v>
      </c>
    </row>
    <row r="1028" spans="1:8" x14ac:dyDescent="0.35">
      <c r="A1028" s="2" t="s">
        <v>674</v>
      </c>
      <c r="B1028" s="2" t="s">
        <v>510</v>
      </c>
      <c r="C1028" s="2" t="s">
        <v>647</v>
      </c>
      <c r="D1028" s="2" t="s">
        <v>648</v>
      </c>
      <c r="E1028" s="2" t="s">
        <v>535</v>
      </c>
      <c r="F1028" s="3">
        <v>57.39</v>
      </c>
      <c r="G1028" s="4">
        <v>12</v>
      </c>
      <c r="H1028" s="5">
        <v>0</v>
      </c>
    </row>
    <row r="1029" spans="1:8" x14ac:dyDescent="0.35">
      <c r="A1029" s="2" t="s">
        <v>674</v>
      </c>
      <c r="B1029" s="2" t="s">
        <v>510</v>
      </c>
      <c r="C1029" s="2" t="s">
        <v>649</v>
      </c>
      <c r="D1029" s="2" t="s">
        <v>650</v>
      </c>
      <c r="E1029" s="2" t="s">
        <v>275</v>
      </c>
      <c r="F1029" s="3">
        <v>8.5</v>
      </c>
      <c r="G1029" s="4">
        <v>12</v>
      </c>
      <c r="H1029" s="5">
        <v>0</v>
      </c>
    </row>
    <row r="1030" spans="1:8" x14ac:dyDescent="0.35">
      <c r="A1030" s="2" t="s">
        <v>674</v>
      </c>
      <c r="B1030" s="2" t="s">
        <v>510</v>
      </c>
      <c r="C1030" s="2" t="s">
        <v>651</v>
      </c>
      <c r="D1030" s="2" t="s">
        <v>652</v>
      </c>
      <c r="E1030" s="2" t="s">
        <v>136</v>
      </c>
      <c r="F1030" s="3">
        <v>84.23</v>
      </c>
      <c r="G1030" s="4">
        <v>6</v>
      </c>
      <c r="H1030" s="5">
        <v>0</v>
      </c>
    </row>
    <row r="1031" spans="1:8" x14ac:dyDescent="0.35">
      <c r="A1031" s="2" t="s">
        <v>674</v>
      </c>
      <c r="B1031" s="2" t="s">
        <v>510</v>
      </c>
      <c r="C1031" s="2" t="s">
        <v>653</v>
      </c>
      <c r="D1031" s="2" t="s">
        <v>654</v>
      </c>
      <c r="E1031" s="2" t="s">
        <v>190</v>
      </c>
      <c r="F1031" s="3">
        <v>1.1100000000000001</v>
      </c>
      <c r="G1031" s="4">
        <v>1</v>
      </c>
      <c r="H1031" s="5">
        <v>0</v>
      </c>
    </row>
    <row r="1032" spans="1:8" x14ac:dyDescent="0.35">
      <c r="A1032" s="2" t="s">
        <v>674</v>
      </c>
      <c r="B1032" s="2" t="s">
        <v>510</v>
      </c>
      <c r="C1032" s="2" t="s">
        <v>687</v>
      </c>
      <c r="D1032" s="2" t="s">
        <v>473</v>
      </c>
      <c r="E1032" s="2" t="s">
        <v>473</v>
      </c>
      <c r="F1032" s="3">
        <v>1800</v>
      </c>
      <c r="G1032" s="4">
        <v>36</v>
      </c>
      <c r="H1032" s="5">
        <v>0</v>
      </c>
    </row>
    <row r="1033" spans="1:8" x14ac:dyDescent="0.35">
      <c r="A1033" s="2" t="s">
        <v>674</v>
      </c>
      <c r="B1033" s="2" t="s">
        <v>510</v>
      </c>
      <c r="C1033" s="2" t="s">
        <v>688</v>
      </c>
      <c r="D1033" s="2" t="s">
        <v>689</v>
      </c>
      <c r="E1033" s="2" t="s">
        <v>690</v>
      </c>
      <c r="F1033" s="3">
        <v>450</v>
      </c>
      <c r="G1033" s="4">
        <v>24</v>
      </c>
      <c r="H1033" s="5">
        <v>0</v>
      </c>
    </row>
    <row r="1034" spans="1:8" x14ac:dyDescent="0.35">
      <c r="A1034" s="2" t="s">
        <v>674</v>
      </c>
      <c r="B1034" s="2" t="s">
        <v>510</v>
      </c>
      <c r="C1034" s="2" t="s">
        <v>691</v>
      </c>
      <c r="D1034" s="2" t="s">
        <v>692</v>
      </c>
      <c r="E1034" s="2" t="s">
        <v>670</v>
      </c>
      <c r="F1034" s="3">
        <v>2990</v>
      </c>
      <c r="G1034" s="4">
        <v>36</v>
      </c>
      <c r="H1034" s="5">
        <v>7.4999999999999997E-3</v>
      </c>
    </row>
    <row r="1035" spans="1:8" x14ac:dyDescent="0.35">
      <c r="A1035" s="2" t="s">
        <v>674</v>
      </c>
      <c r="B1035" s="2" t="s">
        <v>655</v>
      </c>
      <c r="C1035" s="2" t="s">
        <v>612</v>
      </c>
      <c r="D1035" s="2" t="s">
        <v>613</v>
      </c>
      <c r="E1035" s="2" t="s">
        <v>147</v>
      </c>
      <c r="F1035" s="3">
        <v>1365</v>
      </c>
      <c r="G1035" s="4">
        <v>36</v>
      </c>
      <c r="H1035" s="5">
        <v>7.4999999999999997E-3</v>
      </c>
    </row>
    <row r="1036" spans="1:8" x14ac:dyDescent="0.35">
      <c r="A1036" s="2" t="s">
        <v>674</v>
      </c>
      <c r="B1036" s="2" t="s">
        <v>655</v>
      </c>
      <c r="C1036" s="2" t="s">
        <v>614</v>
      </c>
      <c r="D1036" s="2" t="s">
        <v>615</v>
      </c>
      <c r="E1036" s="2" t="s">
        <v>193</v>
      </c>
      <c r="F1036" s="3">
        <v>110</v>
      </c>
      <c r="G1036" s="4">
        <v>36</v>
      </c>
      <c r="H1036" s="5">
        <v>0</v>
      </c>
    </row>
    <row r="1037" spans="1:8" x14ac:dyDescent="0.35">
      <c r="A1037" s="2" t="s">
        <v>674</v>
      </c>
      <c r="B1037" s="2" t="s">
        <v>655</v>
      </c>
      <c r="C1037" s="2" t="s">
        <v>675</v>
      </c>
      <c r="D1037" s="2" t="s">
        <v>676</v>
      </c>
      <c r="E1037" s="2" t="s">
        <v>226</v>
      </c>
      <c r="F1037" s="3">
        <v>3150</v>
      </c>
      <c r="G1037" s="4">
        <v>36</v>
      </c>
      <c r="H1037" s="5">
        <v>7.4999999999999997E-3</v>
      </c>
    </row>
    <row r="1038" spans="1:8" x14ac:dyDescent="0.35">
      <c r="A1038" s="2" t="s">
        <v>674</v>
      </c>
      <c r="B1038" s="2" t="s">
        <v>655</v>
      </c>
      <c r="C1038" s="2" t="s">
        <v>677</v>
      </c>
      <c r="D1038" s="2" t="s">
        <v>678</v>
      </c>
      <c r="E1038" s="2" t="s">
        <v>679</v>
      </c>
      <c r="F1038" s="3">
        <v>160</v>
      </c>
      <c r="G1038" s="4">
        <v>36</v>
      </c>
      <c r="H1038" s="5">
        <v>0</v>
      </c>
    </row>
    <row r="1039" spans="1:8" x14ac:dyDescent="0.35">
      <c r="A1039" s="2" t="s">
        <v>674</v>
      </c>
      <c r="B1039" s="2" t="s">
        <v>655</v>
      </c>
      <c r="C1039" s="2" t="s">
        <v>620</v>
      </c>
      <c r="D1039" s="2" t="s">
        <v>621</v>
      </c>
      <c r="E1039" s="2" t="s">
        <v>92</v>
      </c>
      <c r="F1039" s="3">
        <v>250</v>
      </c>
      <c r="G1039" s="4">
        <v>36</v>
      </c>
      <c r="H1039" s="5">
        <v>0</v>
      </c>
    </row>
    <row r="1040" spans="1:8" x14ac:dyDescent="0.35">
      <c r="A1040" s="2" t="s">
        <v>674</v>
      </c>
      <c r="B1040" s="2" t="s">
        <v>655</v>
      </c>
      <c r="C1040" s="2" t="s">
        <v>622</v>
      </c>
      <c r="D1040" s="2" t="s">
        <v>623</v>
      </c>
      <c r="E1040" s="2" t="s">
        <v>46</v>
      </c>
      <c r="F1040" s="3">
        <v>250</v>
      </c>
      <c r="G1040" s="4">
        <v>36</v>
      </c>
      <c r="H1040" s="5">
        <v>0</v>
      </c>
    </row>
    <row r="1041" spans="1:8" x14ac:dyDescent="0.35">
      <c r="A1041" s="2" t="s">
        <v>674</v>
      </c>
      <c r="B1041" s="2" t="s">
        <v>655</v>
      </c>
      <c r="C1041" s="2" t="s">
        <v>680</v>
      </c>
      <c r="D1041" s="2" t="s">
        <v>681</v>
      </c>
      <c r="E1041" s="2" t="s">
        <v>180</v>
      </c>
      <c r="F1041" s="3">
        <v>130</v>
      </c>
      <c r="G1041" s="4">
        <v>60</v>
      </c>
      <c r="H1041" s="5">
        <v>0</v>
      </c>
    </row>
    <row r="1042" spans="1:8" x14ac:dyDescent="0.35">
      <c r="A1042" s="2" t="s">
        <v>674</v>
      </c>
      <c r="B1042" s="2" t="s">
        <v>655</v>
      </c>
      <c r="C1042" s="2" t="s">
        <v>629</v>
      </c>
      <c r="D1042" s="2" t="s">
        <v>630</v>
      </c>
      <c r="E1042" s="2" t="s">
        <v>300</v>
      </c>
      <c r="F1042" s="3">
        <v>55</v>
      </c>
      <c r="G1042" s="4">
        <v>24</v>
      </c>
      <c r="H1042" s="5">
        <v>0</v>
      </c>
    </row>
    <row r="1043" spans="1:8" x14ac:dyDescent="0.35">
      <c r="A1043" s="2" t="s">
        <v>674</v>
      </c>
      <c r="B1043" s="2" t="s">
        <v>655</v>
      </c>
      <c r="C1043" s="2" t="s">
        <v>631</v>
      </c>
      <c r="D1043" s="2" t="s">
        <v>632</v>
      </c>
      <c r="E1043" s="2" t="s">
        <v>322</v>
      </c>
      <c r="F1043" s="3">
        <v>40.1</v>
      </c>
      <c r="G1043" s="4">
        <v>60</v>
      </c>
      <c r="H1043" s="5">
        <v>0</v>
      </c>
    </row>
    <row r="1044" spans="1:8" x14ac:dyDescent="0.35">
      <c r="A1044" s="2" t="s">
        <v>674</v>
      </c>
      <c r="B1044" s="2" t="s">
        <v>655</v>
      </c>
      <c r="C1044" s="2" t="s">
        <v>633</v>
      </c>
      <c r="D1044" s="2" t="s">
        <v>634</v>
      </c>
      <c r="E1044" s="2" t="s">
        <v>635</v>
      </c>
      <c r="F1044" s="3">
        <v>14</v>
      </c>
      <c r="G1044" s="4">
        <v>4</v>
      </c>
      <c r="H1044" s="5">
        <v>0</v>
      </c>
    </row>
    <row r="1045" spans="1:8" x14ac:dyDescent="0.35">
      <c r="A1045" s="2" t="s">
        <v>674</v>
      </c>
      <c r="B1045" s="2" t="s">
        <v>655</v>
      </c>
      <c r="C1045" s="2" t="s">
        <v>636</v>
      </c>
      <c r="D1045" s="2" t="s">
        <v>637</v>
      </c>
      <c r="E1045" s="2" t="s">
        <v>638</v>
      </c>
      <c r="F1045" s="3">
        <v>12</v>
      </c>
      <c r="G1045" s="4">
        <v>4</v>
      </c>
      <c r="H1045" s="5">
        <v>0</v>
      </c>
    </row>
    <row r="1046" spans="1:8" x14ac:dyDescent="0.35">
      <c r="A1046" s="2" t="s">
        <v>674</v>
      </c>
      <c r="B1046" s="2" t="s">
        <v>655</v>
      </c>
      <c r="C1046" s="2" t="s">
        <v>657</v>
      </c>
      <c r="D1046" s="2" t="s">
        <v>658</v>
      </c>
      <c r="E1046" s="2" t="s">
        <v>659</v>
      </c>
      <c r="F1046" s="3">
        <v>15</v>
      </c>
      <c r="G1046" s="4">
        <v>8</v>
      </c>
      <c r="H1046" s="5">
        <v>0</v>
      </c>
    </row>
    <row r="1047" spans="1:8" x14ac:dyDescent="0.35">
      <c r="A1047" s="2" t="s">
        <v>674</v>
      </c>
      <c r="B1047" s="2" t="s">
        <v>655</v>
      </c>
      <c r="C1047" s="2" t="s">
        <v>682</v>
      </c>
      <c r="D1047" s="2" t="s">
        <v>683</v>
      </c>
      <c r="E1047" s="2" t="s">
        <v>684</v>
      </c>
      <c r="F1047" s="3">
        <v>19</v>
      </c>
      <c r="G1047" s="4">
        <v>4</v>
      </c>
      <c r="H1047" s="5">
        <v>0</v>
      </c>
    </row>
    <row r="1048" spans="1:8" x14ac:dyDescent="0.35">
      <c r="A1048" s="2" t="s">
        <v>674</v>
      </c>
      <c r="B1048" s="2" t="s">
        <v>655</v>
      </c>
      <c r="C1048" s="2" t="s">
        <v>642</v>
      </c>
      <c r="D1048" s="2" t="s">
        <v>643</v>
      </c>
      <c r="E1048" s="2" t="s">
        <v>644</v>
      </c>
      <c r="F1048" s="3">
        <v>16</v>
      </c>
      <c r="G1048" s="4">
        <v>4</v>
      </c>
      <c r="H1048" s="5">
        <v>0</v>
      </c>
    </row>
    <row r="1049" spans="1:8" x14ac:dyDescent="0.35">
      <c r="A1049" s="2" t="s">
        <v>674</v>
      </c>
      <c r="B1049" s="2" t="s">
        <v>655</v>
      </c>
      <c r="C1049" s="2" t="s">
        <v>685</v>
      </c>
      <c r="D1049" s="2" t="s">
        <v>686</v>
      </c>
      <c r="E1049" s="2" t="s">
        <v>303</v>
      </c>
      <c r="F1049" s="3">
        <v>32</v>
      </c>
      <c r="G1049" s="4">
        <v>12</v>
      </c>
      <c r="H1049" s="5">
        <v>0</v>
      </c>
    </row>
    <row r="1050" spans="1:8" x14ac:dyDescent="0.35">
      <c r="A1050" s="2" t="s">
        <v>674</v>
      </c>
      <c r="B1050" s="2" t="s">
        <v>655</v>
      </c>
      <c r="C1050" s="2" t="s">
        <v>660</v>
      </c>
      <c r="D1050" s="2" t="s">
        <v>661</v>
      </c>
      <c r="E1050" s="2" t="s">
        <v>303</v>
      </c>
      <c r="F1050" s="3">
        <v>9</v>
      </c>
      <c r="G1050" s="4">
        <v>6</v>
      </c>
      <c r="H1050" s="5">
        <v>0</v>
      </c>
    </row>
    <row r="1051" spans="1:8" x14ac:dyDescent="0.35">
      <c r="A1051" s="2" t="s">
        <v>674</v>
      </c>
      <c r="B1051" s="2" t="s">
        <v>655</v>
      </c>
      <c r="C1051" s="2" t="s">
        <v>647</v>
      </c>
      <c r="D1051" s="2" t="s">
        <v>648</v>
      </c>
      <c r="E1051" s="2" t="s">
        <v>535</v>
      </c>
      <c r="F1051" s="3">
        <v>11</v>
      </c>
      <c r="G1051" s="4">
        <v>6</v>
      </c>
      <c r="H1051" s="5">
        <v>0</v>
      </c>
    </row>
    <row r="1052" spans="1:8" x14ac:dyDescent="0.35">
      <c r="A1052" s="2" t="s">
        <v>674</v>
      </c>
      <c r="B1052" s="2" t="s">
        <v>655</v>
      </c>
      <c r="C1052" s="2" t="s">
        <v>649</v>
      </c>
      <c r="D1052" s="2" t="s">
        <v>650</v>
      </c>
      <c r="E1052" s="2" t="s">
        <v>275</v>
      </c>
      <c r="F1052" s="3">
        <v>4</v>
      </c>
      <c r="G1052" s="4">
        <v>12</v>
      </c>
      <c r="H1052" s="5">
        <v>0</v>
      </c>
    </row>
    <row r="1053" spans="1:8" x14ac:dyDescent="0.35">
      <c r="A1053" s="2" t="s">
        <v>674</v>
      </c>
      <c r="B1053" s="2" t="s">
        <v>655</v>
      </c>
      <c r="C1053" s="2" t="s">
        <v>651</v>
      </c>
      <c r="D1053" s="2" t="s">
        <v>652</v>
      </c>
      <c r="E1053" s="2" t="s">
        <v>136</v>
      </c>
      <c r="F1053" s="3">
        <v>22</v>
      </c>
      <c r="G1053" s="4">
        <v>2</v>
      </c>
      <c r="H1053" s="5">
        <v>0</v>
      </c>
    </row>
    <row r="1054" spans="1:8" x14ac:dyDescent="0.35">
      <c r="A1054" s="2" t="s">
        <v>674</v>
      </c>
      <c r="B1054" s="2" t="s">
        <v>655</v>
      </c>
      <c r="C1054" s="2" t="s">
        <v>653</v>
      </c>
      <c r="D1054" s="2" t="s">
        <v>654</v>
      </c>
      <c r="E1054" s="2" t="s">
        <v>190</v>
      </c>
      <c r="F1054" s="3">
        <v>0.5</v>
      </c>
      <c r="G1054" s="4">
        <v>1</v>
      </c>
      <c r="H1054" s="5">
        <v>0</v>
      </c>
    </row>
    <row r="1055" spans="1:8" x14ac:dyDescent="0.35">
      <c r="A1055" s="2" t="s">
        <v>674</v>
      </c>
      <c r="B1055" s="2" t="s">
        <v>655</v>
      </c>
      <c r="C1055" s="2" t="s">
        <v>687</v>
      </c>
      <c r="D1055" s="2" t="s">
        <v>473</v>
      </c>
      <c r="E1055" s="2" t="s">
        <v>473</v>
      </c>
      <c r="F1055" s="3">
        <v>350</v>
      </c>
      <c r="G1055" s="4">
        <v>36</v>
      </c>
      <c r="H1055" s="5">
        <v>0</v>
      </c>
    </row>
    <row r="1056" spans="1:8" x14ac:dyDescent="0.35">
      <c r="A1056" s="2" t="s">
        <v>674</v>
      </c>
      <c r="B1056" s="2" t="s">
        <v>655</v>
      </c>
      <c r="C1056" s="2" t="s">
        <v>688</v>
      </c>
      <c r="D1056" s="2" t="s">
        <v>689</v>
      </c>
      <c r="E1056" s="2" t="s">
        <v>690</v>
      </c>
      <c r="F1056" s="3">
        <v>300</v>
      </c>
      <c r="G1056" s="4">
        <v>36</v>
      </c>
      <c r="H1056" s="5">
        <v>0</v>
      </c>
    </row>
    <row r="1057" spans="1:8" x14ac:dyDescent="0.35">
      <c r="A1057" s="2" t="s">
        <v>674</v>
      </c>
      <c r="B1057" s="2" t="s">
        <v>655</v>
      </c>
      <c r="C1057" s="2" t="s">
        <v>691</v>
      </c>
      <c r="D1057" s="2" t="s">
        <v>692</v>
      </c>
      <c r="E1057" s="2" t="s">
        <v>670</v>
      </c>
      <c r="F1057" s="3">
        <v>2100</v>
      </c>
      <c r="G1057" s="4">
        <v>36</v>
      </c>
      <c r="H1057" s="5">
        <v>7.4999999999999997E-3</v>
      </c>
    </row>
    <row r="1058" spans="1:8" x14ac:dyDescent="0.35">
      <c r="A1058" s="2" t="s">
        <v>674</v>
      </c>
      <c r="B1058" s="2" t="s">
        <v>447</v>
      </c>
      <c r="C1058" s="2" t="s">
        <v>612</v>
      </c>
      <c r="D1058" s="2" t="s">
        <v>613</v>
      </c>
      <c r="E1058" s="2" t="s">
        <v>147</v>
      </c>
      <c r="F1058" s="3">
        <v>1499</v>
      </c>
      <c r="G1058" s="4">
        <v>60</v>
      </c>
      <c r="H1058" s="5">
        <v>7.4999999999999997E-3</v>
      </c>
    </row>
    <row r="1059" spans="1:8" x14ac:dyDescent="0.35">
      <c r="A1059" s="2" t="s">
        <v>674</v>
      </c>
      <c r="B1059" s="2" t="s">
        <v>447</v>
      </c>
      <c r="C1059" s="2" t="s">
        <v>614</v>
      </c>
      <c r="D1059" s="2" t="s">
        <v>615</v>
      </c>
      <c r="E1059" s="2" t="s">
        <v>193</v>
      </c>
      <c r="F1059" s="3">
        <v>287.08999999999997</v>
      </c>
      <c r="G1059" s="4">
        <v>36</v>
      </c>
      <c r="H1059" s="5">
        <v>0</v>
      </c>
    </row>
    <row r="1060" spans="1:8" x14ac:dyDescent="0.35">
      <c r="A1060" s="2" t="s">
        <v>674</v>
      </c>
      <c r="B1060" s="2" t="s">
        <v>447</v>
      </c>
      <c r="C1060" s="2" t="s">
        <v>675</v>
      </c>
      <c r="D1060" s="2" t="s">
        <v>676</v>
      </c>
      <c r="E1060" s="2" t="s">
        <v>226</v>
      </c>
      <c r="F1060" s="3">
        <v>4699.8999999999996</v>
      </c>
      <c r="G1060" s="4">
        <v>60</v>
      </c>
      <c r="H1060" s="5">
        <v>7.4999999999999997E-3</v>
      </c>
    </row>
    <row r="1061" spans="1:8" x14ac:dyDescent="0.35">
      <c r="A1061" s="2" t="s">
        <v>674</v>
      </c>
      <c r="B1061" s="2" t="s">
        <v>447</v>
      </c>
      <c r="C1061" s="2" t="s">
        <v>677</v>
      </c>
      <c r="D1061" s="2" t="s">
        <v>678</v>
      </c>
      <c r="E1061" s="2" t="s">
        <v>679</v>
      </c>
      <c r="F1061" s="3">
        <v>380</v>
      </c>
      <c r="G1061" s="4">
        <v>60</v>
      </c>
      <c r="H1061" s="5">
        <v>0</v>
      </c>
    </row>
    <row r="1062" spans="1:8" x14ac:dyDescent="0.35">
      <c r="A1062" s="2" t="s">
        <v>674</v>
      </c>
      <c r="B1062" s="2" t="s">
        <v>447</v>
      </c>
      <c r="C1062" s="2" t="s">
        <v>620</v>
      </c>
      <c r="D1062" s="2" t="s">
        <v>621</v>
      </c>
      <c r="E1062" s="2" t="s">
        <v>92</v>
      </c>
      <c r="F1062" s="3">
        <v>950</v>
      </c>
      <c r="G1062" s="4">
        <v>36</v>
      </c>
      <c r="H1062" s="5">
        <v>0</v>
      </c>
    </row>
    <row r="1063" spans="1:8" x14ac:dyDescent="0.35">
      <c r="A1063" s="2" t="s">
        <v>674</v>
      </c>
      <c r="B1063" s="2" t="s">
        <v>447</v>
      </c>
      <c r="C1063" s="2" t="s">
        <v>622</v>
      </c>
      <c r="D1063" s="2" t="s">
        <v>623</v>
      </c>
      <c r="E1063" s="2" t="s">
        <v>46</v>
      </c>
      <c r="F1063" s="3">
        <v>287.83999999999997</v>
      </c>
      <c r="G1063" s="4">
        <v>60</v>
      </c>
      <c r="H1063" s="5">
        <v>0</v>
      </c>
    </row>
    <row r="1064" spans="1:8" x14ac:dyDescent="0.35">
      <c r="A1064" s="2" t="s">
        <v>674</v>
      </c>
      <c r="B1064" s="2" t="s">
        <v>447</v>
      </c>
      <c r="C1064" s="2" t="s">
        <v>680</v>
      </c>
      <c r="D1064" s="2" t="s">
        <v>681</v>
      </c>
      <c r="E1064" s="2" t="s">
        <v>180</v>
      </c>
      <c r="F1064" s="3">
        <v>149.9</v>
      </c>
      <c r="G1064" s="4">
        <v>60</v>
      </c>
      <c r="H1064" s="5">
        <v>0</v>
      </c>
    </row>
    <row r="1065" spans="1:8" x14ac:dyDescent="0.35">
      <c r="A1065" s="2" t="s">
        <v>674</v>
      </c>
      <c r="B1065" s="2" t="s">
        <v>447</v>
      </c>
      <c r="C1065" s="2" t="s">
        <v>629</v>
      </c>
      <c r="D1065" s="2" t="s">
        <v>630</v>
      </c>
      <c r="E1065" s="2" t="s">
        <v>300</v>
      </c>
      <c r="F1065" s="3">
        <v>55</v>
      </c>
      <c r="G1065" s="4">
        <v>24</v>
      </c>
      <c r="H1065" s="5">
        <v>0</v>
      </c>
    </row>
    <row r="1066" spans="1:8" x14ac:dyDescent="0.35">
      <c r="A1066" s="2" t="s">
        <v>674</v>
      </c>
      <c r="B1066" s="2" t="s">
        <v>447</v>
      </c>
      <c r="C1066" s="2" t="s">
        <v>631</v>
      </c>
      <c r="D1066" s="2" t="s">
        <v>632</v>
      </c>
      <c r="E1066" s="2" t="s">
        <v>322</v>
      </c>
      <c r="F1066" s="3">
        <v>55</v>
      </c>
      <c r="G1066" s="4">
        <v>60</v>
      </c>
      <c r="H1066" s="5">
        <v>0</v>
      </c>
    </row>
    <row r="1067" spans="1:8" x14ac:dyDescent="0.35">
      <c r="A1067" s="2" t="s">
        <v>674</v>
      </c>
      <c r="B1067" s="2" t="s">
        <v>447</v>
      </c>
      <c r="C1067" s="2" t="s">
        <v>633</v>
      </c>
      <c r="D1067" s="2" t="s">
        <v>634</v>
      </c>
      <c r="E1067" s="2" t="s">
        <v>635</v>
      </c>
      <c r="F1067" s="3">
        <v>19.989999999999998</v>
      </c>
      <c r="G1067" s="4">
        <v>12</v>
      </c>
      <c r="H1067" s="5">
        <v>0</v>
      </c>
    </row>
    <row r="1068" spans="1:8" x14ac:dyDescent="0.35">
      <c r="A1068" s="2" t="s">
        <v>674</v>
      </c>
      <c r="B1068" s="2" t="s">
        <v>447</v>
      </c>
      <c r="C1068" s="2" t="s">
        <v>636</v>
      </c>
      <c r="D1068" s="2" t="s">
        <v>637</v>
      </c>
      <c r="E1068" s="2" t="s">
        <v>638</v>
      </c>
      <c r="F1068" s="3">
        <v>12</v>
      </c>
      <c r="G1068" s="4">
        <v>12</v>
      </c>
      <c r="H1068" s="5">
        <v>0</v>
      </c>
    </row>
    <row r="1069" spans="1:8" x14ac:dyDescent="0.35">
      <c r="A1069" s="2" t="s">
        <v>674</v>
      </c>
      <c r="B1069" s="2" t="s">
        <v>447</v>
      </c>
      <c r="C1069" s="2" t="s">
        <v>657</v>
      </c>
      <c r="D1069" s="2" t="s">
        <v>658</v>
      </c>
      <c r="E1069" s="2" t="s">
        <v>659</v>
      </c>
      <c r="F1069" s="3">
        <v>15</v>
      </c>
      <c r="G1069" s="4">
        <v>24</v>
      </c>
      <c r="H1069" s="5">
        <v>0</v>
      </c>
    </row>
    <row r="1070" spans="1:8" x14ac:dyDescent="0.35">
      <c r="A1070" s="2" t="s">
        <v>674</v>
      </c>
      <c r="B1070" s="2" t="s">
        <v>447</v>
      </c>
      <c r="C1070" s="2" t="s">
        <v>682</v>
      </c>
      <c r="D1070" s="2" t="s">
        <v>683</v>
      </c>
      <c r="E1070" s="2" t="s">
        <v>684</v>
      </c>
      <c r="F1070" s="3">
        <v>19</v>
      </c>
      <c r="G1070" s="4">
        <v>12</v>
      </c>
      <c r="H1070" s="5">
        <v>0</v>
      </c>
    </row>
    <row r="1071" spans="1:8" x14ac:dyDescent="0.35">
      <c r="A1071" s="2" t="s">
        <v>674</v>
      </c>
      <c r="B1071" s="2" t="s">
        <v>447</v>
      </c>
      <c r="C1071" s="2" t="s">
        <v>642</v>
      </c>
      <c r="D1071" s="2" t="s">
        <v>643</v>
      </c>
      <c r="E1071" s="2" t="s">
        <v>644</v>
      </c>
      <c r="F1071" s="3">
        <v>16</v>
      </c>
      <c r="G1071" s="4">
        <v>12</v>
      </c>
      <c r="H1071" s="5">
        <v>0</v>
      </c>
    </row>
    <row r="1072" spans="1:8" x14ac:dyDescent="0.35">
      <c r="A1072" s="2" t="s">
        <v>674</v>
      </c>
      <c r="B1072" s="2" t="s">
        <v>447</v>
      </c>
      <c r="C1072" s="2" t="s">
        <v>685</v>
      </c>
      <c r="D1072" s="2" t="s">
        <v>686</v>
      </c>
      <c r="E1072" s="2" t="s">
        <v>303</v>
      </c>
      <c r="F1072" s="3">
        <v>32</v>
      </c>
      <c r="G1072" s="4">
        <v>24</v>
      </c>
      <c r="H1072" s="5">
        <v>0</v>
      </c>
    </row>
    <row r="1073" spans="1:8" x14ac:dyDescent="0.35">
      <c r="A1073" s="2" t="s">
        <v>674</v>
      </c>
      <c r="B1073" s="2" t="s">
        <v>447</v>
      </c>
      <c r="C1073" s="2" t="s">
        <v>660</v>
      </c>
      <c r="D1073" s="2" t="s">
        <v>661</v>
      </c>
      <c r="E1073" s="2" t="s">
        <v>303</v>
      </c>
      <c r="F1073" s="3">
        <v>9</v>
      </c>
      <c r="G1073" s="4">
        <v>12</v>
      </c>
      <c r="H1073" s="5">
        <v>0</v>
      </c>
    </row>
    <row r="1074" spans="1:8" x14ac:dyDescent="0.35">
      <c r="A1074" s="2" t="s">
        <v>674</v>
      </c>
      <c r="B1074" s="2" t="s">
        <v>447</v>
      </c>
      <c r="C1074" s="2" t="s">
        <v>647</v>
      </c>
      <c r="D1074" s="2" t="s">
        <v>648</v>
      </c>
      <c r="E1074" s="2" t="s">
        <v>535</v>
      </c>
      <c r="F1074" s="3">
        <v>11</v>
      </c>
      <c r="G1074" s="4">
        <v>12</v>
      </c>
      <c r="H1074" s="5">
        <v>0</v>
      </c>
    </row>
    <row r="1075" spans="1:8" x14ac:dyDescent="0.35">
      <c r="A1075" s="2" t="s">
        <v>674</v>
      </c>
      <c r="B1075" s="2" t="s">
        <v>447</v>
      </c>
      <c r="C1075" s="2" t="s">
        <v>649</v>
      </c>
      <c r="D1075" s="2" t="s">
        <v>650</v>
      </c>
      <c r="E1075" s="2" t="s">
        <v>275</v>
      </c>
      <c r="F1075" s="3">
        <v>4</v>
      </c>
      <c r="G1075" s="4">
        <v>12</v>
      </c>
      <c r="H1075" s="5">
        <v>0</v>
      </c>
    </row>
    <row r="1076" spans="1:8" x14ac:dyDescent="0.35">
      <c r="A1076" s="2" t="s">
        <v>674</v>
      </c>
      <c r="B1076" s="2" t="s">
        <v>447</v>
      </c>
      <c r="C1076" s="2" t="s">
        <v>651</v>
      </c>
      <c r="D1076" s="2" t="s">
        <v>652</v>
      </c>
      <c r="E1076" s="2" t="s">
        <v>136</v>
      </c>
      <c r="F1076" s="3">
        <v>22</v>
      </c>
      <c r="G1076" s="4">
        <v>6</v>
      </c>
      <c r="H1076" s="5">
        <v>0</v>
      </c>
    </row>
    <row r="1077" spans="1:8" x14ac:dyDescent="0.35">
      <c r="A1077" s="2" t="s">
        <v>674</v>
      </c>
      <c r="B1077" s="2" t="s">
        <v>447</v>
      </c>
      <c r="C1077" s="2" t="s">
        <v>653</v>
      </c>
      <c r="D1077" s="2" t="s">
        <v>654</v>
      </c>
      <c r="E1077" s="2" t="s">
        <v>190</v>
      </c>
      <c r="F1077" s="3">
        <v>0.5</v>
      </c>
      <c r="G1077" s="4">
        <v>1</v>
      </c>
      <c r="H1077" s="5">
        <v>0</v>
      </c>
    </row>
    <row r="1078" spans="1:8" x14ac:dyDescent="0.35">
      <c r="A1078" s="2" t="s">
        <v>674</v>
      </c>
      <c r="B1078" s="2" t="s">
        <v>447</v>
      </c>
      <c r="C1078" s="2" t="s">
        <v>687</v>
      </c>
      <c r="D1078" s="2" t="s">
        <v>473</v>
      </c>
      <c r="E1078" s="2" t="s">
        <v>473</v>
      </c>
      <c r="F1078" s="3">
        <v>350</v>
      </c>
      <c r="G1078" s="4">
        <v>36</v>
      </c>
      <c r="H1078" s="5">
        <v>0</v>
      </c>
    </row>
    <row r="1079" spans="1:8" x14ac:dyDescent="0.35">
      <c r="A1079" s="2" t="s">
        <v>674</v>
      </c>
      <c r="B1079" s="2" t="s">
        <v>447</v>
      </c>
      <c r="C1079" s="2" t="s">
        <v>688</v>
      </c>
      <c r="D1079" s="2" t="s">
        <v>689</v>
      </c>
      <c r="E1079" s="2" t="s">
        <v>690</v>
      </c>
      <c r="F1079" s="3">
        <v>300</v>
      </c>
      <c r="G1079" s="4">
        <v>36</v>
      </c>
      <c r="H1079" s="5">
        <v>0</v>
      </c>
    </row>
    <row r="1080" spans="1:8" x14ac:dyDescent="0.35">
      <c r="A1080" s="2" t="s">
        <v>674</v>
      </c>
      <c r="B1080" s="2" t="s">
        <v>447</v>
      </c>
      <c r="C1080" s="2" t="s">
        <v>691</v>
      </c>
      <c r="D1080" s="2" t="s">
        <v>692</v>
      </c>
      <c r="E1080" s="2" t="s">
        <v>670</v>
      </c>
      <c r="F1080" s="3">
        <v>1400</v>
      </c>
      <c r="G1080" s="4">
        <v>60</v>
      </c>
      <c r="H1080" s="5">
        <v>7.4999999999999997E-3</v>
      </c>
    </row>
    <row r="1081" spans="1:8" x14ac:dyDescent="0.35">
      <c r="A1081" s="2" t="s">
        <v>693</v>
      </c>
      <c r="B1081" s="2" t="s">
        <v>611</v>
      </c>
      <c r="C1081" s="2" t="s">
        <v>612</v>
      </c>
      <c r="D1081" s="2" t="s">
        <v>613</v>
      </c>
      <c r="E1081" s="2" t="s">
        <v>147</v>
      </c>
      <c r="F1081" s="3">
        <v>4777.5</v>
      </c>
      <c r="G1081" s="4">
        <v>60</v>
      </c>
      <c r="H1081" s="5">
        <v>7.4999999999999997E-3</v>
      </c>
    </row>
    <row r="1082" spans="1:8" x14ac:dyDescent="0.35">
      <c r="A1082" s="2" t="s">
        <v>693</v>
      </c>
      <c r="B1082" s="2" t="s">
        <v>611</v>
      </c>
      <c r="C1082" s="2" t="s">
        <v>694</v>
      </c>
      <c r="D1082" s="2" t="s">
        <v>695</v>
      </c>
      <c r="E1082" s="2" t="s">
        <v>158</v>
      </c>
      <c r="F1082" s="3">
        <v>9100</v>
      </c>
      <c r="G1082" s="4">
        <v>60</v>
      </c>
      <c r="H1082" s="5">
        <v>7.4999999999999997E-3</v>
      </c>
    </row>
    <row r="1083" spans="1:8" x14ac:dyDescent="0.35">
      <c r="A1083" s="2" t="s">
        <v>693</v>
      </c>
      <c r="B1083" s="2" t="s">
        <v>611</v>
      </c>
      <c r="C1083" s="2" t="s">
        <v>696</v>
      </c>
      <c r="D1083" s="2" t="s">
        <v>697</v>
      </c>
      <c r="E1083" s="2" t="s">
        <v>698</v>
      </c>
      <c r="F1083" s="3">
        <v>455</v>
      </c>
      <c r="G1083" s="4">
        <v>36</v>
      </c>
      <c r="H1083" s="5">
        <v>0</v>
      </c>
    </row>
    <row r="1084" spans="1:8" x14ac:dyDescent="0.35">
      <c r="A1084" s="2" t="s">
        <v>693</v>
      </c>
      <c r="B1084" s="2" t="s">
        <v>611</v>
      </c>
      <c r="C1084" s="2" t="s">
        <v>675</v>
      </c>
      <c r="D1084" s="2" t="s">
        <v>676</v>
      </c>
      <c r="E1084" s="2" t="s">
        <v>226</v>
      </c>
      <c r="F1084" s="3">
        <v>11025</v>
      </c>
      <c r="G1084" s="4">
        <v>60</v>
      </c>
      <c r="H1084" s="5">
        <v>7.4999999999999997E-3</v>
      </c>
    </row>
    <row r="1085" spans="1:8" x14ac:dyDescent="0.35">
      <c r="A1085" s="2" t="s">
        <v>693</v>
      </c>
      <c r="B1085" s="2" t="s">
        <v>611</v>
      </c>
      <c r="C1085" s="2" t="s">
        <v>677</v>
      </c>
      <c r="D1085" s="2" t="s">
        <v>678</v>
      </c>
      <c r="E1085" s="2" t="s">
        <v>679</v>
      </c>
      <c r="F1085" s="3">
        <v>560</v>
      </c>
      <c r="G1085" s="4">
        <v>60</v>
      </c>
      <c r="H1085" s="5">
        <v>0</v>
      </c>
    </row>
    <row r="1086" spans="1:8" x14ac:dyDescent="0.35">
      <c r="A1086" s="2" t="s">
        <v>693</v>
      </c>
      <c r="B1086" s="2" t="s">
        <v>611</v>
      </c>
      <c r="C1086" s="2" t="s">
        <v>620</v>
      </c>
      <c r="D1086" s="2" t="s">
        <v>621</v>
      </c>
      <c r="E1086" s="2" t="s">
        <v>92</v>
      </c>
      <c r="F1086" s="3">
        <v>875</v>
      </c>
      <c r="G1086" s="4">
        <v>36</v>
      </c>
      <c r="H1086" s="5">
        <v>0</v>
      </c>
    </row>
    <row r="1087" spans="1:8" x14ac:dyDescent="0.35">
      <c r="A1087" s="2" t="s">
        <v>693</v>
      </c>
      <c r="B1087" s="2" t="s">
        <v>611</v>
      </c>
      <c r="C1087" s="2" t="s">
        <v>622</v>
      </c>
      <c r="D1087" s="2" t="s">
        <v>623</v>
      </c>
      <c r="E1087" s="2" t="s">
        <v>46</v>
      </c>
      <c r="F1087" s="3">
        <v>437.5</v>
      </c>
      <c r="G1087" s="4">
        <v>60</v>
      </c>
      <c r="H1087" s="5">
        <v>0</v>
      </c>
    </row>
    <row r="1088" spans="1:8" x14ac:dyDescent="0.35">
      <c r="A1088" s="2" t="s">
        <v>693</v>
      </c>
      <c r="B1088" s="2" t="s">
        <v>611</v>
      </c>
      <c r="C1088" s="2" t="s">
        <v>699</v>
      </c>
      <c r="D1088" s="2" t="s">
        <v>700</v>
      </c>
      <c r="E1088" s="2" t="s">
        <v>670</v>
      </c>
      <c r="F1088" s="3">
        <v>2450</v>
      </c>
      <c r="G1088" s="4">
        <v>60</v>
      </c>
      <c r="H1088" s="5">
        <v>7.4999999999999997E-3</v>
      </c>
    </row>
    <row r="1089" spans="1:8" x14ac:dyDescent="0.35">
      <c r="A1089" s="2" t="s">
        <v>693</v>
      </c>
      <c r="B1089" s="2" t="s">
        <v>611</v>
      </c>
      <c r="C1089" s="2" t="s">
        <v>701</v>
      </c>
      <c r="D1089" s="2" t="s">
        <v>702</v>
      </c>
      <c r="E1089" s="2" t="s">
        <v>703</v>
      </c>
      <c r="F1089" s="3">
        <v>227.5</v>
      </c>
      <c r="G1089" s="4">
        <v>60</v>
      </c>
      <c r="H1089" s="5">
        <v>0</v>
      </c>
    </row>
    <row r="1090" spans="1:8" x14ac:dyDescent="0.35">
      <c r="A1090" s="2" t="s">
        <v>693</v>
      </c>
      <c r="B1090" s="2" t="s">
        <v>611</v>
      </c>
      <c r="C1090" s="2" t="s">
        <v>680</v>
      </c>
      <c r="D1090" s="2" t="s">
        <v>681</v>
      </c>
      <c r="E1090" s="2" t="s">
        <v>180</v>
      </c>
      <c r="F1090" s="3">
        <v>280</v>
      </c>
      <c r="G1090" s="4">
        <v>60</v>
      </c>
      <c r="H1090" s="5">
        <v>0</v>
      </c>
    </row>
    <row r="1091" spans="1:8" x14ac:dyDescent="0.35">
      <c r="A1091" s="2" t="s">
        <v>693</v>
      </c>
      <c r="B1091" s="2" t="s">
        <v>611</v>
      </c>
      <c r="C1091" s="2" t="s">
        <v>704</v>
      </c>
      <c r="D1091" s="2" t="s">
        <v>705</v>
      </c>
      <c r="E1091" s="6" t="s">
        <v>180</v>
      </c>
      <c r="F1091" s="3">
        <v>556.5</v>
      </c>
      <c r="G1091" s="4">
        <v>60</v>
      </c>
      <c r="H1091" s="5">
        <v>0</v>
      </c>
    </row>
    <row r="1092" spans="1:8" x14ac:dyDescent="0.35">
      <c r="A1092" s="2" t="s">
        <v>693</v>
      </c>
      <c r="B1092" s="2" t="s">
        <v>611</v>
      </c>
      <c r="C1092" s="2" t="s">
        <v>706</v>
      </c>
      <c r="D1092" s="2" t="s">
        <v>707</v>
      </c>
      <c r="E1092" s="2" t="s">
        <v>708</v>
      </c>
      <c r="F1092" s="3">
        <v>2500</v>
      </c>
      <c r="G1092" s="4">
        <v>60</v>
      </c>
      <c r="H1092" s="5">
        <v>7.4999999999999997E-3</v>
      </c>
    </row>
    <row r="1093" spans="1:8" x14ac:dyDescent="0.35">
      <c r="A1093" s="2" t="s">
        <v>693</v>
      </c>
      <c r="B1093" s="2" t="s">
        <v>611</v>
      </c>
      <c r="C1093" s="2" t="s">
        <v>629</v>
      </c>
      <c r="D1093" s="2" t="s">
        <v>630</v>
      </c>
      <c r="E1093" s="2" t="s">
        <v>300</v>
      </c>
      <c r="F1093" s="3">
        <v>55</v>
      </c>
      <c r="G1093" s="4">
        <v>24</v>
      </c>
      <c r="H1093" s="5">
        <v>0</v>
      </c>
    </row>
    <row r="1094" spans="1:8" x14ac:dyDescent="0.35">
      <c r="A1094" s="2" t="s">
        <v>693</v>
      </c>
      <c r="B1094" s="2" t="s">
        <v>611</v>
      </c>
      <c r="C1094" s="2" t="s">
        <v>631</v>
      </c>
      <c r="D1094" s="2" t="s">
        <v>632</v>
      </c>
      <c r="E1094" s="2" t="s">
        <v>322</v>
      </c>
      <c r="F1094" s="3">
        <v>40.1</v>
      </c>
      <c r="G1094" s="4">
        <v>60</v>
      </c>
      <c r="H1094" s="5">
        <v>0</v>
      </c>
    </row>
    <row r="1095" spans="1:8" x14ac:dyDescent="0.35">
      <c r="A1095" s="2" t="s">
        <v>693</v>
      </c>
      <c r="B1095" s="2" t="s">
        <v>611</v>
      </c>
      <c r="C1095" s="2" t="s">
        <v>633</v>
      </c>
      <c r="D1095" s="2" t="s">
        <v>634</v>
      </c>
      <c r="E1095" s="2" t="s">
        <v>635</v>
      </c>
      <c r="F1095" s="3">
        <v>14</v>
      </c>
      <c r="G1095" s="4">
        <v>12</v>
      </c>
      <c r="H1095" s="5">
        <v>0</v>
      </c>
    </row>
    <row r="1096" spans="1:8" x14ac:dyDescent="0.35">
      <c r="A1096" s="2" t="s">
        <v>693</v>
      </c>
      <c r="B1096" s="2" t="s">
        <v>611</v>
      </c>
      <c r="C1096" s="2" t="s">
        <v>709</v>
      </c>
      <c r="D1096" s="2" t="s">
        <v>710</v>
      </c>
      <c r="E1096" s="2" t="s">
        <v>638</v>
      </c>
      <c r="F1096" s="3">
        <v>84</v>
      </c>
      <c r="G1096" s="4">
        <v>12</v>
      </c>
      <c r="H1096" s="5">
        <v>0</v>
      </c>
    </row>
    <row r="1097" spans="1:8" x14ac:dyDescent="0.35">
      <c r="A1097" s="2" t="s">
        <v>693</v>
      </c>
      <c r="B1097" s="2" t="s">
        <v>611</v>
      </c>
      <c r="C1097" s="2" t="s">
        <v>657</v>
      </c>
      <c r="D1097" s="2" t="s">
        <v>658</v>
      </c>
      <c r="E1097" s="2" t="s">
        <v>659</v>
      </c>
      <c r="F1097" s="3">
        <v>105</v>
      </c>
      <c r="G1097" s="4">
        <v>24</v>
      </c>
      <c r="H1097" s="5">
        <v>0</v>
      </c>
    </row>
    <row r="1098" spans="1:8" x14ac:dyDescent="0.35">
      <c r="A1098" s="2" t="s">
        <v>693</v>
      </c>
      <c r="B1098" s="2" t="s">
        <v>611</v>
      </c>
      <c r="C1098" s="2" t="s">
        <v>711</v>
      </c>
      <c r="D1098" s="2" t="s">
        <v>712</v>
      </c>
      <c r="E1098" s="2" t="s">
        <v>713</v>
      </c>
      <c r="F1098" s="3">
        <v>1596</v>
      </c>
      <c r="G1098" s="4">
        <v>36</v>
      </c>
      <c r="H1098" s="5">
        <v>0</v>
      </c>
    </row>
    <row r="1099" spans="1:8" x14ac:dyDescent="0.35">
      <c r="A1099" s="2" t="s">
        <v>693</v>
      </c>
      <c r="B1099" s="2" t="s">
        <v>611</v>
      </c>
      <c r="C1099" s="2" t="s">
        <v>639</v>
      </c>
      <c r="D1099" s="2" t="s">
        <v>640</v>
      </c>
      <c r="E1099" s="2" t="s">
        <v>641</v>
      </c>
      <c r="F1099" s="3">
        <v>91</v>
      </c>
      <c r="G1099" s="4">
        <v>12</v>
      </c>
      <c r="H1099" s="5">
        <v>0</v>
      </c>
    </row>
    <row r="1100" spans="1:8" x14ac:dyDescent="0.35">
      <c r="A1100" s="2" t="s">
        <v>693</v>
      </c>
      <c r="B1100" s="2" t="s">
        <v>611</v>
      </c>
      <c r="C1100" s="2" t="s">
        <v>642</v>
      </c>
      <c r="D1100" s="2" t="s">
        <v>643</v>
      </c>
      <c r="E1100" s="2" t="s">
        <v>644</v>
      </c>
      <c r="F1100" s="3">
        <v>112</v>
      </c>
      <c r="G1100" s="4">
        <v>12</v>
      </c>
      <c r="H1100" s="5">
        <v>0</v>
      </c>
    </row>
    <row r="1101" spans="1:8" x14ac:dyDescent="0.35">
      <c r="A1101" s="2" t="s">
        <v>693</v>
      </c>
      <c r="B1101" s="2" t="s">
        <v>611</v>
      </c>
      <c r="C1101" s="2" t="s">
        <v>682</v>
      </c>
      <c r="D1101" s="2" t="s">
        <v>683</v>
      </c>
      <c r="E1101" s="2" t="s">
        <v>684</v>
      </c>
      <c r="F1101" s="3">
        <v>66.5</v>
      </c>
      <c r="G1101" s="4">
        <v>12</v>
      </c>
      <c r="H1101" s="5">
        <v>0</v>
      </c>
    </row>
    <row r="1102" spans="1:8" x14ac:dyDescent="0.35">
      <c r="A1102" s="2" t="s">
        <v>693</v>
      </c>
      <c r="B1102" s="2" t="s">
        <v>611</v>
      </c>
      <c r="C1102" s="2" t="s">
        <v>714</v>
      </c>
      <c r="D1102" s="2" t="s">
        <v>686</v>
      </c>
      <c r="E1102" s="2" t="s">
        <v>303</v>
      </c>
      <c r="F1102" s="3">
        <v>112</v>
      </c>
      <c r="G1102" s="4">
        <v>24</v>
      </c>
      <c r="H1102" s="5">
        <v>0</v>
      </c>
    </row>
    <row r="1103" spans="1:8" x14ac:dyDescent="0.35">
      <c r="A1103" s="2" t="s">
        <v>693</v>
      </c>
      <c r="B1103" s="2" t="s">
        <v>611</v>
      </c>
      <c r="C1103" s="2" t="s">
        <v>660</v>
      </c>
      <c r="D1103" s="2" t="s">
        <v>661</v>
      </c>
      <c r="E1103" s="2" t="s">
        <v>303</v>
      </c>
      <c r="F1103" s="3">
        <v>31.5</v>
      </c>
      <c r="G1103" s="4">
        <v>12</v>
      </c>
      <c r="H1103" s="5">
        <v>0</v>
      </c>
    </row>
    <row r="1104" spans="1:8" x14ac:dyDescent="0.35">
      <c r="A1104" s="2" t="s">
        <v>693</v>
      </c>
      <c r="B1104" s="2" t="s">
        <v>611</v>
      </c>
      <c r="C1104" s="2" t="s">
        <v>647</v>
      </c>
      <c r="D1104" s="2" t="s">
        <v>648</v>
      </c>
      <c r="E1104" s="2" t="s">
        <v>535</v>
      </c>
      <c r="F1104" s="3">
        <v>38.5</v>
      </c>
      <c r="G1104" s="4">
        <v>12</v>
      </c>
      <c r="H1104" s="5">
        <v>0</v>
      </c>
    </row>
    <row r="1105" spans="1:8" x14ac:dyDescent="0.35">
      <c r="A1105" s="2" t="s">
        <v>693</v>
      </c>
      <c r="B1105" s="2" t="s">
        <v>611</v>
      </c>
      <c r="C1105" s="2" t="s">
        <v>649</v>
      </c>
      <c r="D1105" s="2" t="s">
        <v>650</v>
      </c>
      <c r="E1105" s="2" t="s">
        <v>275</v>
      </c>
      <c r="F1105" s="3">
        <v>14</v>
      </c>
      <c r="G1105" s="4">
        <v>12</v>
      </c>
      <c r="H1105" s="5">
        <v>0</v>
      </c>
    </row>
    <row r="1106" spans="1:8" x14ac:dyDescent="0.35">
      <c r="A1106" s="2" t="s">
        <v>693</v>
      </c>
      <c r="B1106" s="2" t="s">
        <v>611</v>
      </c>
      <c r="C1106" s="2" t="s">
        <v>651</v>
      </c>
      <c r="D1106" s="2" t="s">
        <v>652</v>
      </c>
      <c r="E1106" s="2" t="s">
        <v>136</v>
      </c>
      <c r="F1106" s="3">
        <v>38.5</v>
      </c>
      <c r="G1106" s="4">
        <v>6</v>
      </c>
      <c r="H1106" s="5">
        <v>0</v>
      </c>
    </row>
    <row r="1107" spans="1:8" x14ac:dyDescent="0.35">
      <c r="A1107" s="2" t="s">
        <v>693</v>
      </c>
      <c r="B1107" s="2" t="s">
        <v>611</v>
      </c>
      <c r="C1107" s="2" t="s">
        <v>715</v>
      </c>
      <c r="D1107" s="2" t="s">
        <v>716</v>
      </c>
      <c r="E1107" s="2" t="s">
        <v>717</v>
      </c>
      <c r="F1107" s="3">
        <v>59.5</v>
      </c>
      <c r="G1107" s="4">
        <v>6</v>
      </c>
      <c r="H1107" s="5">
        <v>0</v>
      </c>
    </row>
    <row r="1108" spans="1:8" x14ac:dyDescent="0.35">
      <c r="A1108" s="2" t="s">
        <v>693</v>
      </c>
      <c r="B1108" s="2" t="s">
        <v>611</v>
      </c>
      <c r="C1108" s="2" t="s">
        <v>653</v>
      </c>
      <c r="D1108" s="2" t="s">
        <v>654</v>
      </c>
      <c r="E1108" s="2" t="s">
        <v>190</v>
      </c>
      <c r="F1108" s="3">
        <v>0.88</v>
      </c>
      <c r="G1108" s="4">
        <v>1</v>
      </c>
      <c r="H1108" s="5">
        <v>0</v>
      </c>
    </row>
    <row r="1109" spans="1:8" x14ac:dyDescent="0.35">
      <c r="A1109" s="2" t="s">
        <v>693</v>
      </c>
      <c r="B1109" s="2" t="s">
        <v>611</v>
      </c>
      <c r="C1109" s="2" t="s">
        <v>687</v>
      </c>
      <c r="D1109" s="2" t="s">
        <v>473</v>
      </c>
      <c r="E1109" s="2" t="s">
        <v>473</v>
      </c>
      <c r="F1109" s="3">
        <v>612.5</v>
      </c>
      <c r="G1109" s="4">
        <v>36</v>
      </c>
      <c r="H1109" s="5">
        <v>0</v>
      </c>
    </row>
    <row r="1110" spans="1:8" x14ac:dyDescent="0.35">
      <c r="A1110" s="2" t="s">
        <v>693</v>
      </c>
      <c r="B1110" s="2" t="s">
        <v>611</v>
      </c>
      <c r="C1110" s="2" t="s">
        <v>688</v>
      </c>
      <c r="D1110" s="2" t="s">
        <v>689</v>
      </c>
      <c r="E1110" s="2" t="s">
        <v>690</v>
      </c>
      <c r="F1110" s="3">
        <v>525</v>
      </c>
      <c r="G1110" s="4">
        <v>36</v>
      </c>
      <c r="H1110" s="5">
        <v>0</v>
      </c>
    </row>
    <row r="1111" spans="1:8" x14ac:dyDescent="0.35">
      <c r="A1111" s="2" t="s">
        <v>693</v>
      </c>
      <c r="B1111" s="2" t="s">
        <v>611</v>
      </c>
      <c r="C1111" s="2" t="s">
        <v>718</v>
      </c>
      <c r="D1111" s="2" t="s">
        <v>719</v>
      </c>
      <c r="E1111" s="2" t="s">
        <v>271</v>
      </c>
      <c r="F1111" s="3">
        <v>3631.36</v>
      </c>
      <c r="G1111" s="4">
        <v>1</v>
      </c>
      <c r="H1111" s="5">
        <v>0</v>
      </c>
    </row>
    <row r="1112" spans="1:8" x14ac:dyDescent="0.35">
      <c r="A1112" s="2" t="s">
        <v>693</v>
      </c>
      <c r="B1112" s="2" t="s">
        <v>510</v>
      </c>
      <c r="C1112" s="2" t="s">
        <v>612</v>
      </c>
      <c r="D1112" s="2" t="s">
        <v>613</v>
      </c>
      <c r="E1112" s="2" t="s">
        <v>147</v>
      </c>
      <c r="F1112" s="3">
        <v>2273.94</v>
      </c>
      <c r="G1112" s="4">
        <v>36</v>
      </c>
      <c r="H1112" s="5">
        <v>0.05</v>
      </c>
    </row>
    <row r="1113" spans="1:8" x14ac:dyDescent="0.35">
      <c r="A1113" s="2" t="s">
        <v>693</v>
      </c>
      <c r="B1113" s="2" t="s">
        <v>510</v>
      </c>
      <c r="C1113" s="2" t="s">
        <v>694</v>
      </c>
      <c r="D1113" s="2" t="s">
        <v>695</v>
      </c>
      <c r="E1113" s="2" t="s">
        <v>158</v>
      </c>
      <c r="F1113" s="3">
        <v>2273.94</v>
      </c>
      <c r="G1113" s="4">
        <v>36</v>
      </c>
      <c r="H1113" s="5">
        <v>0.05</v>
      </c>
    </row>
    <row r="1114" spans="1:8" x14ac:dyDescent="0.35">
      <c r="A1114" s="2" t="s">
        <v>693</v>
      </c>
      <c r="B1114" s="2" t="s">
        <v>510</v>
      </c>
      <c r="C1114" s="2" t="s">
        <v>696</v>
      </c>
      <c r="D1114" s="2" t="s">
        <v>697</v>
      </c>
      <c r="E1114" s="2" t="s">
        <v>698</v>
      </c>
      <c r="F1114" s="3">
        <v>263.91000000000003</v>
      </c>
      <c r="G1114" s="4">
        <v>36</v>
      </c>
      <c r="H1114" s="5">
        <v>0</v>
      </c>
    </row>
    <row r="1115" spans="1:8" x14ac:dyDescent="0.35">
      <c r="A1115" s="2" t="s">
        <v>693</v>
      </c>
      <c r="B1115" s="2" t="s">
        <v>510</v>
      </c>
      <c r="C1115" s="2" t="s">
        <v>675</v>
      </c>
      <c r="D1115" s="2" t="s">
        <v>676</v>
      </c>
      <c r="E1115" s="2" t="s">
        <v>226</v>
      </c>
      <c r="F1115" s="3">
        <v>2583.1999999999998</v>
      </c>
      <c r="G1115" s="4">
        <v>36</v>
      </c>
      <c r="H1115" s="5">
        <v>0.05</v>
      </c>
    </row>
    <row r="1116" spans="1:8" x14ac:dyDescent="0.35">
      <c r="A1116" s="2" t="s">
        <v>693</v>
      </c>
      <c r="B1116" s="2" t="s">
        <v>510</v>
      </c>
      <c r="C1116" s="2" t="s">
        <v>677</v>
      </c>
      <c r="D1116" s="2" t="s">
        <v>678</v>
      </c>
      <c r="E1116" s="2" t="s">
        <v>679</v>
      </c>
      <c r="F1116" s="3">
        <v>399</v>
      </c>
      <c r="G1116" s="4">
        <v>24</v>
      </c>
      <c r="H1116" s="5">
        <v>0</v>
      </c>
    </row>
    <row r="1117" spans="1:8" x14ac:dyDescent="0.35">
      <c r="A1117" s="2" t="s">
        <v>693</v>
      </c>
      <c r="B1117" s="2" t="s">
        <v>510</v>
      </c>
      <c r="C1117" s="2" t="s">
        <v>620</v>
      </c>
      <c r="D1117" s="2" t="s">
        <v>621</v>
      </c>
      <c r="E1117" s="2" t="s">
        <v>92</v>
      </c>
      <c r="F1117" s="3">
        <v>1250.7</v>
      </c>
      <c r="G1117" s="4">
        <v>24</v>
      </c>
      <c r="H1117" s="5">
        <v>0</v>
      </c>
    </row>
    <row r="1118" spans="1:8" x14ac:dyDescent="0.35">
      <c r="A1118" s="2" t="s">
        <v>693</v>
      </c>
      <c r="B1118" s="2" t="s">
        <v>510</v>
      </c>
      <c r="C1118" s="2" t="s">
        <v>622</v>
      </c>
      <c r="D1118" s="2" t="s">
        <v>623</v>
      </c>
      <c r="E1118" s="2" t="s">
        <v>46</v>
      </c>
      <c r="F1118" s="3">
        <v>2418.25</v>
      </c>
      <c r="G1118" s="4">
        <v>36</v>
      </c>
      <c r="H1118" s="5">
        <v>0</v>
      </c>
    </row>
    <row r="1119" spans="1:8" x14ac:dyDescent="0.35">
      <c r="A1119" s="2" t="s">
        <v>693</v>
      </c>
      <c r="B1119" s="2" t="s">
        <v>510</v>
      </c>
      <c r="C1119" s="2" t="s">
        <v>699</v>
      </c>
      <c r="D1119" s="2" t="s">
        <v>700</v>
      </c>
      <c r="E1119" s="2" t="s">
        <v>670</v>
      </c>
      <c r="F1119" s="3">
        <v>2990</v>
      </c>
      <c r="G1119" s="4">
        <v>36</v>
      </c>
      <c r="H1119" s="5">
        <v>0.05</v>
      </c>
    </row>
    <row r="1120" spans="1:8" x14ac:dyDescent="0.35">
      <c r="A1120" s="2" t="s">
        <v>693</v>
      </c>
      <c r="B1120" s="2" t="s">
        <v>510</v>
      </c>
      <c r="C1120" s="2" t="s">
        <v>701</v>
      </c>
      <c r="D1120" s="2" t="s">
        <v>702</v>
      </c>
      <c r="E1120" s="2" t="s">
        <v>703</v>
      </c>
      <c r="F1120" s="3">
        <v>272.87</v>
      </c>
      <c r="G1120" s="4">
        <v>24</v>
      </c>
      <c r="H1120" s="5">
        <v>0</v>
      </c>
    </row>
    <row r="1121" spans="1:8" x14ac:dyDescent="0.35">
      <c r="A1121" s="2" t="s">
        <v>693</v>
      </c>
      <c r="B1121" s="2" t="s">
        <v>510</v>
      </c>
      <c r="C1121" s="2" t="s">
        <v>680</v>
      </c>
      <c r="D1121" s="2" t="s">
        <v>681</v>
      </c>
      <c r="E1121" s="2" t="s">
        <v>180</v>
      </c>
      <c r="F1121" s="3">
        <v>272.87</v>
      </c>
      <c r="G1121" s="4">
        <v>24</v>
      </c>
      <c r="H1121" s="5">
        <v>0</v>
      </c>
    </row>
    <row r="1122" spans="1:8" x14ac:dyDescent="0.35">
      <c r="A1122" s="2" t="s">
        <v>693</v>
      </c>
      <c r="B1122" s="2" t="s">
        <v>510</v>
      </c>
      <c r="C1122" s="2" t="s">
        <v>704</v>
      </c>
      <c r="D1122" s="2" t="s">
        <v>705</v>
      </c>
      <c r="E1122" s="6" t="s">
        <v>180</v>
      </c>
      <c r="F1122" s="3">
        <v>272.87</v>
      </c>
      <c r="G1122" s="4">
        <v>24</v>
      </c>
      <c r="H1122" s="5">
        <v>0</v>
      </c>
    </row>
    <row r="1123" spans="1:8" x14ac:dyDescent="0.35">
      <c r="A1123" s="2" t="s">
        <v>693</v>
      </c>
      <c r="B1123" s="2" t="s">
        <v>510</v>
      </c>
      <c r="C1123" s="2" t="s">
        <v>706</v>
      </c>
      <c r="D1123" s="2" t="s">
        <v>707</v>
      </c>
      <c r="E1123" s="2" t="s">
        <v>708</v>
      </c>
      <c r="F1123" s="3">
        <v>4198</v>
      </c>
      <c r="G1123" s="4">
        <v>36</v>
      </c>
      <c r="H1123" s="5">
        <v>0.05</v>
      </c>
    </row>
    <row r="1124" spans="1:8" x14ac:dyDescent="0.35">
      <c r="A1124" s="2" t="s">
        <v>693</v>
      </c>
      <c r="B1124" s="2" t="s">
        <v>510</v>
      </c>
      <c r="C1124" s="2" t="s">
        <v>629</v>
      </c>
      <c r="D1124" s="2" t="s">
        <v>630</v>
      </c>
      <c r="E1124" s="2" t="s">
        <v>300</v>
      </c>
      <c r="F1124" s="3">
        <v>52.61</v>
      </c>
      <c r="G1124" s="4">
        <v>24</v>
      </c>
      <c r="H1124" s="5">
        <v>0</v>
      </c>
    </row>
    <row r="1125" spans="1:8" x14ac:dyDescent="0.35">
      <c r="A1125" s="2" t="s">
        <v>693</v>
      </c>
      <c r="B1125" s="2" t="s">
        <v>510</v>
      </c>
      <c r="C1125" s="2" t="s">
        <v>631</v>
      </c>
      <c r="D1125" s="2" t="s">
        <v>632</v>
      </c>
      <c r="E1125" s="2" t="s">
        <v>322</v>
      </c>
      <c r="F1125" s="3">
        <v>43.43</v>
      </c>
      <c r="G1125" s="4">
        <v>24</v>
      </c>
      <c r="H1125" s="5">
        <v>0</v>
      </c>
    </row>
    <row r="1126" spans="1:8" x14ac:dyDescent="0.35">
      <c r="A1126" s="2" t="s">
        <v>693</v>
      </c>
      <c r="B1126" s="2" t="s">
        <v>510</v>
      </c>
      <c r="C1126" s="2" t="s">
        <v>633</v>
      </c>
      <c r="D1126" s="2" t="s">
        <v>634</v>
      </c>
      <c r="E1126" s="2" t="s">
        <v>635</v>
      </c>
      <c r="F1126" s="3">
        <v>17</v>
      </c>
      <c r="G1126" s="4">
        <v>12</v>
      </c>
      <c r="H1126" s="5">
        <v>0</v>
      </c>
    </row>
    <row r="1127" spans="1:8" x14ac:dyDescent="0.35">
      <c r="A1127" s="2" t="s">
        <v>693</v>
      </c>
      <c r="B1127" s="2" t="s">
        <v>510</v>
      </c>
      <c r="C1127" s="2" t="s">
        <v>709</v>
      </c>
      <c r="D1127" s="2" t="s">
        <v>710</v>
      </c>
      <c r="E1127" s="2" t="s">
        <v>638</v>
      </c>
      <c r="F1127" s="3">
        <v>16</v>
      </c>
      <c r="G1127" s="4">
        <v>12</v>
      </c>
      <c r="H1127" s="5">
        <v>0</v>
      </c>
    </row>
    <row r="1128" spans="1:8" x14ac:dyDescent="0.35">
      <c r="A1128" s="2" t="s">
        <v>693</v>
      </c>
      <c r="B1128" s="2" t="s">
        <v>510</v>
      </c>
      <c r="C1128" s="2" t="s">
        <v>657</v>
      </c>
      <c r="D1128" s="2" t="s">
        <v>658</v>
      </c>
      <c r="E1128" s="2" t="s">
        <v>659</v>
      </c>
      <c r="F1128" s="3">
        <v>48.16</v>
      </c>
      <c r="G1128" s="4">
        <v>12</v>
      </c>
      <c r="H1128" s="5">
        <v>0</v>
      </c>
    </row>
    <row r="1129" spans="1:8" x14ac:dyDescent="0.35">
      <c r="A1129" s="2" t="s">
        <v>693</v>
      </c>
      <c r="B1129" s="2" t="s">
        <v>510</v>
      </c>
      <c r="C1129" s="2" t="s">
        <v>711</v>
      </c>
      <c r="D1129" s="2" t="s">
        <v>712</v>
      </c>
      <c r="E1129" s="2" t="s">
        <v>713</v>
      </c>
      <c r="F1129" s="3">
        <v>420</v>
      </c>
      <c r="G1129" s="4">
        <v>36</v>
      </c>
      <c r="H1129" s="5">
        <v>0</v>
      </c>
    </row>
    <row r="1130" spans="1:8" x14ac:dyDescent="0.35">
      <c r="A1130" s="2" t="s">
        <v>693</v>
      </c>
      <c r="B1130" s="2" t="s">
        <v>510</v>
      </c>
      <c r="C1130" s="2" t="s">
        <v>639</v>
      </c>
      <c r="D1130" s="2" t="s">
        <v>640</v>
      </c>
      <c r="E1130" s="2" t="s">
        <v>641</v>
      </c>
      <c r="F1130" s="3">
        <v>11.75</v>
      </c>
      <c r="G1130" s="4">
        <v>12</v>
      </c>
      <c r="H1130" s="5">
        <v>0</v>
      </c>
    </row>
    <row r="1131" spans="1:8" x14ac:dyDescent="0.35">
      <c r="A1131" s="2" t="s">
        <v>693</v>
      </c>
      <c r="B1131" s="2" t="s">
        <v>510</v>
      </c>
      <c r="C1131" s="2" t="s">
        <v>642</v>
      </c>
      <c r="D1131" s="2" t="s">
        <v>643</v>
      </c>
      <c r="E1131" s="2" t="s">
        <v>644</v>
      </c>
      <c r="F1131" s="3">
        <v>11.75</v>
      </c>
      <c r="G1131" s="4">
        <v>12</v>
      </c>
      <c r="H1131" s="5">
        <v>0</v>
      </c>
    </row>
    <row r="1132" spans="1:8" x14ac:dyDescent="0.35">
      <c r="A1132" s="2" t="s">
        <v>693</v>
      </c>
      <c r="B1132" s="2" t="s">
        <v>510</v>
      </c>
      <c r="C1132" s="2" t="s">
        <v>682</v>
      </c>
      <c r="D1132" s="2" t="s">
        <v>683</v>
      </c>
      <c r="E1132" s="2" t="s">
        <v>684</v>
      </c>
      <c r="F1132" s="3">
        <v>11.75</v>
      </c>
      <c r="G1132" s="4">
        <v>12</v>
      </c>
      <c r="H1132" s="5">
        <v>0</v>
      </c>
    </row>
    <row r="1133" spans="1:8" x14ac:dyDescent="0.35">
      <c r="A1133" s="2" t="s">
        <v>693</v>
      </c>
      <c r="B1133" s="2" t="s">
        <v>510</v>
      </c>
      <c r="C1133" s="2" t="s">
        <v>714</v>
      </c>
      <c r="D1133" s="2" t="s">
        <v>686</v>
      </c>
      <c r="E1133" s="2" t="s">
        <v>303</v>
      </c>
      <c r="F1133" s="3">
        <v>39.81</v>
      </c>
      <c r="G1133" s="4">
        <v>24</v>
      </c>
      <c r="H1133" s="5">
        <v>0</v>
      </c>
    </row>
    <row r="1134" spans="1:8" x14ac:dyDescent="0.35">
      <c r="A1134" s="2" t="s">
        <v>693</v>
      </c>
      <c r="B1134" s="2" t="s">
        <v>510</v>
      </c>
      <c r="C1134" s="2" t="s">
        <v>660</v>
      </c>
      <c r="D1134" s="2" t="s">
        <v>661</v>
      </c>
      <c r="E1134" s="2" t="s">
        <v>303</v>
      </c>
      <c r="F1134" s="3">
        <v>39.81</v>
      </c>
      <c r="G1134" s="4">
        <v>12</v>
      </c>
      <c r="H1134" s="5">
        <v>0</v>
      </c>
    </row>
    <row r="1135" spans="1:8" x14ac:dyDescent="0.35">
      <c r="A1135" s="2" t="s">
        <v>693</v>
      </c>
      <c r="B1135" s="2" t="s">
        <v>510</v>
      </c>
      <c r="C1135" s="2" t="s">
        <v>647</v>
      </c>
      <c r="D1135" s="2" t="s">
        <v>648</v>
      </c>
      <c r="E1135" s="2" t="s">
        <v>535</v>
      </c>
      <c r="F1135" s="3">
        <v>57.39</v>
      </c>
      <c r="G1135" s="4">
        <v>12</v>
      </c>
      <c r="H1135" s="5">
        <v>0</v>
      </c>
    </row>
    <row r="1136" spans="1:8" x14ac:dyDescent="0.35">
      <c r="A1136" s="2" t="s">
        <v>693</v>
      </c>
      <c r="B1136" s="2" t="s">
        <v>510</v>
      </c>
      <c r="C1136" s="2" t="s">
        <v>649</v>
      </c>
      <c r="D1136" s="2" t="s">
        <v>650</v>
      </c>
      <c r="E1136" s="2" t="s">
        <v>275</v>
      </c>
      <c r="F1136" s="3">
        <v>8.5</v>
      </c>
      <c r="G1136" s="4">
        <v>12</v>
      </c>
      <c r="H1136" s="5">
        <v>0</v>
      </c>
    </row>
    <row r="1137" spans="1:8" x14ac:dyDescent="0.35">
      <c r="A1137" s="2" t="s">
        <v>693</v>
      </c>
      <c r="B1137" s="2" t="s">
        <v>510</v>
      </c>
      <c r="C1137" s="2" t="s">
        <v>651</v>
      </c>
      <c r="D1137" s="2" t="s">
        <v>652</v>
      </c>
      <c r="E1137" s="2" t="s">
        <v>136</v>
      </c>
      <c r="F1137" s="3">
        <v>84.23</v>
      </c>
      <c r="G1137" s="4">
        <v>6</v>
      </c>
      <c r="H1137" s="5">
        <v>0</v>
      </c>
    </row>
    <row r="1138" spans="1:8" x14ac:dyDescent="0.35">
      <c r="A1138" s="2" t="s">
        <v>693</v>
      </c>
      <c r="B1138" s="2" t="s">
        <v>510</v>
      </c>
      <c r="C1138" s="2" t="s">
        <v>715</v>
      </c>
      <c r="D1138" s="2" t="s">
        <v>716</v>
      </c>
      <c r="E1138" s="2" t="s">
        <v>717</v>
      </c>
      <c r="F1138" s="3">
        <v>84.23</v>
      </c>
      <c r="G1138" s="4">
        <v>6</v>
      </c>
      <c r="H1138" s="5">
        <v>0</v>
      </c>
    </row>
    <row r="1139" spans="1:8" x14ac:dyDescent="0.35">
      <c r="A1139" s="2" t="s">
        <v>693</v>
      </c>
      <c r="B1139" s="2" t="s">
        <v>510</v>
      </c>
      <c r="C1139" s="2" t="s">
        <v>653</v>
      </c>
      <c r="D1139" s="2" t="s">
        <v>654</v>
      </c>
      <c r="E1139" s="2" t="s">
        <v>190</v>
      </c>
      <c r="F1139" s="3">
        <v>1.1100000000000001</v>
      </c>
      <c r="G1139" s="4">
        <v>1</v>
      </c>
      <c r="H1139" s="5">
        <v>0</v>
      </c>
    </row>
    <row r="1140" spans="1:8" x14ac:dyDescent="0.35">
      <c r="A1140" s="2" t="s">
        <v>693</v>
      </c>
      <c r="B1140" s="2" t="s">
        <v>510</v>
      </c>
      <c r="C1140" s="2" t="s">
        <v>687</v>
      </c>
      <c r="D1140" s="2" t="s">
        <v>473</v>
      </c>
      <c r="E1140" s="2" t="s">
        <v>473</v>
      </c>
      <c r="F1140" s="3">
        <v>1800</v>
      </c>
      <c r="G1140" s="4">
        <v>36</v>
      </c>
      <c r="H1140" s="5">
        <v>0</v>
      </c>
    </row>
    <row r="1141" spans="1:8" x14ac:dyDescent="0.35">
      <c r="A1141" s="2" t="s">
        <v>693</v>
      </c>
      <c r="B1141" s="2" t="s">
        <v>510</v>
      </c>
      <c r="C1141" s="2" t="s">
        <v>688</v>
      </c>
      <c r="D1141" s="2" t="s">
        <v>689</v>
      </c>
      <c r="E1141" s="2" t="s">
        <v>690</v>
      </c>
      <c r="F1141" s="3">
        <v>450</v>
      </c>
      <c r="G1141" s="4">
        <v>24</v>
      </c>
      <c r="H1141" s="5">
        <v>0</v>
      </c>
    </row>
    <row r="1142" spans="1:8" x14ac:dyDescent="0.35">
      <c r="A1142" s="2" t="s">
        <v>693</v>
      </c>
      <c r="B1142" s="2" t="s">
        <v>510</v>
      </c>
      <c r="C1142" s="2" t="s">
        <v>718</v>
      </c>
      <c r="D1142" s="2" t="s">
        <v>719</v>
      </c>
      <c r="E1142" s="2" t="s">
        <v>271</v>
      </c>
      <c r="F1142" s="3">
        <v>3889</v>
      </c>
      <c r="G1142" s="4">
        <v>1</v>
      </c>
      <c r="H1142" s="5">
        <v>0</v>
      </c>
    </row>
    <row r="1143" spans="1:8" x14ac:dyDescent="0.35">
      <c r="A1143" s="2" t="s">
        <v>693</v>
      </c>
      <c r="B1143" s="2" t="s">
        <v>655</v>
      </c>
      <c r="C1143" s="2" t="s">
        <v>612</v>
      </c>
      <c r="D1143" s="2" t="s">
        <v>613</v>
      </c>
      <c r="E1143" s="2" t="s">
        <v>147</v>
      </c>
      <c r="F1143" s="3">
        <v>1365</v>
      </c>
      <c r="G1143" s="4">
        <v>60</v>
      </c>
      <c r="H1143" s="5">
        <v>7.4999999999999997E-3</v>
      </c>
    </row>
    <row r="1144" spans="1:8" x14ac:dyDescent="0.35">
      <c r="A1144" s="2" t="s">
        <v>693</v>
      </c>
      <c r="B1144" s="2" t="s">
        <v>655</v>
      </c>
      <c r="C1144" s="2" t="s">
        <v>694</v>
      </c>
      <c r="D1144" s="2" t="s">
        <v>695</v>
      </c>
      <c r="E1144" s="2" t="s">
        <v>158</v>
      </c>
      <c r="F1144" s="3">
        <v>2600</v>
      </c>
      <c r="G1144" s="4">
        <v>60</v>
      </c>
      <c r="H1144" s="5">
        <v>7.4999999999999997E-3</v>
      </c>
    </row>
    <row r="1145" spans="1:8" x14ac:dyDescent="0.35">
      <c r="A1145" s="2" t="s">
        <v>693</v>
      </c>
      <c r="B1145" s="2" t="s">
        <v>655</v>
      </c>
      <c r="C1145" s="2" t="s">
        <v>696</v>
      </c>
      <c r="D1145" s="2" t="s">
        <v>697</v>
      </c>
      <c r="E1145" s="2" t="s">
        <v>698</v>
      </c>
      <c r="F1145" s="3">
        <v>130</v>
      </c>
      <c r="G1145" s="4">
        <v>36</v>
      </c>
      <c r="H1145" s="5">
        <v>0</v>
      </c>
    </row>
    <row r="1146" spans="1:8" x14ac:dyDescent="0.35">
      <c r="A1146" s="2" t="s">
        <v>693</v>
      </c>
      <c r="B1146" s="2" t="s">
        <v>655</v>
      </c>
      <c r="C1146" s="2" t="s">
        <v>675</v>
      </c>
      <c r="D1146" s="2" t="s">
        <v>676</v>
      </c>
      <c r="E1146" s="2" t="s">
        <v>226</v>
      </c>
      <c r="F1146" s="3">
        <v>4300</v>
      </c>
      <c r="G1146" s="4">
        <v>60</v>
      </c>
      <c r="H1146" s="5">
        <v>7.4999999999999997E-3</v>
      </c>
    </row>
    <row r="1147" spans="1:8" x14ac:dyDescent="0.35">
      <c r="A1147" s="2" t="s">
        <v>693</v>
      </c>
      <c r="B1147" s="2" t="s">
        <v>655</v>
      </c>
      <c r="C1147" s="2" t="s">
        <v>677</v>
      </c>
      <c r="D1147" s="2" t="s">
        <v>678</v>
      </c>
      <c r="E1147" s="2" t="s">
        <v>679</v>
      </c>
      <c r="F1147" s="3">
        <v>160</v>
      </c>
      <c r="G1147" s="4">
        <v>60</v>
      </c>
      <c r="H1147" s="5">
        <v>0</v>
      </c>
    </row>
    <row r="1148" spans="1:8" x14ac:dyDescent="0.35">
      <c r="A1148" s="2" t="s">
        <v>693</v>
      </c>
      <c r="B1148" s="2" t="s">
        <v>655</v>
      </c>
      <c r="C1148" s="2" t="s">
        <v>620</v>
      </c>
      <c r="D1148" s="2" t="s">
        <v>621</v>
      </c>
      <c r="E1148" s="2" t="s">
        <v>92</v>
      </c>
      <c r="F1148" s="3">
        <v>250</v>
      </c>
      <c r="G1148" s="4">
        <v>36</v>
      </c>
      <c r="H1148" s="5">
        <v>0</v>
      </c>
    </row>
    <row r="1149" spans="1:8" x14ac:dyDescent="0.35">
      <c r="A1149" s="2" t="s">
        <v>693</v>
      </c>
      <c r="B1149" s="2" t="s">
        <v>655</v>
      </c>
      <c r="C1149" s="2" t="s">
        <v>622</v>
      </c>
      <c r="D1149" s="2" t="s">
        <v>623</v>
      </c>
      <c r="E1149" s="2" t="s">
        <v>46</v>
      </c>
      <c r="F1149" s="3">
        <v>250</v>
      </c>
      <c r="G1149" s="4">
        <v>60</v>
      </c>
      <c r="H1149" s="5">
        <v>0</v>
      </c>
    </row>
    <row r="1150" spans="1:8" x14ac:dyDescent="0.35">
      <c r="A1150" s="2" t="s">
        <v>693</v>
      </c>
      <c r="B1150" s="2" t="s">
        <v>655</v>
      </c>
      <c r="C1150" s="2" t="s">
        <v>699</v>
      </c>
      <c r="D1150" s="2" t="s">
        <v>700</v>
      </c>
      <c r="E1150" s="2" t="s">
        <v>670</v>
      </c>
      <c r="F1150" s="3">
        <v>1400</v>
      </c>
      <c r="G1150" s="4">
        <v>60</v>
      </c>
      <c r="H1150" s="5">
        <v>7.4999999999999997E-3</v>
      </c>
    </row>
    <row r="1151" spans="1:8" x14ac:dyDescent="0.35">
      <c r="A1151" s="2" t="s">
        <v>693</v>
      </c>
      <c r="B1151" s="2" t="s">
        <v>655</v>
      </c>
      <c r="C1151" s="2" t="s">
        <v>701</v>
      </c>
      <c r="D1151" s="2" t="s">
        <v>702</v>
      </c>
      <c r="E1151" s="2" t="s">
        <v>703</v>
      </c>
      <c r="F1151" s="3">
        <v>130</v>
      </c>
      <c r="G1151" s="4">
        <v>60</v>
      </c>
      <c r="H1151" s="5">
        <v>0</v>
      </c>
    </row>
    <row r="1152" spans="1:8" x14ac:dyDescent="0.35">
      <c r="A1152" s="2" t="s">
        <v>693</v>
      </c>
      <c r="B1152" s="2" t="s">
        <v>655</v>
      </c>
      <c r="C1152" s="2" t="s">
        <v>680</v>
      </c>
      <c r="D1152" s="2" t="s">
        <v>681</v>
      </c>
      <c r="E1152" s="2" t="s">
        <v>180</v>
      </c>
      <c r="F1152" s="3">
        <v>160</v>
      </c>
      <c r="G1152" s="4">
        <v>60</v>
      </c>
      <c r="H1152" s="5">
        <v>0</v>
      </c>
    </row>
    <row r="1153" spans="1:8" x14ac:dyDescent="0.35">
      <c r="A1153" s="2" t="s">
        <v>693</v>
      </c>
      <c r="B1153" s="2" t="s">
        <v>655</v>
      </c>
      <c r="C1153" s="2" t="s">
        <v>704</v>
      </c>
      <c r="D1153" s="2" t="s">
        <v>705</v>
      </c>
      <c r="E1153" s="6" t="s">
        <v>180</v>
      </c>
      <c r="F1153" s="3">
        <v>318</v>
      </c>
      <c r="G1153" s="4">
        <v>60</v>
      </c>
      <c r="H1153" s="5">
        <v>0</v>
      </c>
    </row>
    <row r="1154" spans="1:8" x14ac:dyDescent="0.35">
      <c r="A1154" s="2" t="s">
        <v>693</v>
      </c>
      <c r="B1154" s="2" t="s">
        <v>655</v>
      </c>
      <c r="C1154" s="2" t="s">
        <v>706</v>
      </c>
      <c r="D1154" s="2" t="s">
        <v>707</v>
      </c>
      <c r="E1154" s="2" t="s">
        <v>708</v>
      </c>
      <c r="F1154" s="3">
        <v>7100</v>
      </c>
      <c r="G1154" s="4">
        <v>60</v>
      </c>
      <c r="H1154" s="5">
        <v>7.4999999999999997E-3</v>
      </c>
    </row>
    <row r="1155" spans="1:8" x14ac:dyDescent="0.35">
      <c r="A1155" s="2" t="s">
        <v>693</v>
      </c>
      <c r="B1155" s="2" t="s">
        <v>655</v>
      </c>
      <c r="C1155" s="2" t="s">
        <v>629</v>
      </c>
      <c r="D1155" s="2" t="s">
        <v>630</v>
      </c>
      <c r="E1155" s="2" t="s">
        <v>300</v>
      </c>
      <c r="F1155" s="3">
        <v>55</v>
      </c>
      <c r="G1155" s="4">
        <v>24</v>
      </c>
      <c r="H1155" s="5">
        <v>0</v>
      </c>
    </row>
    <row r="1156" spans="1:8" x14ac:dyDescent="0.35">
      <c r="A1156" s="2" t="s">
        <v>693</v>
      </c>
      <c r="B1156" s="2" t="s">
        <v>655</v>
      </c>
      <c r="C1156" s="2" t="s">
        <v>631</v>
      </c>
      <c r="D1156" s="2" t="s">
        <v>632</v>
      </c>
      <c r="E1156" s="2" t="s">
        <v>322</v>
      </c>
      <c r="F1156" s="3">
        <v>40.1</v>
      </c>
      <c r="G1156" s="4">
        <v>60</v>
      </c>
      <c r="H1156" s="5">
        <v>0</v>
      </c>
    </row>
    <row r="1157" spans="1:8" x14ac:dyDescent="0.35">
      <c r="A1157" s="2" t="s">
        <v>693</v>
      </c>
      <c r="B1157" s="2" t="s">
        <v>655</v>
      </c>
      <c r="C1157" s="2" t="s">
        <v>633</v>
      </c>
      <c r="D1157" s="2" t="s">
        <v>634</v>
      </c>
      <c r="E1157" s="2" t="s">
        <v>635</v>
      </c>
      <c r="F1157" s="3">
        <v>14</v>
      </c>
      <c r="G1157" s="4">
        <v>12</v>
      </c>
      <c r="H1157" s="5">
        <v>0</v>
      </c>
    </row>
    <row r="1158" spans="1:8" x14ac:dyDescent="0.35">
      <c r="A1158" s="2" t="s">
        <v>693</v>
      </c>
      <c r="B1158" s="2" t="s">
        <v>655</v>
      </c>
      <c r="C1158" s="2" t="s">
        <v>709</v>
      </c>
      <c r="D1158" s="2" t="s">
        <v>710</v>
      </c>
      <c r="E1158" s="2" t="s">
        <v>638</v>
      </c>
      <c r="F1158" s="3">
        <v>12</v>
      </c>
      <c r="G1158" s="4">
        <v>12</v>
      </c>
      <c r="H1158" s="5">
        <v>0</v>
      </c>
    </row>
    <row r="1159" spans="1:8" x14ac:dyDescent="0.35">
      <c r="A1159" s="2" t="s">
        <v>693</v>
      </c>
      <c r="B1159" s="2" t="s">
        <v>655</v>
      </c>
      <c r="C1159" s="2" t="s">
        <v>657</v>
      </c>
      <c r="D1159" s="2" t="s">
        <v>658</v>
      </c>
      <c r="E1159" s="2" t="s">
        <v>659</v>
      </c>
      <c r="F1159" s="3">
        <v>15</v>
      </c>
      <c r="G1159" s="4">
        <v>24</v>
      </c>
      <c r="H1159" s="5">
        <v>0</v>
      </c>
    </row>
    <row r="1160" spans="1:8" x14ac:dyDescent="0.35">
      <c r="A1160" s="2" t="s">
        <v>693</v>
      </c>
      <c r="B1160" s="2" t="s">
        <v>655</v>
      </c>
      <c r="C1160" s="2" t="s">
        <v>711</v>
      </c>
      <c r="D1160" s="2" t="s">
        <v>712</v>
      </c>
      <c r="E1160" s="2" t="s">
        <v>713</v>
      </c>
      <c r="F1160" s="3">
        <v>228</v>
      </c>
      <c r="G1160" s="4">
        <v>36</v>
      </c>
      <c r="H1160" s="5">
        <v>0</v>
      </c>
    </row>
    <row r="1161" spans="1:8" x14ac:dyDescent="0.35">
      <c r="A1161" s="2" t="s">
        <v>693</v>
      </c>
      <c r="B1161" s="2" t="s">
        <v>655</v>
      </c>
      <c r="C1161" s="2" t="s">
        <v>639</v>
      </c>
      <c r="D1161" s="2" t="s">
        <v>640</v>
      </c>
      <c r="E1161" s="2" t="s">
        <v>641</v>
      </c>
      <c r="F1161" s="3">
        <v>13</v>
      </c>
      <c r="G1161" s="4">
        <v>12</v>
      </c>
      <c r="H1161" s="5">
        <v>0</v>
      </c>
    </row>
    <row r="1162" spans="1:8" x14ac:dyDescent="0.35">
      <c r="A1162" s="2" t="s">
        <v>693</v>
      </c>
      <c r="B1162" s="2" t="s">
        <v>655</v>
      </c>
      <c r="C1162" s="2" t="s">
        <v>642</v>
      </c>
      <c r="D1162" s="2" t="s">
        <v>643</v>
      </c>
      <c r="E1162" s="2" t="s">
        <v>644</v>
      </c>
      <c r="F1162" s="3">
        <v>16</v>
      </c>
      <c r="G1162" s="4">
        <v>12</v>
      </c>
      <c r="H1162" s="5">
        <v>0</v>
      </c>
    </row>
    <row r="1163" spans="1:8" x14ac:dyDescent="0.35">
      <c r="A1163" s="2" t="s">
        <v>693</v>
      </c>
      <c r="B1163" s="2" t="s">
        <v>655</v>
      </c>
      <c r="C1163" s="2" t="s">
        <v>682</v>
      </c>
      <c r="D1163" s="2" t="s">
        <v>683</v>
      </c>
      <c r="E1163" s="2" t="s">
        <v>684</v>
      </c>
      <c r="F1163" s="3">
        <v>19</v>
      </c>
      <c r="G1163" s="4">
        <v>12</v>
      </c>
      <c r="H1163" s="5">
        <v>0</v>
      </c>
    </row>
    <row r="1164" spans="1:8" x14ac:dyDescent="0.35">
      <c r="A1164" s="2" t="s">
        <v>693</v>
      </c>
      <c r="B1164" s="2" t="s">
        <v>655</v>
      </c>
      <c r="C1164" s="2" t="s">
        <v>714</v>
      </c>
      <c r="D1164" s="2" t="s">
        <v>686</v>
      </c>
      <c r="E1164" s="2" t="s">
        <v>303</v>
      </c>
      <c r="F1164" s="3">
        <v>32</v>
      </c>
      <c r="G1164" s="4">
        <v>24</v>
      </c>
      <c r="H1164" s="5">
        <v>0</v>
      </c>
    </row>
    <row r="1165" spans="1:8" x14ac:dyDescent="0.35">
      <c r="A1165" s="2" t="s">
        <v>693</v>
      </c>
      <c r="B1165" s="2" t="s">
        <v>655</v>
      </c>
      <c r="C1165" s="2" t="s">
        <v>660</v>
      </c>
      <c r="D1165" s="2" t="s">
        <v>661</v>
      </c>
      <c r="E1165" s="2" t="s">
        <v>303</v>
      </c>
      <c r="F1165" s="3">
        <v>9</v>
      </c>
      <c r="G1165" s="4">
        <v>12</v>
      </c>
      <c r="H1165" s="5">
        <v>0</v>
      </c>
    </row>
    <row r="1166" spans="1:8" x14ac:dyDescent="0.35">
      <c r="A1166" s="2" t="s">
        <v>693</v>
      </c>
      <c r="B1166" s="2" t="s">
        <v>655</v>
      </c>
      <c r="C1166" s="2" t="s">
        <v>647</v>
      </c>
      <c r="D1166" s="2" t="s">
        <v>648</v>
      </c>
      <c r="E1166" s="2" t="s">
        <v>535</v>
      </c>
      <c r="F1166" s="3">
        <v>11</v>
      </c>
      <c r="G1166" s="4">
        <v>12</v>
      </c>
      <c r="H1166" s="5">
        <v>0</v>
      </c>
    </row>
    <row r="1167" spans="1:8" x14ac:dyDescent="0.35">
      <c r="A1167" s="2" t="s">
        <v>693</v>
      </c>
      <c r="B1167" s="2" t="s">
        <v>655</v>
      </c>
      <c r="C1167" s="2" t="s">
        <v>649</v>
      </c>
      <c r="D1167" s="2" t="s">
        <v>650</v>
      </c>
      <c r="E1167" s="2" t="s">
        <v>275</v>
      </c>
      <c r="F1167" s="3">
        <v>4</v>
      </c>
      <c r="G1167" s="4">
        <v>12</v>
      </c>
      <c r="H1167" s="5">
        <v>0</v>
      </c>
    </row>
    <row r="1168" spans="1:8" x14ac:dyDescent="0.35">
      <c r="A1168" s="2" t="s">
        <v>693</v>
      </c>
      <c r="B1168" s="2" t="s">
        <v>655</v>
      </c>
      <c r="C1168" s="2" t="s">
        <v>651</v>
      </c>
      <c r="D1168" s="2" t="s">
        <v>652</v>
      </c>
      <c r="E1168" s="2" t="s">
        <v>136</v>
      </c>
      <c r="F1168" s="3">
        <v>22</v>
      </c>
      <c r="G1168" s="4">
        <v>6</v>
      </c>
      <c r="H1168" s="5">
        <v>0</v>
      </c>
    </row>
    <row r="1169" spans="1:8" x14ac:dyDescent="0.35">
      <c r="A1169" s="2" t="s">
        <v>693</v>
      </c>
      <c r="B1169" s="2" t="s">
        <v>655</v>
      </c>
      <c r="C1169" s="2" t="s">
        <v>715</v>
      </c>
      <c r="D1169" s="2" t="s">
        <v>716</v>
      </c>
      <c r="E1169" s="2" t="s">
        <v>717</v>
      </c>
      <c r="F1169" s="3">
        <v>34</v>
      </c>
      <c r="G1169" s="4">
        <v>6</v>
      </c>
      <c r="H1169" s="5">
        <v>0</v>
      </c>
    </row>
    <row r="1170" spans="1:8" x14ac:dyDescent="0.35">
      <c r="A1170" s="2" t="s">
        <v>693</v>
      </c>
      <c r="B1170" s="2" t="s">
        <v>655</v>
      </c>
      <c r="C1170" s="2" t="s">
        <v>653</v>
      </c>
      <c r="D1170" s="2" t="s">
        <v>654</v>
      </c>
      <c r="E1170" s="2" t="s">
        <v>190</v>
      </c>
      <c r="F1170" s="3">
        <v>0.5</v>
      </c>
      <c r="G1170" s="4">
        <v>1</v>
      </c>
      <c r="H1170" s="5">
        <v>0</v>
      </c>
    </row>
    <row r="1171" spans="1:8" x14ac:dyDescent="0.35">
      <c r="A1171" s="2" t="s">
        <v>693</v>
      </c>
      <c r="B1171" s="2" t="s">
        <v>655</v>
      </c>
      <c r="C1171" s="2" t="s">
        <v>687</v>
      </c>
      <c r="D1171" s="2" t="s">
        <v>473</v>
      </c>
      <c r="E1171" s="2" t="s">
        <v>473</v>
      </c>
      <c r="F1171" s="3">
        <v>350</v>
      </c>
      <c r="G1171" s="4">
        <v>36</v>
      </c>
      <c r="H1171" s="5">
        <v>0</v>
      </c>
    </row>
    <row r="1172" spans="1:8" x14ac:dyDescent="0.35">
      <c r="A1172" s="2" t="s">
        <v>693</v>
      </c>
      <c r="B1172" s="2" t="s">
        <v>655</v>
      </c>
      <c r="C1172" s="2" t="s">
        <v>688</v>
      </c>
      <c r="D1172" s="2" t="s">
        <v>689</v>
      </c>
      <c r="E1172" s="2" t="s">
        <v>690</v>
      </c>
      <c r="F1172" s="3">
        <v>300</v>
      </c>
      <c r="G1172" s="4">
        <v>36</v>
      </c>
      <c r="H1172" s="5">
        <v>0</v>
      </c>
    </row>
    <row r="1173" spans="1:8" x14ac:dyDescent="0.35">
      <c r="A1173" s="2" t="s">
        <v>693</v>
      </c>
      <c r="B1173" s="2" t="s">
        <v>655</v>
      </c>
      <c r="C1173" s="2" t="s">
        <v>718</v>
      </c>
      <c r="D1173" s="2" t="s">
        <v>719</v>
      </c>
      <c r="E1173" s="2" t="s">
        <v>271</v>
      </c>
      <c r="F1173" s="3">
        <v>3631.36</v>
      </c>
      <c r="G1173" s="4">
        <v>1</v>
      </c>
      <c r="H1173" s="5">
        <v>0</v>
      </c>
    </row>
    <row r="1174" spans="1:8" x14ac:dyDescent="0.35">
      <c r="A1174" s="2" t="s">
        <v>693</v>
      </c>
      <c r="B1174" s="2" t="s">
        <v>447</v>
      </c>
      <c r="C1174" s="2" t="s">
        <v>612</v>
      </c>
      <c r="D1174" s="2" t="s">
        <v>613</v>
      </c>
      <c r="E1174" s="2" t="s">
        <v>147</v>
      </c>
      <c r="F1174" s="3">
        <v>1499</v>
      </c>
      <c r="G1174" s="4">
        <v>60</v>
      </c>
      <c r="H1174" s="5">
        <v>7.4999999999999997E-3</v>
      </c>
    </row>
    <row r="1175" spans="1:8" x14ac:dyDescent="0.35">
      <c r="A1175" s="2" t="s">
        <v>693</v>
      </c>
      <c r="B1175" s="2" t="s">
        <v>447</v>
      </c>
      <c r="C1175" s="2" t="s">
        <v>694</v>
      </c>
      <c r="D1175" s="2" t="s">
        <v>695</v>
      </c>
      <c r="E1175" s="2" t="s">
        <v>158</v>
      </c>
      <c r="F1175" s="3">
        <v>3400</v>
      </c>
      <c r="G1175" s="4">
        <v>60</v>
      </c>
      <c r="H1175" s="5">
        <v>7.4999999999999997E-3</v>
      </c>
    </row>
    <row r="1176" spans="1:8" x14ac:dyDescent="0.35">
      <c r="A1176" s="2" t="s">
        <v>693</v>
      </c>
      <c r="B1176" s="2" t="s">
        <v>447</v>
      </c>
      <c r="C1176" s="2" t="s">
        <v>696</v>
      </c>
      <c r="D1176" s="2" t="s">
        <v>697</v>
      </c>
      <c r="E1176" s="2" t="s">
        <v>698</v>
      </c>
      <c r="F1176" s="3">
        <v>269</v>
      </c>
      <c r="G1176" s="4">
        <v>36</v>
      </c>
      <c r="H1176" s="5">
        <v>0</v>
      </c>
    </row>
    <row r="1177" spans="1:8" x14ac:dyDescent="0.35">
      <c r="A1177" s="2" t="s">
        <v>693</v>
      </c>
      <c r="B1177" s="2" t="s">
        <v>447</v>
      </c>
      <c r="C1177" s="2" t="s">
        <v>675</v>
      </c>
      <c r="D1177" s="2" t="s">
        <v>676</v>
      </c>
      <c r="E1177" s="2" t="s">
        <v>226</v>
      </c>
      <c r="F1177" s="3">
        <v>4699.8999999999996</v>
      </c>
      <c r="G1177" s="4">
        <v>60</v>
      </c>
      <c r="H1177" s="5">
        <v>7.4999999999999997E-3</v>
      </c>
    </row>
    <row r="1178" spans="1:8" x14ac:dyDescent="0.35">
      <c r="A1178" s="2" t="s">
        <v>693</v>
      </c>
      <c r="B1178" s="2" t="s">
        <v>447</v>
      </c>
      <c r="C1178" s="2" t="s">
        <v>677</v>
      </c>
      <c r="D1178" s="2" t="s">
        <v>678</v>
      </c>
      <c r="E1178" s="2" t="s">
        <v>679</v>
      </c>
      <c r="F1178" s="3">
        <v>380</v>
      </c>
      <c r="G1178" s="4">
        <v>60</v>
      </c>
      <c r="H1178" s="5">
        <v>0</v>
      </c>
    </row>
    <row r="1179" spans="1:8" x14ac:dyDescent="0.35">
      <c r="A1179" s="2" t="s">
        <v>693</v>
      </c>
      <c r="B1179" s="2" t="s">
        <v>447</v>
      </c>
      <c r="C1179" s="2" t="s">
        <v>620</v>
      </c>
      <c r="D1179" s="2" t="s">
        <v>621</v>
      </c>
      <c r="E1179" s="2" t="s">
        <v>92</v>
      </c>
      <c r="F1179" s="3">
        <v>1690</v>
      </c>
      <c r="G1179" s="4">
        <v>36</v>
      </c>
      <c r="H1179" s="5">
        <v>0</v>
      </c>
    </row>
    <row r="1180" spans="1:8" x14ac:dyDescent="0.35">
      <c r="A1180" s="2" t="s">
        <v>693</v>
      </c>
      <c r="B1180" s="2" t="s">
        <v>447</v>
      </c>
      <c r="C1180" s="2" t="s">
        <v>622</v>
      </c>
      <c r="D1180" s="2" t="s">
        <v>623</v>
      </c>
      <c r="E1180" s="2" t="s">
        <v>46</v>
      </c>
      <c r="F1180" s="3">
        <v>267.83999999999997</v>
      </c>
      <c r="G1180" s="4">
        <v>60</v>
      </c>
      <c r="H1180" s="5">
        <v>0</v>
      </c>
    </row>
    <row r="1181" spans="1:8" x14ac:dyDescent="0.35">
      <c r="A1181" s="2" t="s">
        <v>693</v>
      </c>
      <c r="B1181" s="2" t="s">
        <v>447</v>
      </c>
      <c r="C1181" s="2" t="s">
        <v>699</v>
      </c>
      <c r="D1181" s="2" t="s">
        <v>700</v>
      </c>
      <c r="E1181" s="2" t="s">
        <v>670</v>
      </c>
      <c r="F1181" s="3">
        <v>3099.9</v>
      </c>
      <c r="G1181" s="4">
        <v>60</v>
      </c>
      <c r="H1181" s="5">
        <v>7.4999999999999997E-3</v>
      </c>
    </row>
    <row r="1182" spans="1:8" x14ac:dyDescent="0.35">
      <c r="A1182" s="2" t="s">
        <v>693</v>
      </c>
      <c r="B1182" s="2" t="s">
        <v>447</v>
      </c>
      <c r="C1182" s="2" t="s">
        <v>701</v>
      </c>
      <c r="D1182" s="2" t="s">
        <v>702</v>
      </c>
      <c r="E1182" s="2" t="s">
        <v>703</v>
      </c>
      <c r="F1182" s="3">
        <v>199.9</v>
      </c>
      <c r="G1182" s="4">
        <v>60</v>
      </c>
      <c r="H1182" s="5">
        <v>0</v>
      </c>
    </row>
    <row r="1183" spans="1:8" x14ac:dyDescent="0.35">
      <c r="A1183" s="2" t="s">
        <v>693</v>
      </c>
      <c r="B1183" s="2" t="s">
        <v>447</v>
      </c>
      <c r="C1183" s="2" t="s">
        <v>680</v>
      </c>
      <c r="D1183" s="2" t="s">
        <v>681</v>
      </c>
      <c r="E1183" s="2" t="s">
        <v>180</v>
      </c>
      <c r="F1183" s="3">
        <v>160</v>
      </c>
      <c r="G1183" s="4">
        <v>60</v>
      </c>
      <c r="H1183" s="5">
        <v>0</v>
      </c>
    </row>
    <row r="1184" spans="1:8" x14ac:dyDescent="0.35">
      <c r="A1184" s="2" t="s">
        <v>693</v>
      </c>
      <c r="B1184" s="2" t="s">
        <v>447</v>
      </c>
      <c r="C1184" s="2" t="s">
        <v>704</v>
      </c>
      <c r="D1184" s="2" t="s">
        <v>705</v>
      </c>
      <c r="E1184" s="6" t="s">
        <v>180</v>
      </c>
      <c r="F1184" s="3">
        <v>490</v>
      </c>
      <c r="G1184" s="4">
        <v>60</v>
      </c>
      <c r="H1184" s="5">
        <v>0</v>
      </c>
    </row>
    <row r="1185" spans="1:8" x14ac:dyDescent="0.35">
      <c r="A1185" s="2" t="s">
        <v>693</v>
      </c>
      <c r="B1185" s="2" t="s">
        <v>447</v>
      </c>
      <c r="C1185" s="2" t="s">
        <v>706</v>
      </c>
      <c r="D1185" s="2" t="s">
        <v>707</v>
      </c>
      <c r="E1185" s="2" t="s">
        <v>708</v>
      </c>
      <c r="F1185" s="3">
        <v>4000</v>
      </c>
      <c r="G1185" s="4">
        <v>60</v>
      </c>
      <c r="H1185" s="5">
        <v>7.4999999999999997E-3</v>
      </c>
    </row>
    <row r="1186" spans="1:8" x14ac:dyDescent="0.35">
      <c r="A1186" s="2" t="s">
        <v>693</v>
      </c>
      <c r="B1186" s="2" t="s">
        <v>447</v>
      </c>
      <c r="C1186" s="2" t="s">
        <v>629</v>
      </c>
      <c r="D1186" s="2" t="s">
        <v>630</v>
      </c>
      <c r="E1186" s="2" t="s">
        <v>300</v>
      </c>
      <c r="F1186" s="3">
        <v>55</v>
      </c>
      <c r="G1186" s="4">
        <v>24</v>
      </c>
      <c r="H1186" s="5">
        <v>0</v>
      </c>
    </row>
    <row r="1187" spans="1:8" x14ac:dyDescent="0.35">
      <c r="A1187" s="2" t="s">
        <v>693</v>
      </c>
      <c r="B1187" s="2" t="s">
        <v>447</v>
      </c>
      <c r="C1187" s="2" t="s">
        <v>631</v>
      </c>
      <c r="D1187" s="2" t="s">
        <v>632</v>
      </c>
      <c r="E1187" s="2" t="s">
        <v>322</v>
      </c>
      <c r="F1187" s="3">
        <v>55</v>
      </c>
      <c r="G1187" s="4">
        <v>60</v>
      </c>
      <c r="H1187" s="5">
        <v>0</v>
      </c>
    </row>
    <row r="1188" spans="1:8" x14ac:dyDescent="0.35">
      <c r="A1188" s="2" t="s">
        <v>693</v>
      </c>
      <c r="B1188" s="2" t="s">
        <v>447</v>
      </c>
      <c r="C1188" s="2" t="s">
        <v>633</v>
      </c>
      <c r="D1188" s="2" t="s">
        <v>634</v>
      </c>
      <c r="E1188" s="2" t="s">
        <v>635</v>
      </c>
      <c r="F1188" s="3">
        <v>19.989999999999998</v>
      </c>
      <c r="G1188" s="4">
        <v>12</v>
      </c>
      <c r="H1188" s="5">
        <v>0</v>
      </c>
    </row>
    <row r="1189" spans="1:8" x14ac:dyDescent="0.35">
      <c r="A1189" s="2" t="s">
        <v>693</v>
      </c>
      <c r="B1189" s="2" t="s">
        <v>447</v>
      </c>
      <c r="C1189" s="2" t="s">
        <v>709</v>
      </c>
      <c r="D1189" s="2" t="s">
        <v>710</v>
      </c>
      <c r="E1189" s="2" t="s">
        <v>638</v>
      </c>
      <c r="F1189" s="3">
        <v>16.989999999999998</v>
      </c>
      <c r="G1189" s="4">
        <v>12</v>
      </c>
      <c r="H1189" s="5">
        <v>0</v>
      </c>
    </row>
    <row r="1190" spans="1:8" x14ac:dyDescent="0.35">
      <c r="A1190" s="2" t="s">
        <v>693</v>
      </c>
      <c r="B1190" s="2" t="s">
        <v>447</v>
      </c>
      <c r="C1190" s="2" t="s">
        <v>657</v>
      </c>
      <c r="D1190" s="2" t="s">
        <v>658</v>
      </c>
      <c r="E1190" s="2" t="s">
        <v>659</v>
      </c>
      <c r="F1190" s="3">
        <v>37.49</v>
      </c>
      <c r="G1190" s="4">
        <v>24</v>
      </c>
      <c r="H1190" s="5">
        <v>0</v>
      </c>
    </row>
    <row r="1191" spans="1:8" x14ac:dyDescent="0.35">
      <c r="A1191" s="2" t="s">
        <v>693</v>
      </c>
      <c r="B1191" s="2" t="s">
        <v>447</v>
      </c>
      <c r="C1191" s="2" t="s">
        <v>711</v>
      </c>
      <c r="D1191" s="2" t="s">
        <v>712</v>
      </c>
      <c r="E1191" s="2" t="s">
        <v>713</v>
      </c>
      <c r="F1191" s="3">
        <v>311.66000000000003</v>
      </c>
      <c r="G1191" s="4">
        <v>36</v>
      </c>
      <c r="H1191" s="5">
        <v>0</v>
      </c>
    </row>
    <row r="1192" spans="1:8" x14ac:dyDescent="0.35">
      <c r="A1192" s="2" t="s">
        <v>693</v>
      </c>
      <c r="B1192" s="2" t="s">
        <v>447</v>
      </c>
      <c r="C1192" s="2" t="s">
        <v>639</v>
      </c>
      <c r="D1192" s="2" t="s">
        <v>640</v>
      </c>
      <c r="E1192" s="2" t="s">
        <v>641</v>
      </c>
      <c r="F1192" s="3">
        <v>20</v>
      </c>
      <c r="G1192" s="4">
        <v>12</v>
      </c>
      <c r="H1192" s="5">
        <v>0</v>
      </c>
    </row>
    <row r="1193" spans="1:8" x14ac:dyDescent="0.35">
      <c r="A1193" s="2" t="s">
        <v>693</v>
      </c>
      <c r="B1193" s="2" t="s">
        <v>447</v>
      </c>
      <c r="C1193" s="2" t="s">
        <v>642</v>
      </c>
      <c r="D1193" s="2" t="s">
        <v>643</v>
      </c>
      <c r="E1193" s="2" t="s">
        <v>644</v>
      </c>
      <c r="F1193" s="3">
        <v>52.07</v>
      </c>
      <c r="G1193" s="4">
        <v>12</v>
      </c>
      <c r="H1193" s="5">
        <v>0</v>
      </c>
    </row>
    <row r="1194" spans="1:8" x14ac:dyDescent="0.35">
      <c r="A1194" s="2" t="s">
        <v>693</v>
      </c>
      <c r="B1194" s="2" t="s">
        <v>447</v>
      </c>
      <c r="C1194" s="2" t="s">
        <v>682</v>
      </c>
      <c r="D1194" s="2" t="s">
        <v>683</v>
      </c>
      <c r="E1194" s="2" t="s">
        <v>684</v>
      </c>
      <c r="F1194" s="3">
        <v>63.22</v>
      </c>
      <c r="G1194" s="4">
        <v>12</v>
      </c>
      <c r="H1194" s="5">
        <v>0</v>
      </c>
    </row>
    <row r="1195" spans="1:8" x14ac:dyDescent="0.35">
      <c r="A1195" s="2" t="s">
        <v>693</v>
      </c>
      <c r="B1195" s="2" t="s">
        <v>447</v>
      </c>
      <c r="C1195" s="2" t="s">
        <v>714</v>
      </c>
      <c r="D1195" s="2" t="s">
        <v>686</v>
      </c>
      <c r="E1195" s="2" t="s">
        <v>303</v>
      </c>
      <c r="F1195" s="3">
        <v>43</v>
      </c>
      <c r="G1195" s="4">
        <v>24</v>
      </c>
      <c r="H1195" s="5">
        <v>0</v>
      </c>
    </row>
    <row r="1196" spans="1:8" x14ac:dyDescent="0.35">
      <c r="A1196" s="2" t="s">
        <v>693</v>
      </c>
      <c r="B1196" s="2" t="s">
        <v>447</v>
      </c>
      <c r="C1196" s="2" t="s">
        <v>660</v>
      </c>
      <c r="D1196" s="2" t="s">
        <v>661</v>
      </c>
      <c r="E1196" s="2" t="s">
        <v>303</v>
      </c>
      <c r="F1196" s="3">
        <v>29.24</v>
      </c>
      <c r="G1196" s="4">
        <v>12</v>
      </c>
      <c r="H1196" s="5">
        <v>0</v>
      </c>
    </row>
    <row r="1197" spans="1:8" x14ac:dyDescent="0.35">
      <c r="A1197" s="2" t="s">
        <v>693</v>
      </c>
      <c r="B1197" s="2" t="s">
        <v>447</v>
      </c>
      <c r="C1197" s="2" t="s">
        <v>647</v>
      </c>
      <c r="D1197" s="2" t="s">
        <v>648</v>
      </c>
      <c r="E1197" s="2" t="s">
        <v>535</v>
      </c>
      <c r="F1197" s="3">
        <v>29.24</v>
      </c>
      <c r="G1197" s="4">
        <v>12</v>
      </c>
      <c r="H1197" s="5">
        <v>0</v>
      </c>
    </row>
    <row r="1198" spans="1:8" x14ac:dyDescent="0.35">
      <c r="A1198" s="2" t="s">
        <v>693</v>
      </c>
      <c r="B1198" s="2" t="s">
        <v>447</v>
      </c>
      <c r="C1198" s="2" t="s">
        <v>649</v>
      </c>
      <c r="D1198" s="2" t="s">
        <v>650</v>
      </c>
      <c r="E1198" s="2" t="s">
        <v>275</v>
      </c>
      <c r="F1198" s="3">
        <v>10.7</v>
      </c>
      <c r="G1198" s="4">
        <v>12</v>
      </c>
      <c r="H1198" s="5">
        <v>0</v>
      </c>
    </row>
    <row r="1199" spans="1:8" x14ac:dyDescent="0.35">
      <c r="A1199" s="2" t="s">
        <v>693</v>
      </c>
      <c r="B1199" s="2" t="s">
        <v>447</v>
      </c>
      <c r="C1199" s="2" t="s">
        <v>651</v>
      </c>
      <c r="D1199" s="2" t="s">
        <v>652</v>
      </c>
      <c r="E1199" s="2" t="s">
        <v>136</v>
      </c>
      <c r="F1199" s="3">
        <v>80.739999999999995</v>
      </c>
      <c r="G1199" s="4">
        <v>6</v>
      </c>
      <c r="H1199" s="5">
        <v>0</v>
      </c>
    </row>
    <row r="1200" spans="1:8" x14ac:dyDescent="0.35">
      <c r="A1200" s="2" t="s">
        <v>693</v>
      </c>
      <c r="B1200" s="2" t="s">
        <v>447</v>
      </c>
      <c r="C1200" s="2" t="s">
        <v>715</v>
      </c>
      <c r="D1200" s="2" t="s">
        <v>716</v>
      </c>
      <c r="E1200" s="2" t="s">
        <v>717</v>
      </c>
      <c r="F1200" s="3">
        <v>42.9</v>
      </c>
      <c r="G1200" s="4">
        <v>6</v>
      </c>
      <c r="H1200" s="5">
        <v>0</v>
      </c>
    </row>
    <row r="1201" spans="1:8" x14ac:dyDescent="0.35">
      <c r="A1201" s="2" t="s">
        <v>693</v>
      </c>
      <c r="B1201" s="2" t="s">
        <v>447</v>
      </c>
      <c r="C1201" s="2" t="s">
        <v>653</v>
      </c>
      <c r="D1201" s="2" t="s">
        <v>654</v>
      </c>
      <c r="E1201" s="2" t="s">
        <v>190</v>
      </c>
      <c r="F1201" s="3">
        <v>1.79</v>
      </c>
      <c r="G1201" s="4">
        <v>1</v>
      </c>
      <c r="H1201" s="5">
        <v>0</v>
      </c>
    </row>
    <row r="1202" spans="1:8" x14ac:dyDescent="0.35">
      <c r="A1202" s="2" t="s">
        <v>693</v>
      </c>
      <c r="B1202" s="2" t="s">
        <v>447</v>
      </c>
      <c r="C1202" s="2" t="s">
        <v>687</v>
      </c>
      <c r="D1202" s="2" t="s">
        <v>473</v>
      </c>
      <c r="E1202" s="2" t="s">
        <v>473</v>
      </c>
      <c r="F1202" s="3">
        <v>1299.9000000000001</v>
      </c>
      <c r="G1202" s="4">
        <v>36</v>
      </c>
      <c r="H1202" s="5">
        <v>0</v>
      </c>
    </row>
    <row r="1203" spans="1:8" x14ac:dyDescent="0.35">
      <c r="A1203" s="2" t="s">
        <v>693</v>
      </c>
      <c r="B1203" s="2" t="s">
        <v>447</v>
      </c>
      <c r="C1203" s="2" t="s">
        <v>688</v>
      </c>
      <c r="D1203" s="2" t="s">
        <v>689</v>
      </c>
      <c r="E1203" s="2" t="s">
        <v>690</v>
      </c>
      <c r="F1203" s="3">
        <v>480</v>
      </c>
      <c r="G1203" s="4">
        <v>36</v>
      </c>
      <c r="H1203" s="5">
        <v>0</v>
      </c>
    </row>
    <row r="1204" spans="1:8" x14ac:dyDescent="0.35">
      <c r="A1204" s="2" t="s">
        <v>693</v>
      </c>
      <c r="B1204" s="2" t="s">
        <v>447</v>
      </c>
      <c r="C1204" s="2" t="s">
        <v>718</v>
      </c>
      <c r="D1204" s="2" t="s">
        <v>719</v>
      </c>
      <c r="E1204" s="2" t="s">
        <v>271</v>
      </c>
      <c r="F1204" s="3">
        <v>4489.21</v>
      </c>
      <c r="G1204" s="4">
        <v>1</v>
      </c>
      <c r="H1204" s="5">
        <v>0</v>
      </c>
    </row>
    <row r="1205" spans="1:8" x14ac:dyDescent="0.35">
      <c r="A1205" s="2" t="s">
        <v>720</v>
      </c>
      <c r="B1205" s="2" t="s">
        <v>611</v>
      </c>
      <c r="C1205" s="2" t="s">
        <v>612</v>
      </c>
      <c r="D1205" s="2" t="s">
        <v>613</v>
      </c>
      <c r="E1205" s="2" t="s">
        <v>147</v>
      </c>
      <c r="F1205" s="3">
        <v>1365</v>
      </c>
      <c r="G1205" s="4">
        <v>60</v>
      </c>
      <c r="H1205" s="5">
        <v>7.4999999999999997E-3</v>
      </c>
    </row>
    <row r="1206" spans="1:8" x14ac:dyDescent="0.35">
      <c r="A1206" s="2" t="s">
        <v>720</v>
      </c>
      <c r="B1206" s="2" t="s">
        <v>611</v>
      </c>
      <c r="C1206" s="2" t="s">
        <v>614</v>
      </c>
      <c r="D1206" s="2" t="s">
        <v>615</v>
      </c>
      <c r="E1206" s="2" t="s">
        <v>193</v>
      </c>
      <c r="F1206" s="3">
        <v>110</v>
      </c>
      <c r="G1206" s="4">
        <v>36</v>
      </c>
      <c r="H1206" s="5">
        <v>0</v>
      </c>
    </row>
    <row r="1207" spans="1:8" x14ac:dyDescent="0.35">
      <c r="A1207" s="2" t="s">
        <v>720</v>
      </c>
      <c r="B1207" s="2" t="s">
        <v>611</v>
      </c>
      <c r="C1207" s="2" t="s">
        <v>616</v>
      </c>
      <c r="D1207" s="2" t="s">
        <v>617</v>
      </c>
      <c r="E1207" s="2" t="s">
        <v>226</v>
      </c>
      <c r="F1207" s="3">
        <v>3150</v>
      </c>
      <c r="G1207" s="4">
        <v>60</v>
      </c>
      <c r="H1207" s="5">
        <v>7.4999999999999997E-3</v>
      </c>
    </row>
    <row r="1208" spans="1:8" x14ac:dyDescent="0.35">
      <c r="A1208" s="2" t="s">
        <v>720</v>
      </c>
      <c r="B1208" s="2" t="s">
        <v>611</v>
      </c>
      <c r="C1208" s="2" t="s">
        <v>618</v>
      </c>
      <c r="D1208" s="2" t="s">
        <v>619</v>
      </c>
      <c r="E1208" s="2" t="s">
        <v>285</v>
      </c>
      <c r="F1208" s="3">
        <v>160</v>
      </c>
      <c r="G1208" s="4">
        <v>60</v>
      </c>
      <c r="H1208" s="5">
        <v>0</v>
      </c>
    </row>
    <row r="1209" spans="1:8" x14ac:dyDescent="0.35">
      <c r="A1209" s="2" t="s">
        <v>720</v>
      </c>
      <c r="B1209" s="2" t="s">
        <v>611</v>
      </c>
      <c r="C1209" s="2" t="s">
        <v>620</v>
      </c>
      <c r="D1209" s="2" t="s">
        <v>621</v>
      </c>
      <c r="E1209" s="2" t="s">
        <v>92</v>
      </c>
      <c r="F1209" s="3">
        <v>250</v>
      </c>
      <c r="G1209" s="4">
        <v>36</v>
      </c>
      <c r="H1209" s="5">
        <v>0</v>
      </c>
    </row>
    <row r="1210" spans="1:8" x14ac:dyDescent="0.35">
      <c r="A1210" s="2" t="s">
        <v>720</v>
      </c>
      <c r="B1210" s="2" t="s">
        <v>611</v>
      </c>
      <c r="C1210" s="2" t="s">
        <v>622</v>
      </c>
      <c r="D1210" s="2" t="s">
        <v>623</v>
      </c>
      <c r="E1210" s="2" t="s">
        <v>46</v>
      </c>
      <c r="F1210" s="3">
        <v>250</v>
      </c>
      <c r="G1210" s="4">
        <v>60</v>
      </c>
      <c r="H1210" s="5">
        <v>0</v>
      </c>
    </row>
    <row r="1211" spans="1:8" x14ac:dyDescent="0.35">
      <c r="A1211" s="2" t="s">
        <v>720</v>
      </c>
      <c r="B1211" s="2" t="s">
        <v>611</v>
      </c>
      <c r="C1211" s="2" t="s">
        <v>629</v>
      </c>
      <c r="D1211" s="2" t="s">
        <v>630</v>
      </c>
      <c r="E1211" s="2" t="s">
        <v>300</v>
      </c>
      <c r="F1211" s="3">
        <v>55</v>
      </c>
      <c r="G1211" s="4">
        <v>24</v>
      </c>
      <c r="H1211" s="5">
        <v>0</v>
      </c>
    </row>
    <row r="1212" spans="1:8" x14ac:dyDescent="0.35">
      <c r="A1212" s="2" t="s">
        <v>720</v>
      </c>
      <c r="B1212" s="2" t="s">
        <v>611</v>
      </c>
      <c r="C1212" s="2" t="s">
        <v>631</v>
      </c>
      <c r="D1212" s="2" t="s">
        <v>632</v>
      </c>
      <c r="E1212" s="2" t="s">
        <v>322</v>
      </c>
      <c r="F1212" s="3">
        <v>40.1</v>
      </c>
      <c r="G1212" s="4">
        <v>60</v>
      </c>
      <c r="H1212" s="5">
        <v>0</v>
      </c>
    </row>
    <row r="1213" spans="1:8" x14ac:dyDescent="0.35">
      <c r="A1213" s="2" t="s">
        <v>720</v>
      </c>
      <c r="B1213" s="2" t="s">
        <v>611</v>
      </c>
      <c r="C1213" s="2" t="s">
        <v>633</v>
      </c>
      <c r="D1213" s="2" t="s">
        <v>634</v>
      </c>
      <c r="E1213" s="2" t="s">
        <v>635</v>
      </c>
      <c r="F1213" s="3">
        <v>14</v>
      </c>
      <c r="G1213" s="4">
        <v>12</v>
      </c>
      <c r="H1213" s="5">
        <v>0</v>
      </c>
    </row>
    <row r="1214" spans="1:8" x14ac:dyDescent="0.35">
      <c r="A1214" s="2" t="s">
        <v>720</v>
      </c>
      <c r="B1214" s="2" t="s">
        <v>611</v>
      </c>
      <c r="C1214" s="2" t="s">
        <v>636</v>
      </c>
      <c r="D1214" s="2" t="s">
        <v>637</v>
      </c>
      <c r="E1214" s="2" t="s">
        <v>638</v>
      </c>
      <c r="F1214" s="3">
        <v>12</v>
      </c>
      <c r="G1214" s="4">
        <v>12</v>
      </c>
      <c r="H1214" s="5">
        <v>0</v>
      </c>
    </row>
    <row r="1215" spans="1:8" x14ac:dyDescent="0.35">
      <c r="A1215" s="2" t="s">
        <v>720</v>
      </c>
      <c r="B1215" s="2" t="s">
        <v>611</v>
      </c>
      <c r="C1215" s="2" t="s">
        <v>721</v>
      </c>
      <c r="D1215" s="2" t="s">
        <v>722</v>
      </c>
      <c r="E1215" s="6" t="s">
        <v>641</v>
      </c>
      <c r="F1215" s="3">
        <v>13</v>
      </c>
      <c r="G1215" s="4">
        <v>12</v>
      </c>
      <c r="H1215" s="5">
        <v>0</v>
      </c>
    </row>
    <row r="1216" spans="1:8" x14ac:dyDescent="0.35">
      <c r="A1216" s="2" t="s">
        <v>720</v>
      </c>
      <c r="B1216" s="2" t="s">
        <v>611</v>
      </c>
      <c r="C1216" s="2" t="s">
        <v>639</v>
      </c>
      <c r="D1216" s="2" t="s">
        <v>640</v>
      </c>
      <c r="E1216" s="2" t="s">
        <v>641</v>
      </c>
      <c r="F1216" s="3">
        <v>13</v>
      </c>
      <c r="G1216" s="4">
        <v>12</v>
      </c>
      <c r="H1216" s="5">
        <v>0</v>
      </c>
    </row>
    <row r="1217" spans="1:8" x14ac:dyDescent="0.35">
      <c r="A1217" s="2" t="s">
        <v>720</v>
      </c>
      <c r="B1217" s="2" t="s">
        <v>611</v>
      </c>
      <c r="C1217" s="2" t="s">
        <v>723</v>
      </c>
      <c r="D1217" s="2" t="s">
        <v>724</v>
      </c>
      <c r="E1217" s="2" t="s">
        <v>303</v>
      </c>
      <c r="F1217" s="3">
        <v>32</v>
      </c>
      <c r="G1217" s="4">
        <v>24</v>
      </c>
      <c r="H1217" s="5">
        <v>0</v>
      </c>
    </row>
    <row r="1218" spans="1:8" x14ac:dyDescent="0.35">
      <c r="A1218" s="2" t="s">
        <v>720</v>
      </c>
      <c r="B1218" s="2" t="s">
        <v>611</v>
      </c>
      <c r="C1218" s="2" t="s">
        <v>725</v>
      </c>
      <c r="D1218" s="2" t="s">
        <v>726</v>
      </c>
      <c r="E1218" s="2" t="s">
        <v>535</v>
      </c>
      <c r="F1218" s="3">
        <v>11</v>
      </c>
      <c r="G1218" s="4">
        <v>12</v>
      </c>
      <c r="H1218" s="5">
        <v>0</v>
      </c>
    </row>
    <row r="1219" spans="1:8" x14ac:dyDescent="0.35">
      <c r="A1219" s="2" t="s">
        <v>720</v>
      </c>
      <c r="B1219" s="2" t="s">
        <v>611</v>
      </c>
      <c r="C1219" s="2" t="s">
        <v>727</v>
      </c>
      <c r="D1219" s="2" t="s">
        <v>728</v>
      </c>
      <c r="E1219" s="2" t="s">
        <v>275</v>
      </c>
      <c r="F1219" s="3">
        <v>4</v>
      </c>
      <c r="G1219" s="4">
        <v>12</v>
      </c>
      <c r="H1219" s="5">
        <v>0</v>
      </c>
    </row>
    <row r="1220" spans="1:8" x14ac:dyDescent="0.35">
      <c r="A1220" s="2" t="s">
        <v>720</v>
      </c>
      <c r="B1220" s="2" t="s">
        <v>611</v>
      </c>
      <c r="C1220" s="2" t="s">
        <v>729</v>
      </c>
      <c r="D1220" s="2" t="s">
        <v>730</v>
      </c>
      <c r="E1220" s="2" t="s">
        <v>136</v>
      </c>
      <c r="F1220" s="3">
        <v>22</v>
      </c>
      <c r="G1220" s="4">
        <v>6</v>
      </c>
      <c r="H1220" s="5">
        <v>0</v>
      </c>
    </row>
    <row r="1221" spans="1:8" x14ac:dyDescent="0.35">
      <c r="A1221" s="2" t="s">
        <v>720</v>
      </c>
      <c r="B1221" s="2" t="s">
        <v>611</v>
      </c>
      <c r="C1221" s="2" t="s">
        <v>731</v>
      </c>
      <c r="D1221" s="2" t="s">
        <v>732</v>
      </c>
      <c r="E1221" s="2" t="s">
        <v>190</v>
      </c>
      <c r="F1221" s="3">
        <v>0.5</v>
      </c>
      <c r="G1221" s="4">
        <v>1</v>
      </c>
      <c r="H1221" s="5">
        <v>0</v>
      </c>
    </row>
    <row r="1222" spans="1:8" x14ac:dyDescent="0.35">
      <c r="A1222" s="2" t="s">
        <v>720</v>
      </c>
      <c r="B1222" s="2" t="s">
        <v>510</v>
      </c>
      <c r="C1222" s="2" t="s">
        <v>612</v>
      </c>
      <c r="D1222" s="2" t="s">
        <v>613</v>
      </c>
      <c r="E1222" s="2" t="s">
        <v>147</v>
      </c>
      <c r="F1222" s="3">
        <v>1365</v>
      </c>
      <c r="G1222" s="4">
        <v>36</v>
      </c>
      <c r="H1222" s="5">
        <v>0.05</v>
      </c>
    </row>
    <row r="1223" spans="1:8" x14ac:dyDescent="0.35">
      <c r="A1223" s="2" t="s">
        <v>720</v>
      </c>
      <c r="B1223" s="2" t="s">
        <v>510</v>
      </c>
      <c r="C1223" s="2" t="s">
        <v>614</v>
      </c>
      <c r="D1223" s="2" t="s">
        <v>615</v>
      </c>
      <c r="E1223" s="2" t="s">
        <v>193</v>
      </c>
      <c r="F1223" s="3">
        <v>110</v>
      </c>
      <c r="G1223" s="4">
        <v>24</v>
      </c>
      <c r="H1223" s="5">
        <v>0</v>
      </c>
    </row>
    <row r="1224" spans="1:8" x14ac:dyDescent="0.35">
      <c r="A1224" s="2" t="s">
        <v>720</v>
      </c>
      <c r="B1224" s="2" t="s">
        <v>510</v>
      </c>
      <c r="C1224" s="2" t="s">
        <v>616</v>
      </c>
      <c r="D1224" s="2" t="s">
        <v>617</v>
      </c>
      <c r="E1224" s="2" t="s">
        <v>226</v>
      </c>
      <c r="F1224" s="3">
        <v>3150</v>
      </c>
      <c r="G1224" s="4">
        <v>36</v>
      </c>
      <c r="H1224" s="5">
        <v>0.05</v>
      </c>
    </row>
    <row r="1225" spans="1:8" x14ac:dyDescent="0.35">
      <c r="A1225" s="2" t="s">
        <v>720</v>
      </c>
      <c r="B1225" s="2" t="s">
        <v>510</v>
      </c>
      <c r="C1225" s="2" t="s">
        <v>618</v>
      </c>
      <c r="D1225" s="2" t="s">
        <v>619</v>
      </c>
      <c r="E1225" s="2" t="s">
        <v>285</v>
      </c>
      <c r="F1225" s="3">
        <v>160</v>
      </c>
      <c r="G1225" s="4">
        <v>24</v>
      </c>
      <c r="H1225" s="5">
        <v>0</v>
      </c>
    </row>
    <row r="1226" spans="1:8" x14ac:dyDescent="0.35">
      <c r="A1226" s="2" t="s">
        <v>720</v>
      </c>
      <c r="B1226" s="2" t="s">
        <v>510</v>
      </c>
      <c r="C1226" s="2" t="s">
        <v>620</v>
      </c>
      <c r="D1226" s="2" t="s">
        <v>621</v>
      </c>
      <c r="E1226" s="2" t="s">
        <v>92</v>
      </c>
      <c r="F1226" s="3">
        <v>250</v>
      </c>
      <c r="G1226" s="4">
        <v>24</v>
      </c>
      <c r="H1226" s="5">
        <v>0</v>
      </c>
    </row>
    <row r="1227" spans="1:8" x14ac:dyDescent="0.35">
      <c r="A1227" s="2" t="s">
        <v>720</v>
      </c>
      <c r="B1227" s="2" t="s">
        <v>510</v>
      </c>
      <c r="C1227" s="2" t="s">
        <v>622</v>
      </c>
      <c r="D1227" s="2" t="s">
        <v>623</v>
      </c>
      <c r="E1227" s="2" t="s">
        <v>46</v>
      </c>
      <c r="F1227" s="3">
        <v>250</v>
      </c>
      <c r="G1227" s="4">
        <v>36</v>
      </c>
      <c r="H1227" s="5">
        <v>0</v>
      </c>
    </row>
    <row r="1228" spans="1:8" x14ac:dyDescent="0.35">
      <c r="A1228" s="2" t="s">
        <v>720</v>
      </c>
      <c r="B1228" s="2" t="s">
        <v>510</v>
      </c>
      <c r="C1228" s="2" t="s">
        <v>629</v>
      </c>
      <c r="D1228" s="2" t="s">
        <v>630</v>
      </c>
      <c r="E1228" s="2" t="s">
        <v>300</v>
      </c>
      <c r="F1228" s="3">
        <v>55</v>
      </c>
      <c r="G1228" s="4">
        <v>24</v>
      </c>
      <c r="H1228" s="5">
        <v>0</v>
      </c>
    </row>
    <row r="1229" spans="1:8" x14ac:dyDescent="0.35">
      <c r="A1229" s="2" t="s">
        <v>720</v>
      </c>
      <c r="B1229" s="2" t="s">
        <v>510</v>
      </c>
      <c r="C1229" s="2" t="s">
        <v>631</v>
      </c>
      <c r="D1229" s="2" t="s">
        <v>632</v>
      </c>
      <c r="E1229" s="2" t="s">
        <v>322</v>
      </c>
      <c r="F1229" s="3">
        <v>40.1</v>
      </c>
      <c r="G1229" s="4">
        <v>24</v>
      </c>
      <c r="H1229" s="5">
        <v>0</v>
      </c>
    </row>
    <row r="1230" spans="1:8" x14ac:dyDescent="0.35">
      <c r="A1230" s="2" t="s">
        <v>720</v>
      </c>
      <c r="B1230" s="2" t="s">
        <v>510</v>
      </c>
      <c r="C1230" s="2" t="s">
        <v>633</v>
      </c>
      <c r="D1230" s="2" t="s">
        <v>634</v>
      </c>
      <c r="E1230" s="2" t="s">
        <v>635</v>
      </c>
      <c r="F1230" s="3">
        <v>14</v>
      </c>
      <c r="G1230" s="4">
        <v>12</v>
      </c>
      <c r="H1230" s="5">
        <v>0</v>
      </c>
    </row>
    <row r="1231" spans="1:8" x14ac:dyDescent="0.35">
      <c r="A1231" s="2" t="s">
        <v>720</v>
      </c>
      <c r="B1231" s="2" t="s">
        <v>510</v>
      </c>
      <c r="C1231" s="2" t="s">
        <v>636</v>
      </c>
      <c r="D1231" s="2" t="s">
        <v>637</v>
      </c>
      <c r="E1231" s="2" t="s">
        <v>638</v>
      </c>
      <c r="F1231" s="3">
        <v>12</v>
      </c>
      <c r="G1231" s="4">
        <v>12</v>
      </c>
      <c r="H1231" s="5">
        <v>0</v>
      </c>
    </row>
    <row r="1232" spans="1:8" x14ac:dyDescent="0.35">
      <c r="A1232" s="2" t="s">
        <v>720</v>
      </c>
      <c r="B1232" s="2" t="s">
        <v>510</v>
      </c>
      <c r="C1232" s="2" t="s">
        <v>721</v>
      </c>
      <c r="D1232" s="2" t="s">
        <v>722</v>
      </c>
      <c r="E1232" s="6" t="s">
        <v>641</v>
      </c>
      <c r="F1232" s="3">
        <v>13</v>
      </c>
      <c r="G1232" s="4">
        <v>12</v>
      </c>
      <c r="H1232" s="5">
        <v>0</v>
      </c>
    </row>
    <row r="1233" spans="1:8" x14ac:dyDescent="0.35">
      <c r="A1233" s="2" t="s">
        <v>720</v>
      </c>
      <c r="B1233" s="2" t="s">
        <v>510</v>
      </c>
      <c r="C1233" s="2" t="s">
        <v>639</v>
      </c>
      <c r="D1233" s="2" t="s">
        <v>640</v>
      </c>
      <c r="E1233" s="2" t="s">
        <v>641</v>
      </c>
      <c r="F1233" s="3">
        <v>13</v>
      </c>
      <c r="G1233" s="4">
        <v>12</v>
      </c>
      <c r="H1233" s="5">
        <v>0</v>
      </c>
    </row>
    <row r="1234" spans="1:8" x14ac:dyDescent="0.35">
      <c r="A1234" s="2" t="s">
        <v>720</v>
      </c>
      <c r="B1234" s="2" t="s">
        <v>510</v>
      </c>
      <c r="C1234" s="2" t="s">
        <v>723</v>
      </c>
      <c r="D1234" s="2" t="s">
        <v>724</v>
      </c>
      <c r="E1234" s="2" t="s">
        <v>303</v>
      </c>
      <c r="F1234" s="3">
        <v>32</v>
      </c>
      <c r="G1234" s="4">
        <v>24</v>
      </c>
      <c r="H1234" s="5">
        <v>0</v>
      </c>
    </row>
    <row r="1235" spans="1:8" x14ac:dyDescent="0.35">
      <c r="A1235" s="2" t="s">
        <v>720</v>
      </c>
      <c r="B1235" s="2" t="s">
        <v>510</v>
      </c>
      <c r="C1235" s="2" t="s">
        <v>725</v>
      </c>
      <c r="D1235" s="2" t="s">
        <v>726</v>
      </c>
      <c r="E1235" s="2" t="s">
        <v>535</v>
      </c>
      <c r="F1235" s="3">
        <v>11</v>
      </c>
      <c r="G1235" s="4">
        <v>12</v>
      </c>
      <c r="H1235" s="5">
        <v>0</v>
      </c>
    </row>
    <row r="1236" spans="1:8" x14ac:dyDescent="0.35">
      <c r="A1236" s="2" t="s">
        <v>720</v>
      </c>
      <c r="B1236" s="2" t="s">
        <v>510</v>
      </c>
      <c r="C1236" s="2" t="s">
        <v>727</v>
      </c>
      <c r="D1236" s="2" t="s">
        <v>728</v>
      </c>
      <c r="E1236" s="2" t="s">
        <v>275</v>
      </c>
      <c r="F1236" s="3">
        <v>4</v>
      </c>
      <c r="G1236" s="4">
        <v>12</v>
      </c>
      <c r="H1236" s="5">
        <v>0</v>
      </c>
    </row>
    <row r="1237" spans="1:8" x14ac:dyDescent="0.35">
      <c r="A1237" s="2" t="s">
        <v>720</v>
      </c>
      <c r="B1237" s="2" t="s">
        <v>510</v>
      </c>
      <c r="C1237" s="2" t="s">
        <v>729</v>
      </c>
      <c r="D1237" s="2" t="s">
        <v>730</v>
      </c>
      <c r="E1237" s="2" t="s">
        <v>136</v>
      </c>
      <c r="F1237" s="3">
        <v>22</v>
      </c>
      <c r="G1237" s="4">
        <v>6</v>
      </c>
      <c r="H1237" s="5">
        <v>0</v>
      </c>
    </row>
    <row r="1238" spans="1:8" x14ac:dyDescent="0.35">
      <c r="A1238" s="2" t="s">
        <v>720</v>
      </c>
      <c r="B1238" s="2" t="s">
        <v>510</v>
      </c>
      <c r="C1238" s="2" t="s">
        <v>731</v>
      </c>
      <c r="D1238" s="2" t="s">
        <v>732</v>
      </c>
      <c r="E1238" s="2" t="s">
        <v>190</v>
      </c>
      <c r="F1238" s="3">
        <v>0.5</v>
      </c>
      <c r="G1238" s="4">
        <v>1</v>
      </c>
      <c r="H1238" s="5">
        <v>0</v>
      </c>
    </row>
    <row r="1239" spans="1:8" x14ac:dyDescent="0.35">
      <c r="A1239" s="2" t="s">
        <v>720</v>
      </c>
      <c r="B1239" s="2" t="s">
        <v>655</v>
      </c>
      <c r="C1239" s="2" t="s">
        <v>612</v>
      </c>
      <c r="D1239" s="2" t="s">
        <v>613</v>
      </c>
      <c r="E1239" s="2" t="s">
        <v>147</v>
      </c>
      <c r="F1239" s="3">
        <v>1365</v>
      </c>
      <c r="G1239" s="4">
        <v>60</v>
      </c>
      <c r="H1239" s="5">
        <v>7.4999999999999997E-3</v>
      </c>
    </row>
    <row r="1240" spans="1:8" x14ac:dyDescent="0.35">
      <c r="A1240" s="2" t="s">
        <v>720</v>
      </c>
      <c r="B1240" s="2" t="s">
        <v>655</v>
      </c>
      <c r="C1240" s="2" t="s">
        <v>614</v>
      </c>
      <c r="D1240" s="2" t="s">
        <v>615</v>
      </c>
      <c r="E1240" s="2" t="s">
        <v>193</v>
      </c>
      <c r="F1240" s="3">
        <v>110</v>
      </c>
      <c r="G1240" s="4">
        <v>36</v>
      </c>
      <c r="H1240" s="5">
        <v>0</v>
      </c>
    </row>
    <row r="1241" spans="1:8" x14ac:dyDescent="0.35">
      <c r="A1241" s="2" t="s">
        <v>720</v>
      </c>
      <c r="B1241" s="2" t="s">
        <v>655</v>
      </c>
      <c r="C1241" s="2" t="s">
        <v>616</v>
      </c>
      <c r="D1241" s="2" t="s">
        <v>617</v>
      </c>
      <c r="E1241" s="2" t="s">
        <v>226</v>
      </c>
      <c r="F1241" s="3">
        <v>3150</v>
      </c>
      <c r="G1241" s="4">
        <v>60</v>
      </c>
      <c r="H1241" s="5">
        <v>7.4999999999999997E-3</v>
      </c>
    </row>
    <row r="1242" spans="1:8" x14ac:dyDescent="0.35">
      <c r="A1242" s="2" t="s">
        <v>720</v>
      </c>
      <c r="B1242" s="2" t="s">
        <v>655</v>
      </c>
      <c r="C1242" s="2" t="s">
        <v>618</v>
      </c>
      <c r="D1242" s="2" t="s">
        <v>619</v>
      </c>
      <c r="E1242" s="2" t="s">
        <v>285</v>
      </c>
      <c r="F1242" s="3">
        <v>160</v>
      </c>
      <c r="G1242" s="4">
        <v>60</v>
      </c>
      <c r="H1242" s="5">
        <v>0</v>
      </c>
    </row>
    <row r="1243" spans="1:8" x14ac:dyDescent="0.35">
      <c r="A1243" s="2" t="s">
        <v>720</v>
      </c>
      <c r="B1243" s="2" t="s">
        <v>655</v>
      </c>
      <c r="C1243" s="2" t="s">
        <v>620</v>
      </c>
      <c r="D1243" s="2" t="s">
        <v>621</v>
      </c>
      <c r="E1243" s="2" t="s">
        <v>92</v>
      </c>
      <c r="F1243" s="3">
        <v>250</v>
      </c>
      <c r="G1243" s="4">
        <v>36</v>
      </c>
      <c r="H1243" s="5">
        <v>0</v>
      </c>
    </row>
    <row r="1244" spans="1:8" x14ac:dyDescent="0.35">
      <c r="A1244" s="2" t="s">
        <v>720</v>
      </c>
      <c r="B1244" s="2" t="s">
        <v>655</v>
      </c>
      <c r="C1244" s="2" t="s">
        <v>622</v>
      </c>
      <c r="D1244" s="2" t="s">
        <v>623</v>
      </c>
      <c r="E1244" s="2" t="s">
        <v>46</v>
      </c>
      <c r="F1244" s="3">
        <v>250</v>
      </c>
      <c r="G1244" s="4">
        <v>60</v>
      </c>
      <c r="H1244" s="5">
        <v>0</v>
      </c>
    </row>
    <row r="1245" spans="1:8" x14ac:dyDescent="0.35">
      <c r="A1245" s="2" t="s">
        <v>720</v>
      </c>
      <c r="B1245" s="2" t="s">
        <v>655</v>
      </c>
      <c r="C1245" s="2" t="s">
        <v>629</v>
      </c>
      <c r="D1245" s="2" t="s">
        <v>630</v>
      </c>
      <c r="E1245" s="2" t="s">
        <v>300</v>
      </c>
      <c r="F1245" s="3">
        <v>55</v>
      </c>
      <c r="G1245" s="4">
        <v>24</v>
      </c>
      <c r="H1245" s="5">
        <v>0</v>
      </c>
    </row>
    <row r="1246" spans="1:8" x14ac:dyDescent="0.35">
      <c r="A1246" s="2" t="s">
        <v>720</v>
      </c>
      <c r="B1246" s="2" t="s">
        <v>655</v>
      </c>
      <c r="C1246" s="2" t="s">
        <v>631</v>
      </c>
      <c r="D1246" s="2" t="s">
        <v>632</v>
      </c>
      <c r="E1246" s="2" t="s">
        <v>322</v>
      </c>
      <c r="F1246" s="3">
        <v>40.1</v>
      </c>
      <c r="G1246" s="4">
        <v>60</v>
      </c>
      <c r="H1246" s="5">
        <v>0</v>
      </c>
    </row>
    <row r="1247" spans="1:8" x14ac:dyDescent="0.35">
      <c r="A1247" s="2" t="s">
        <v>720</v>
      </c>
      <c r="B1247" s="2" t="s">
        <v>655</v>
      </c>
      <c r="C1247" s="2" t="s">
        <v>633</v>
      </c>
      <c r="D1247" s="2" t="s">
        <v>634</v>
      </c>
      <c r="E1247" s="2" t="s">
        <v>635</v>
      </c>
      <c r="F1247" s="3">
        <v>14</v>
      </c>
      <c r="G1247" s="4">
        <v>12</v>
      </c>
      <c r="H1247" s="5">
        <v>0</v>
      </c>
    </row>
    <row r="1248" spans="1:8" x14ac:dyDescent="0.35">
      <c r="A1248" s="2" t="s">
        <v>720</v>
      </c>
      <c r="B1248" s="2" t="s">
        <v>655</v>
      </c>
      <c r="C1248" s="2" t="s">
        <v>636</v>
      </c>
      <c r="D1248" s="2" t="s">
        <v>637</v>
      </c>
      <c r="E1248" s="2" t="s">
        <v>638</v>
      </c>
      <c r="F1248" s="3">
        <v>12</v>
      </c>
      <c r="G1248" s="4">
        <v>12</v>
      </c>
      <c r="H1248" s="5">
        <v>0</v>
      </c>
    </row>
    <row r="1249" spans="1:8" x14ac:dyDescent="0.35">
      <c r="A1249" s="2" t="s">
        <v>720</v>
      </c>
      <c r="B1249" s="2" t="s">
        <v>655</v>
      </c>
      <c r="C1249" s="2" t="s">
        <v>721</v>
      </c>
      <c r="D1249" s="2" t="s">
        <v>722</v>
      </c>
      <c r="E1249" s="6" t="s">
        <v>641</v>
      </c>
      <c r="F1249" s="3">
        <v>13</v>
      </c>
      <c r="G1249" s="4">
        <v>12</v>
      </c>
      <c r="H1249" s="5">
        <v>0</v>
      </c>
    </row>
    <row r="1250" spans="1:8" x14ac:dyDescent="0.35">
      <c r="A1250" s="2" t="s">
        <v>720</v>
      </c>
      <c r="B1250" s="2" t="s">
        <v>655</v>
      </c>
      <c r="C1250" s="2" t="s">
        <v>639</v>
      </c>
      <c r="D1250" s="2" t="s">
        <v>640</v>
      </c>
      <c r="E1250" s="2" t="s">
        <v>641</v>
      </c>
      <c r="F1250" s="3">
        <v>13</v>
      </c>
      <c r="G1250" s="4">
        <v>12</v>
      </c>
      <c r="H1250" s="5">
        <v>0</v>
      </c>
    </row>
    <row r="1251" spans="1:8" x14ac:dyDescent="0.35">
      <c r="A1251" s="2" t="s">
        <v>720</v>
      </c>
      <c r="B1251" s="2" t="s">
        <v>655</v>
      </c>
      <c r="C1251" s="2" t="s">
        <v>723</v>
      </c>
      <c r="D1251" s="2" t="s">
        <v>724</v>
      </c>
      <c r="E1251" s="2" t="s">
        <v>303</v>
      </c>
      <c r="F1251" s="3">
        <v>32</v>
      </c>
      <c r="G1251" s="4">
        <v>24</v>
      </c>
      <c r="H1251" s="5">
        <v>0</v>
      </c>
    </row>
    <row r="1252" spans="1:8" x14ac:dyDescent="0.35">
      <c r="A1252" s="2" t="s">
        <v>720</v>
      </c>
      <c r="B1252" s="2" t="s">
        <v>655</v>
      </c>
      <c r="C1252" s="2" t="s">
        <v>725</v>
      </c>
      <c r="D1252" s="2" t="s">
        <v>726</v>
      </c>
      <c r="E1252" s="2" t="s">
        <v>535</v>
      </c>
      <c r="F1252" s="3">
        <v>11</v>
      </c>
      <c r="G1252" s="4">
        <v>12</v>
      </c>
      <c r="H1252" s="5">
        <v>0</v>
      </c>
    </row>
    <row r="1253" spans="1:8" x14ac:dyDescent="0.35">
      <c r="A1253" s="2" t="s">
        <v>720</v>
      </c>
      <c r="B1253" s="2" t="s">
        <v>655</v>
      </c>
      <c r="C1253" s="2" t="s">
        <v>727</v>
      </c>
      <c r="D1253" s="2" t="s">
        <v>728</v>
      </c>
      <c r="E1253" s="2" t="s">
        <v>275</v>
      </c>
      <c r="F1253" s="3">
        <v>4</v>
      </c>
      <c r="G1253" s="4">
        <v>12</v>
      </c>
      <c r="H1253" s="5">
        <v>0</v>
      </c>
    </row>
    <row r="1254" spans="1:8" x14ac:dyDescent="0.35">
      <c r="A1254" s="2" t="s">
        <v>720</v>
      </c>
      <c r="B1254" s="2" t="s">
        <v>655</v>
      </c>
      <c r="C1254" s="2" t="s">
        <v>729</v>
      </c>
      <c r="D1254" s="2" t="s">
        <v>730</v>
      </c>
      <c r="E1254" s="2" t="s">
        <v>136</v>
      </c>
      <c r="F1254" s="3">
        <v>22</v>
      </c>
      <c r="G1254" s="4">
        <v>6</v>
      </c>
      <c r="H1254" s="5">
        <v>0</v>
      </c>
    </row>
    <row r="1255" spans="1:8" x14ac:dyDescent="0.35">
      <c r="A1255" s="2" t="s">
        <v>720</v>
      </c>
      <c r="B1255" s="2" t="s">
        <v>655</v>
      </c>
      <c r="C1255" s="2" t="s">
        <v>731</v>
      </c>
      <c r="D1255" s="2" t="s">
        <v>732</v>
      </c>
      <c r="E1255" s="2" t="s">
        <v>190</v>
      </c>
      <c r="F1255" s="3">
        <v>0.5</v>
      </c>
      <c r="G1255" s="4">
        <v>1</v>
      </c>
      <c r="H1255" s="5">
        <v>0</v>
      </c>
    </row>
    <row r="1256" spans="1:8" x14ac:dyDescent="0.35">
      <c r="A1256" s="2" t="s">
        <v>720</v>
      </c>
      <c r="B1256" s="2" t="s">
        <v>447</v>
      </c>
      <c r="C1256" s="2" t="s">
        <v>612</v>
      </c>
      <c r="D1256" s="2" t="s">
        <v>613</v>
      </c>
      <c r="E1256" s="2" t="s">
        <v>147</v>
      </c>
      <c r="F1256" s="3">
        <v>1499</v>
      </c>
      <c r="G1256" s="4">
        <v>60</v>
      </c>
      <c r="H1256" s="5">
        <v>7.4999999999999997E-3</v>
      </c>
    </row>
    <row r="1257" spans="1:8" x14ac:dyDescent="0.35">
      <c r="A1257" s="2" t="s">
        <v>720</v>
      </c>
      <c r="B1257" s="2" t="s">
        <v>447</v>
      </c>
      <c r="C1257" s="2" t="s">
        <v>614</v>
      </c>
      <c r="D1257" s="2" t="s">
        <v>615</v>
      </c>
      <c r="E1257" s="2" t="s">
        <v>193</v>
      </c>
      <c r="F1257" s="3">
        <v>287.08999999999997</v>
      </c>
      <c r="G1257" s="4">
        <v>36</v>
      </c>
      <c r="H1257" s="5">
        <v>0</v>
      </c>
    </row>
    <row r="1258" spans="1:8" x14ac:dyDescent="0.35">
      <c r="A1258" s="2" t="s">
        <v>720</v>
      </c>
      <c r="B1258" s="2" t="s">
        <v>447</v>
      </c>
      <c r="C1258" s="2" t="s">
        <v>616</v>
      </c>
      <c r="D1258" s="2" t="s">
        <v>617</v>
      </c>
      <c r="E1258" s="2" t="s">
        <v>226</v>
      </c>
      <c r="F1258" s="3">
        <v>4699.8999999999996</v>
      </c>
      <c r="G1258" s="4">
        <v>60</v>
      </c>
      <c r="H1258" s="5">
        <v>7.4999999999999997E-3</v>
      </c>
    </row>
    <row r="1259" spans="1:8" x14ac:dyDescent="0.35">
      <c r="A1259" s="2" t="s">
        <v>720</v>
      </c>
      <c r="B1259" s="2" t="s">
        <v>447</v>
      </c>
      <c r="C1259" s="2" t="s">
        <v>618</v>
      </c>
      <c r="D1259" s="2" t="s">
        <v>619</v>
      </c>
      <c r="E1259" s="2" t="s">
        <v>285</v>
      </c>
      <c r="F1259" s="3">
        <v>380</v>
      </c>
      <c r="G1259" s="4">
        <v>60</v>
      </c>
      <c r="H1259" s="5">
        <v>0</v>
      </c>
    </row>
    <row r="1260" spans="1:8" x14ac:dyDescent="0.35">
      <c r="A1260" s="2" t="s">
        <v>720</v>
      </c>
      <c r="B1260" s="2" t="s">
        <v>447</v>
      </c>
      <c r="C1260" s="2" t="s">
        <v>620</v>
      </c>
      <c r="D1260" s="2" t="s">
        <v>621</v>
      </c>
      <c r="E1260" s="2" t="s">
        <v>92</v>
      </c>
      <c r="F1260" s="3">
        <v>950</v>
      </c>
      <c r="G1260" s="4">
        <v>36</v>
      </c>
      <c r="H1260" s="5">
        <v>0</v>
      </c>
    </row>
    <row r="1261" spans="1:8" x14ac:dyDescent="0.35">
      <c r="A1261" s="2" t="s">
        <v>720</v>
      </c>
      <c r="B1261" s="2" t="s">
        <v>447</v>
      </c>
      <c r="C1261" s="2" t="s">
        <v>622</v>
      </c>
      <c r="D1261" s="2" t="s">
        <v>623</v>
      </c>
      <c r="E1261" s="2" t="s">
        <v>46</v>
      </c>
      <c r="F1261" s="3">
        <v>267.83999999999997</v>
      </c>
      <c r="G1261" s="4">
        <v>60</v>
      </c>
      <c r="H1261" s="5">
        <v>0</v>
      </c>
    </row>
    <row r="1262" spans="1:8" x14ac:dyDescent="0.35">
      <c r="A1262" s="2" t="s">
        <v>720</v>
      </c>
      <c r="B1262" s="2" t="s">
        <v>447</v>
      </c>
      <c r="C1262" s="2" t="s">
        <v>629</v>
      </c>
      <c r="D1262" s="2" t="s">
        <v>630</v>
      </c>
      <c r="E1262" s="2" t="s">
        <v>300</v>
      </c>
      <c r="F1262" s="3">
        <v>55</v>
      </c>
      <c r="G1262" s="4">
        <v>24</v>
      </c>
      <c r="H1262" s="5">
        <v>0</v>
      </c>
    </row>
    <row r="1263" spans="1:8" x14ac:dyDescent="0.35">
      <c r="A1263" s="2" t="s">
        <v>720</v>
      </c>
      <c r="B1263" s="2" t="s">
        <v>447</v>
      </c>
      <c r="C1263" s="2" t="s">
        <v>631</v>
      </c>
      <c r="D1263" s="2" t="s">
        <v>632</v>
      </c>
      <c r="E1263" s="2" t="s">
        <v>322</v>
      </c>
      <c r="F1263" s="3">
        <v>55</v>
      </c>
      <c r="G1263" s="4">
        <v>60</v>
      </c>
      <c r="H1263" s="5">
        <v>0</v>
      </c>
    </row>
    <row r="1264" spans="1:8" x14ac:dyDescent="0.35">
      <c r="A1264" s="2" t="s">
        <v>720</v>
      </c>
      <c r="B1264" s="2" t="s">
        <v>447</v>
      </c>
      <c r="C1264" s="2" t="s">
        <v>633</v>
      </c>
      <c r="D1264" s="2" t="s">
        <v>634</v>
      </c>
      <c r="E1264" s="2" t="s">
        <v>635</v>
      </c>
      <c r="F1264" s="3">
        <v>19.989999999999998</v>
      </c>
      <c r="G1264" s="4">
        <v>12</v>
      </c>
      <c r="H1264" s="5">
        <v>0</v>
      </c>
    </row>
    <row r="1265" spans="1:8" x14ac:dyDescent="0.35">
      <c r="A1265" s="2" t="s">
        <v>720</v>
      </c>
      <c r="B1265" s="2" t="s">
        <v>447</v>
      </c>
      <c r="C1265" s="2" t="s">
        <v>636</v>
      </c>
      <c r="D1265" s="2" t="s">
        <v>637</v>
      </c>
      <c r="E1265" s="2" t="s">
        <v>638</v>
      </c>
      <c r="F1265" s="3">
        <v>12</v>
      </c>
      <c r="G1265" s="4">
        <v>12</v>
      </c>
      <c r="H1265" s="5">
        <v>0</v>
      </c>
    </row>
    <row r="1266" spans="1:8" x14ac:dyDescent="0.35">
      <c r="A1266" s="2" t="s">
        <v>720</v>
      </c>
      <c r="B1266" s="2" t="s">
        <v>447</v>
      </c>
      <c r="C1266" s="2" t="s">
        <v>721</v>
      </c>
      <c r="D1266" s="2" t="s">
        <v>722</v>
      </c>
      <c r="E1266" s="6" t="s">
        <v>641</v>
      </c>
      <c r="F1266" s="3">
        <v>13</v>
      </c>
      <c r="G1266" s="4">
        <v>12</v>
      </c>
      <c r="H1266" s="5">
        <v>0</v>
      </c>
    </row>
    <row r="1267" spans="1:8" x14ac:dyDescent="0.35">
      <c r="A1267" s="2" t="s">
        <v>720</v>
      </c>
      <c r="B1267" s="2" t="s">
        <v>447</v>
      </c>
      <c r="C1267" s="2" t="s">
        <v>639</v>
      </c>
      <c r="D1267" s="2" t="s">
        <v>640</v>
      </c>
      <c r="E1267" s="2" t="s">
        <v>641</v>
      </c>
      <c r="F1267" s="3">
        <v>13</v>
      </c>
      <c r="G1267" s="4">
        <v>12</v>
      </c>
      <c r="H1267" s="5">
        <v>0</v>
      </c>
    </row>
    <row r="1268" spans="1:8" x14ac:dyDescent="0.35">
      <c r="A1268" s="2" t="s">
        <v>720</v>
      </c>
      <c r="B1268" s="2" t="s">
        <v>447</v>
      </c>
      <c r="C1268" s="2" t="s">
        <v>723</v>
      </c>
      <c r="D1268" s="2" t="s">
        <v>724</v>
      </c>
      <c r="E1268" s="2" t="s">
        <v>303</v>
      </c>
      <c r="F1268" s="3">
        <v>32</v>
      </c>
      <c r="G1268" s="4">
        <v>24</v>
      </c>
      <c r="H1268" s="5">
        <v>0</v>
      </c>
    </row>
    <row r="1269" spans="1:8" x14ac:dyDescent="0.35">
      <c r="A1269" s="2" t="s">
        <v>720</v>
      </c>
      <c r="B1269" s="2" t="s">
        <v>447</v>
      </c>
      <c r="C1269" s="2" t="s">
        <v>725</v>
      </c>
      <c r="D1269" s="2" t="s">
        <v>726</v>
      </c>
      <c r="E1269" s="2" t="s">
        <v>535</v>
      </c>
      <c r="F1269" s="3">
        <v>25</v>
      </c>
      <c r="G1269" s="4">
        <v>12</v>
      </c>
      <c r="H1269" s="5">
        <v>0</v>
      </c>
    </row>
    <row r="1270" spans="1:8" x14ac:dyDescent="0.35">
      <c r="A1270" s="2" t="s">
        <v>720</v>
      </c>
      <c r="B1270" s="2" t="s">
        <v>447</v>
      </c>
      <c r="C1270" s="2" t="s">
        <v>727</v>
      </c>
      <c r="D1270" s="2" t="s">
        <v>728</v>
      </c>
      <c r="E1270" s="2" t="s">
        <v>275</v>
      </c>
      <c r="F1270" s="3">
        <v>4</v>
      </c>
      <c r="G1270" s="4">
        <v>12</v>
      </c>
      <c r="H1270" s="5">
        <v>0</v>
      </c>
    </row>
    <row r="1271" spans="1:8" x14ac:dyDescent="0.35">
      <c r="A1271" s="2" t="s">
        <v>720</v>
      </c>
      <c r="B1271" s="2" t="s">
        <v>447</v>
      </c>
      <c r="C1271" s="2" t="s">
        <v>729</v>
      </c>
      <c r="D1271" s="2" t="s">
        <v>730</v>
      </c>
      <c r="E1271" s="2" t="s">
        <v>136</v>
      </c>
      <c r="F1271" s="3">
        <v>22</v>
      </c>
      <c r="G1271" s="4">
        <v>6</v>
      </c>
      <c r="H1271" s="5">
        <v>0</v>
      </c>
    </row>
    <row r="1272" spans="1:8" x14ac:dyDescent="0.35">
      <c r="A1272" s="2" t="s">
        <v>720</v>
      </c>
      <c r="B1272" s="2" t="s">
        <v>447</v>
      </c>
      <c r="C1272" s="2" t="s">
        <v>731</v>
      </c>
      <c r="D1272" s="2" t="s">
        <v>732</v>
      </c>
      <c r="E1272" s="2" t="s">
        <v>190</v>
      </c>
      <c r="F1272" s="3">
        <v>0.5</v>
      </c>
      <c r="G1272" s="4">
        <v>1</v>
      </c>
      <c r="H1272" s="5">
        <v>0</v>
      </c>
    </row>
    <row r="1273" spans="1:8" x14ac:dyDescent="0.35">
      <c r="A1273" s="2" t="s">
        <v>733</v>
      </c>
      <c r="B1273" s="2" t="s">
        <v>510</v>
      </c>
      <c r="C1273" s="2" t="s">
        <v>612</v>
      </c>
      <c r="D1273" s="2" t="s">
        <v>613</v>
      </c>
      <c r="E1273" s="2" t="s">
        <v>147</v>
      </c>
      <c r="F1273" s="3">
        <v>2273.34</v>
      </c>
      <c r="G1273" s="4">
        <v>36</v>
      </c>
      <c r="H1273" s="5">
        <v>0.05</v>
      </c>
    </row>
    <row r="1274" spans="1:8" x14ac:dyDescent="0.35">
      <c r="A1274" s="2" t="s">
        <v>733</v>
      </c>
      <c r="B1274" s="2" t="s">
        <v>510</v>
      </c>
      <c r="C1274" s="2" t="s">
        <v>614</v>
      </c>
      <c r="D1274" s="2" t="s">
        <v>615</v>
      </c>
      <c r="E1274" s="2" t="s">
        <v>193</v>
      </c>
      <c r="F1274" s="3">
        <v>263.91000000000003</v>
      </c>
      <c r="G1274" s="4">
        <v>24</v>
      </c>
      <c r="H1274" s="5">
        <v>0</v>
      </c>
    </row>
    <row r="1275" spans="1:8" x14ac:dyDescent="0.35">
      <c r="A1275" s="2" t="s">
        <v>733</v>
      </c>
      <c r="B1275" s="2" t="s">
        <v>510</v>
      </c>
      <c r="C1275" s="2" t="s">
        <v>616</v>
      </c>
      <c r="D1275" s="2" t="s">
        <v>617</v>
      </c>
      <c r="E1275" s="2" t="s">
        <v>226</v>
      </c>
      <c r="F1275" s="3">
        <v>2583.1999999999998</v>
      </c>
      <c r="G1275" s="4">
        <v>36</v>
      </c>
      <c r="H1275" s="5">
        <v>0.05</v>
      </c>
    </row>
    <row r="1276" spans="1:8" x14ac:dyDescent="0.35">
      <c r="A1276" s="2" t="s">
        <v>733</v>
      </c>
      <c r="B1276" s="2" t="s">
        <v>510</v>
      </c>
      <c r="C1276" s="2" t="s">
        <v>618</v>
      </c>
      <c r="D1276" s="2" t="s">
        <v>619</v>
      </c>
      <c r="E1276" s="2" t="s">
        <v>285</v>
      </c>
      <c r="F1276" s="3">
        <v>399</v>
      </c>
      <c r="G1276" s="4">
        <v>24</v>
      </c>
      <c r="H1276" s="5">
        <v>0</v>
      </c>
    </row>
    <row r="1277" spans="1:8" x14ac:dyDescent="0.35">
      <c r="A1277" s="2" t="s">
        <v>733</v>
      </c>
      <c r="B1277" s="2" t="s">
        <v>510</v>
      </c>
      <c r="C1277" s="2" t="s">
        <v>620</v>
      </c>
      <c r="D1277" s="2" t="s">
        <v>621</v>
      </c>
      <c r="E1277" s="2" t="s">
        <v>92</v>
      </c>
      <c r="F1277" s="3">
        <v>1250.7</v>
      </c>
      <c r="G1277" s="4">
        <v>24</v>
      </c>
      <c r="H1277" s="5">
        <v>0</v>
      </c>
    </row>
    <row r="1278" spans="1:8" x14ac:dyDescent="0.35">
      <c r="A1278" s="2" t="s">
        <v>733</v>
      </c>
      <c r="B1278" s="2" t="s">
        <v>510</v>
      </c>
      <c r="C1278" s="2" t="s">
        <v>622</v>
      </c>
      <c r="D1278" s="2" t="s">
        <v>623</v>
      </c>
      <c r="E1278" s="2" t="s">
        <v>46</v>
      </c>
      <c r="F1278" s="3">
        <v>2418.25</v>
      </c>
      <c r="G1278" s="4">
        <v>36</v>
      </c>
      <c r="H1278" s="5">
        <v>0</v>
      </c>
    </row>
    <row r="1279" spans="1:8" x14ac:dyDescent="0.35">
      <c r="A1279" s="2" t="s">
        <v>733</v>
      </c>
      <c r="B1279" s="2" t="s">
        <v>510</v>
      </c>
      <c r="C1279" s="2" t="s">
        <v>626</v>
      </c>
      <c r="D1279" s="2" t="s">
        <v>627</v>
      </c>
      <c r="E1279" s="2" t="s">
        <v>628</v>
      </c>
      <c r="F1279" s="3">
        <v>3300</v>
      </c>
      <c r="G1279" s="4">
        <v>36</v>
      </c>
      <c r="H1279" s="5">
        <v>0</v>
      </c>
    </row>
    <row r="1280" spans="1:8" x14ac:dyDescent="0.35">
      <c r="A1280" s="2" t="s">
        <v>733</v>
      </c>
      <c r="B1280" s="2" t="s">
        <v>510</v>
      </c>
      <c r="C1280" s="2" t="s">
        <v>629</v>
      </c>
      <c r="D1280" s="2" t="s">
        <v>630</v>
      </c>
      <c r="E1280" s="2" t="s">
        <v>300</v>
      </c>
      <c r="F1280" s="3">
        <v>52.61</v>
      </c>
      <c r="G1280" s="4">
        <v>24</v>
      </c>
      <c r="H1280" s="5">
        <v>0</v>
      </c>
    </row>
    <row r="1281" spans="1:8" x14ac:dyDescent="0.35">
      <c r="A1281" s="2" t="s">
        <v>733</v>
      </c>
      <c r="B1281" s="2" t="s">
        <v>510</v>
      </c>
      <c r="C1281" s="2" t="s">
        <v>631</v>
      </c>
      <c r="D1281" s="2" t="s">
        <v>632</v>
      </c>
      <c r="E1281" s="2" t="s">
        <v>322</v>
      </c>
      <c r="F1281" s="3">
        <v>43.43</v>
      </c>
      <c r="G1281" s="4">
        <v>24</v>
      </c>
      <c r="H1281" s="5">
        <v>0</v>
      </c>
    </row>
    <row r="1282" spans="1:8" x14ac:dyDescent="0.35">
      <c r="A1282" s="2" t="s">
        <v>733</v>
      </c>
      <c r="B1282" s="2" t="s">
        <v>510</v>
      </c>
      <c r="C1282" s="2" t="s">
        <v>633</v>
      </c>
      <c r="D1282" s="2" t="s">
        <v>634</v>
      </c>
      <c r="E1282" s="2" t="s">
        <v>635</v>
      </c>
      <c r="F1282" s="3">
        <v>17</v>
      </c>
      <c r="G1282" s="4">
        <v>12</v>
      </c>
      <c r="H1282" s="5">
        <v>0</v>
      </c>
    </row>
    <row r="1283" spans="1:8" x14ac:dyDescent="0.35">
      <c r="A1283" s="2" t="s">
        <v>733</v>
      </c>
      <c r="B1283" s="2" t="s">
        <v>510</v>
      </c>
      <c r="C1283" s="2" t="s">
        <v>636</v>
      </c>
      <c r="D1283" s="2" t="s">
        <v>637</v>
      </c>
      <c r="E1283" s="2" t="s">
        <v>638</v>
      </c>
      <c r="F1283" s="3">
        <v>16</v>
      </c>
      <c r="G1283" s="4">
        <v>12</v>
      </c>
      <c r="H1283" s="5">
        <v>0</v>
      </c>
    </row>
    <row r="1284" spans="1:8" x14ac:dyDescent="0.35">
      <c r="A1284" s="2" t="s">
        <v>733</v>
      </c>
      <c r="B1284" s="2" t="s">
        <v>510</v>
      </c>
      <c r="C1284" s="2" t="s">
        <v>639</v>
      </c>
      <c r="D1284" s="2" t="s">
        <v>640</v>
      </c>
      <c r="E1284" s="2" t="s">
        <v>641</v>
      </c>
      <c r="F1284" s="3">
        <v>8.9600000000000009</v>
      </c>
      <c r="G1284" s="4">
        <v>12</v>
      </c>
      <c r="H1284" s="5">
        <v>0</v>
      </c>
    </row>
    <row r="1285" spans="1:8" x14ac:dyDescent="0.35">
      <c r="A1285" s="2" t="s">
        <v>733</v>
      </c>
      <c r="B1285" s="2" t="s">
        <v>510</v>
      </c>
      <c r="C1285" s="2" t="s">
        <v>642</v>
      </c>
      <c r="D1285" s="2" t="s">
        <v>643</v>
      </c>
      <c r="E1285" s="2" t="s">
        <v>644</v>
      </c>
      <c r="F1285" s="3">
        <v>11.75</v>
      </c>
      <c r="G1285" s="4">
        <v>12</v>
      </c>
      <c r="H1285" s="5">
        <v>0</v>
      </c>
    </row>
    <row r="1286" spans="1:8" x14ac:dyDescent="0.35">
      <c r="A1286" s="2" t="s">
        <v>733</v>
      </c>
      <c r="B1286" s="2" t="s">
        <v>510</v>
      </c>
      <c r="C1286" s="2" t="s">
        <v>645</v>
      </c>
      <c r="D1286" s="2" t="s">
        <v>646</v>
      </c>
      <c r="E1286" s="2" t="s">
        <v>303</v>
      </c>
      <c r="F1286" s="3">
        <v>39.81</v>
      </c>
      <c r="G1286" s="4">
        <v>24</v>
      </c>
      <c r="H1286" s="5">
        <v>0</v>
      </c>
    </row>
    <row r="1287" spans="1:8" x14ac:dyDescent="0.35">
      <c r="A1287" s="2" t="s">
        <v>733</v>
      </c>
      <c r="B1287" s="2" t="s">
        <v>510</v>
      </c>
      <c r="C1287" s="2" t="s">
        <v>647</v>
      </c>
      <c r="D1287" s="2" t="s">
        <v>648</v>
      </c>
      <c r="E1287" s="2" t="s">
        <v>535</v>
      </c>
      <c r="F1287" s="3">
        <v>57.39</v>
      </c>
      <c r="G1287" s="4">
        <v>12</v>
      </c>
      <c r="H1287" s="5">
        <v>0</v>
      </c>
    </row>
    <row r="1288" spans="1:8" x14ac:dyDescent="0.35">
      <c r="A1288" s="2" t="s">
        <v>733</v>
      </c>
      <c r="B1288" s="2" t="s">
        <v>510</v>
      </c>
      <c r="C1288" s="2" t="s">
        <v>649</v>
      </c>
      <c r="D1288" s="2" t="s">
        <v>650</v>
      </c>
      <c r="E1288" s="2" t="s">
        <v>275</v>
      </c>
      <c r="F1288" s="3">
        <v>8.5</v>
      </c>
      <c r="G1288" s="4">
        <v>12</v>
      </c>
      <c r="H1288" s="5">
        <v>0</v>
      </c>
    </row>
    <row r="1289" spans="1:8" x14ac:dyDescent="0.35">
      <c r="A1289" s="2" t="s">
        <v>733</v>
      </c>
      <c r="B1289" s="2" t="s">
        <v>510</v>
      </c>
      <c r="C1289" s="2" t="s">
        <v>651</v>
      </c>
      <c r="D1289" s="2" t="s">
        <v>652</v>
      </c>
      <c r="E1289" s="2" t="s">
        <v>136</v>
      </c>
      <c r="F1289" s="3">
        <v>84.23</v>
      </c>
      <c r="G1289" s="4">
        <v>6</v>
      </c>
      <c r="H1289" s="5">
        <v>0</v>
      </c>
    </row>
    <row r="1290" spans="1:8" x14ac:dyDescent="0.35">
      <c r="A1290" s="2" t="s">
        <v>733</v>
      </c>
      <c r="B1290" s="2" t="s">
        <v>510</v>
      </c>
      <c r="C1290" s="2" t="s">
        <v>653</v>
      </c>
      <c r="D1290" s="2" t="s">
        <v>654</v>
      </c>
      <c r="E1290" s="2" t="s">
        <v>190</v>
      </c>
      <c r="F1290" s="3">
        <v>1.1100000000000001</v>
      </c>
      <c r="G1290" s="4">
        <v>1</v>
      </c>
      <c r="H1290" s="5">
        <v>0</v>
      </c>
    </row>
    <row r="1291" spans="1:8" x14ac:dyDescent="0.35">
      <c r="A1291" s="2" t="s">
        <v>733</v>
      </c>
      <c r="B1291" s="2" t="s">
        <v>611</v>
      </c>
      <c r="C1291" s="2" t="s">
        <v>612</v>
      </c>
      <c r="D1291" s="2" t="s">
        <v>613</v>
      </c>
      <c r="E1291" s="2" t="s">
        <v>147</v>
      </c>
      <c r="F1291" s="3">
        <v>3412.5</v>
      </c>
      <c r="G1291" s="4">
        <v>60</v>
      </c>
      <c r="H1291" s="5">
        <v>7.4999999999999997E-3</v>
      </c>
    </row>
    <row r="1292" spans="1:8" x14ac:dyDescent="0.35">
      <c r="A1292" s="2" t="s">
        <v>733</v>
      </c>
      <c r="B1292" s="2" t="s">
        <v>611</v>
      </c>
      <c r="C1292" s="2" t="s">
        <v>614</v>
      </c>
      <c r="D1292" s="2" t="s">
        <v>615</v>
      </c>
      <c r="E1292" s="2" t="s">
        <v>193</v>
      </c>
      <c r="F1292" s="3">
        <v>275</v>
      </c>
      <c r="G1292" s="4">
        <v>36</v>
      </c>
      <c r="H1292" s="5">
        <v>0</v>
      </c>
    </row>
    <row r="1293" spans="1:8" x14ac:dyDescent="0.35">
      <c r="A1293" s="2" t="s">
        <v>733</v>
      </c>
      <c r="B1293" s="2" t="s">
        <v>611</v>
      </c>
      <c r="C1293" s="2" t="s">
        <v>616</v>
      </c>
      <c r="D1293" s="2" t="s">
        <v>617</v>
      </c>
      <c r="E1293" s="2" t="s">
        <v>226</v>
      </c>
      <c r="F1293" s="3">
        <v>7875</v>
      </c>
      <c r="G1293" s="4">
        <v>60</v>
      </c>
      <c r="H1293" s="5">
        <v>7.4999999999999997E-3</v>
      </c>
    </row>
    <row r="1294" spans="1:8" x14ac:dyDescent="0.35">
      <c r="A1294" s="2" t="s">
        <v>733</v>
      </c>
      <c r="B1294" s="2" t="s">
        <v>611</v>
      </c>
      <c r="C1294" s="2" t="s">
        <v>618</v>
      </c>
      <c r="D1294" s="2" t="s">
        <v>619</v>
      </c>
      <c r="E1294" s="2" t="s">
        <v>285</v>
      </c>
      <c r="F1294" s="3">
        <v>160</v>
      </c>
      <c r="G1294" s="4">
        <v>60</v>
      </c>
      <c r="H1294" s="5">
        <v>0</v>
      </c>
    </row>
    <row r="1295" spans="1:8" x14ac:dyDescent="0.35">
      <c r="A1295" s="2" t="s">
        <v>733</v>
      </c>
      <c r="B1295" s="2" t="s">
        <v>611</v>
      </c>
      <c r="C1295" s="2" t="s">
        <v>620</v>
      </c>
      <c r="D1295" s="2" t="s">
        <v>621</v>
      </c>
      <c r="E1295" s="2" t="s">
        <v>92</v>
      </c>
      <c r="F1295" s="3">
        <v>250</v>
      </c>
      <c r="G1295" s="4">
        <v>36</v>
      </c>
      <c r="H1295" s="5">
        <v>0</v>
      </c>
    </row>
    <row r="1296" spans="1:8" x14ac:dyDescent="0.35">
      <c r="A1296" s="2" t="s">
        <v>733</v>
      </c>
      <c r="B1296" s="2" t="s">
        <v>611</v>
      </c>
      <c r="C1296" s="2" t="s">
        <v>622</v>
      </c>
      <c r="D1296" s="2" t="s">
        <v>623</v>
      </c>
      <c r="E1296" s="2" t="s">
        <v>46</v>
      </c>
      <c r="F1296" s="3">
        <v>250</v>
      </c>
      <c r="G1296" s="4">
        <v>60</v>
      </c>
      <c r="H1296" s="5">
        <v>0</v>
      </c>
    </row>
    <row r="1297" spans="1:8" x14ac:dyDescent="0.35">
      <c r="A1297" s="2" t="s">
        <v>733</v>
      </c>
      <c r="B1297" s="2" t="s">
        <v>611</v>
      </c>
      <c r="C1297" s="2" t="s">
        <v>626</v>
      </c>
      <c r="D1297" s="2" t="s">
        <v>627</v>
      </c>
      <c r="E1297" s="2" t="s">
        <v>628</v>
      </c>
      <c r="F1297" s="3">
        <v>1500</v>
      </c>
      <c r="G1297" s="4">
        <v>36</v>
      </c>
      <c r="H1297" s="5">
        <v>0</v>
      </c>
    </row>
    <row r="1298" spans="1:8" x14ac:dyDescent="0.35">
      <c r="A1298" s="2" t="s">
        <v>733</v>
      </c>
      <c r="B1298" s="2" t="s">
        <v>611</v>
      </c>
      <c r="C1298" s="2" t="s">
        <v>629</v>
      </c>
      <c r="D1298" s="2" t="s">
        <v>630</v>
      </c>
      <c r="E1298" s="2" t="s">
        <v>300</v>
      </c>
      <c r="F1298" s="3">
        <v>55</v>
      </c>
      <c r="G1298" s="4">
        <v>24</v>
      </c>
      <c r="H1298" s="5">
        <v>0</v>
      </c>
    </row>
    <row r="1299" spans="1:8" x14ac:dyDescent="0.35">
      <c r="A1299" s="2" t="s">
        <v>733</v>
      </c>
      <c r="B1299" s="2" t="s">
        <v>611</v>
      </c>
      <c r="C1299" s="2" t="s">
        <v>631</v>
      </c>
      <c r="D1299" s="2" t="s">
        <v>632</v>
      </c>
      <c r="E1299" s="2" t="s">
        <v>322</v>
      </c>
      <c r="F1299" s="3">
        <v>40.1</v>
      </c>
      <c r="G1299" s="4">
        <v>60</v>
      </c>
      <c r="H1299" s="5">
        <v>0</v>
      </c>
    </row>
    <row r="1300" spans="1:8" x14ac:dyDescent="0.35">
      <c r="A1300" s="2" t="s">
        <v>733</v>
      </c>
      <c r="B1300" s="2" t="s">
        <v>611</v>
      </c>
      <c r="C1300" s="2" t="s">
        <v>633</v>
      </c>
      <c r="D1300" s="2" t="s">
        <v>634</v>
      </c>
      <c r="E1300" s="2" t="s">
        <v>635</v>
      </c>
      <c r="F1300" s="3">
        <v>14</v>
      </c>
      <c r="G1300" s="4">
        <v>12</v>
      </c>
      <c r="H1300" s="5">
        <v>0</v>
      </c>
    </row>
    <row r="1301" spans="1:8" x14ac:dyDescent="0.35">
      <c r="A1301" s="2" t="s">
        <v>733</v>
      </c>
      <c r="B1301" s="2" t="s">
        <v>611</v>
      </c>
      <c r="C1301" s="2" t="s">
        <v>636</v>
      </c>
      <c r="D1301" s="2" t="s">
        <v>637</v>
      </c>
      <c r="E1301" s="2" t="s">
        <v>638</v>
      </c>
      <c r="F1301" s="3">
        <v>12</v>
      </c>
      <c r="G1301" s="4">
        <v>12</v>
      </c>
      <c r="H1301" s="5">
        <v>0</v>
      </c>
    </row>
    <row r="1302" spans="1:8" x14ac:dyDescent="0.35">
      <c r="A1302" s="2" t="s">
        <v>733</v>
      </c>
      <c r="B1302" s="2" t="s">
        <v>611</v>
      </c>
      <c r="C1302" s="2" t="s">
        <v>639</v>
      </c>
      <c r="D1302" s="2" t="s">
        <v>640</v>
      </c>
      <c r="E1302" s="2" t="s">
        <v>641</v>
      </c>
      <c r="F1302" s="3">
        <v>13</v>
      </c>
      <c r="G1302" s="4">
        <v>12</v>
      </c>
      <c r="H1302" s="5">
        <v>0</v>
      </c>
    </row>
    <row r="1303" spans="1:8" x14ac:dyDescent="0.35">
      <c r="A1303" s="2" t="s">
        <v>733</v>
      </c>
      <c r="B1303" s="2" t="s">
        <v>611</v>
      </c>
      <c r="C1303" s="2" t="s">
        <v>642</v>
      </c>
      <c r="D1303" s="2" t="s">
        <v>643</v>
      </c>
      <c r="E1303" s="2" t="s">
        <v>644</v>
      </c>
      <c r="F1303" s="3">
        <v>13</v>
      </c>
      <c r="G1303" s="4">
        <v>12</v>
      </c>
      <c r="H1303" s="5">
        <v>0</v>
      </c>
    </row>
    <row r="1304" spans="1:8" x14ac:dyDescent="0.35">
      <c r="A1304" s="2" t="s">
        <v>733</v>
      </c>
      <c r="B1304" s="2" t="s">
        <v>611</v>
      </c>
      <c r="C1304" s="2" t="s">
        <v>645</v>
      </c>
      <c r="D1304" s="2" t="s">
        <v>646</v>
      </c>
      <c r="E1304" s="2" t="s">
        <v>303</v>
      </c>
      <c r="F1304" s="3">
        <v>32</v>
      </c>
      <c r="G1304" s="4">
        <v>24</v>
      </c>
      <c r="H1304" s="5">
        <v>0</v>
      </c>
    </row>
    <row r="1305" spans="1:8" x14ac:dyDescent="0.35">
      <c r="A1305" s="2" t="s">
        <v>733</v>
      </c>
      <c r="B1305" s="2" t="s">
        <v>611</v>
      </c>
      <c r="C1305" s="2" t="s">
        <v>647</v>
      </c>
      <c r="D1305" s="2" t="s">
        <v>648</v>
      </c>
      <c r="E1305" s="2" t="s">
        <v>535</v>
      </c>
      <c r="F1305" s="3">
        <v>11</v>
      </c>
      <c r="G1305" s="4">
        <v>12</v>
      </c>
      <c r="H1305" s="5">
        <v>0</v>
      </c>
    </row>
    <row r="1306" spans="1:8" x14ac:dyDescent="0.35">
      <c r="A1306" s="2" t="s">
        <v>733</v>
      </c>
      <c r="B1306" s="2" t="s">
        <v>611</v>
      </c>
      <c r="C1306" s="2" t="s">
        <v>649</v>
      </c>
      <c r="D1306" s="2" t="s">
        <v>650</v>
      </c>
      <c r="E1306" s="2" t="s">
        <v>275</v>
      </c>
      <c r="F1306" s="3">
        <v>4</v>
      </c>
      <c r="G1306" s="4">
        <v>12</v>
      </c>
      <c r="H1306" s="5">
        <v>0</v>
      </c>
    </row>
    <row r="1307" spans="1:8" x14ac:dyDescent="0.35">
      <c r="A1307" s="2" t="s">
        <v>733</v>
      </c>
      <c r="B1307" s="2" t="s">
        <v>611</v>
      </c>
      <c r="C1307" s="2" t="s">
        <v>651</v>
      </c>
      <c r="D1307" s="2" t="s">
        <v>652</v>
      </c>
      <c r="E1307" s="2" t="s">
        <v>136</v>
      </c>
      <c r="F1307" s="3">
        <v>22</v>
      </c>
      <c r="G1307" s="4">
        <v>6</v>
      </c>
      <c r="H1307" s="5">
        <v>0</v>
      </c>
    </row>
    <row r="1308" spans="1:8" x14ac:dyDescent="0.35">
      <c r="A1308" s="2" t="s">
        <v>733</v>
      </c>
      <c r="B1308" s="2" t="s">
        <v>611</v>
      </c>
      <c r="C1308" s="2" t="s">
        <v>653</v>
      </c>
      <c r="D1308" s="2" t="s">
        <v>654</v>
      </c>
      <c r="E1308" s="2" t="s">
        <v>190</v>
      </c>
      <c r="F1308" s="3">
        <v>0.5</v>
      </c>
      <c r="G1308" s="4">
        <v>1</v>
      </c>
      <c r="H1308" s="5">
        <v>0</v>
      </c>
    </row>
    <row r="1309" spans="1:8" x14ac:dyDescent="0.35">
      <c r="A1309" s="2" t="s">
        <v>733</v>
      </c>
      <c r="B1309" s="2" t="s">
        <v>655</v>
      </c>
      <c r="C1309" s="2" t="s">
        <v>612</v>
      </c>
      <c r="D1309" s="2" t="s">
        <v>613</v>
      </c>
      <c r="E1309" s="2" t="s">
        <v>147</v>
      </c>
      <c r="F1309" s="3">
        <v>1365</v>
      </c>
      <c r="G1309" s="4">
        <v>60</v>
      </c>
      <c r="H1309" s="5">
        <v>7.4999999999999997E-3</v>
      </c>
    </row>
    <row r="1310" spans="1:8" x14ac:dyDescent="0.35">
      <c r="A1310" s="2" t="s">
        <v>733</v>
      </c>
      <c r="B1310" s="2" t="s">
        <v>655</v>
      </c>
      <c r="C1310" s="2" t="s">
        <v>614</v>
      </c>
      <c r="D1310" s="2" t="s">
        <v>615</v>
      </c>
      <c r="E1310" s="2" t="s">
        <v>193</v>
      </c>
      <c r="F1310" s="3">
        <v>110</v>
      </c>
      <c r="G1310" s="4">
        <v>36</v>
      </c>
      <c r="H1310" s="5">
        <v>0</v>
      </c>
    </row>
    <row r="1311" spans="1:8" x14ac:dyDescent="0.35">
      <c r="A1311" s="2" t="s">
        <v>733</v>
      </c>
      <c r="B1311" s="2" t="s">
        <v>655</v>
      </c>
      <c r="C1311" s="2" t="s">
        <v>616</v>
      </c>
      <c r="D1311" s="2" t="s">
        <v>617</v>
      </c>
      <c r="E1311" s="2" t="s">
        <v>226</v>
      </c>
      <c r="F1311" s="3">
        <v>3150</v>
      </c>
      <c r="G1311" s="4">
        <v>60</v>
      </c>
      <c r="H1311" s="5">
        <v>7.4999999999999997E-3</v>
      </c>
    </row>
    <row r="1312" spans="1:8" x14ac:dyDescent="0.35">
      <c r="A1312" s="2" t="s">
        <v>733</v>
      </c>
      <c r="B1312" s="2" t="s">
        <v>655</v>
      </c>
      <c r="C1312" s="2" t="s">
        <v>618</v>
      </c>
      <c r="D1312" s="2" t="s">
        <v>619</v>
      </c>
      <c r="E1312" s="2" t="s">
        <v>285</v>
      </c>
      <c r="F1312" s="3">
        <v>160</v>
      </c>
      <c r="G1312" s="4">
        <v>60</v>
      </c>
      <c r="H1312" s="5">
        <v>0</v>
      </c>
    </row>
    <row r="1313" spans="1:8" x14ac:dyDescent="0.35">
      <c r="A1313" s="2" t="s">
        <v>733</v>
      </c>
      <c r="B1313" s="2" t="s">
        <v>655</v>
      </c>
      <c r="C1313" s="2" t="s">
        <v>620</v>
      </c>
      <c r="D1313" s="2" t="s">
        <v>621</v>
      </c>
      <c r="E1313" s="2" t="s">
        <v>92</v>
      </c>
      <c r="F1313" s="3">
        <v>250</v>
      </c>
      <c r="G1313" s="4">
        <v>36</v>
      </c>
      <c r="H1313" s="5">
        <v>0</v>
      </c>
    </row>
    <row r="1314" spans="1:8" x14ac:dyDescent="0.35">
      <c r="A1314" s="2" t="s">
        <v>733</v>
      </c>
      <c r="B1314" s="2" t="s">
        <v>655</v>
      </c>
      <c r="C1314" s="2" t="s">
        <v>622</v>
      </c>
      <c r="D1314" s="2" t="s">
        <v>623</v>
      </c>
      <c r="E1314" s="2" t="s">
        <v>46</v>
      </c>
      <c r="F1314" s="3">
        <v>250</v>
      </c>
      <c r="G1314" s="4">
        <v>60</v>
      </c>
      <c r="H1314" s="5">
        <v>0</v>
      </c>
    </row>
    <row r="1315" spans="1:8" x14ac:dyDescent="0.35">
      <c r="A1315" s="2" t="s">
        <v>733</v>
      </c>
      <c r="B1315" s="2" t="s">
        <v>655</v>
      </c>
      <c r="C1315" s="2" t="s">
        <v>626</v>
      </c>
      <c r="D1315" s="2" t="s">
        <v>627</v>
      </c>
      <c r="E1315" s="2" t="s">
        <v>628</v>
      </c>
      <c r="F1315" s="3">
        <v>1500</v>
      </c>
      <c r="G1315" s="4">
        <v>36</v>
      </c>
      <c r="H1315" s="5">
        <v>0</v>
      </c>
    </row>
    <row r="1316" spans="1:8" x14ac:dyDescent="0.35">
      <c r="A1316" s="2" t="s">
        <v>733</v>
      </c>
      <c r="B1316" s="2" t="s">
        <v>655</v>
      </c>
      <c r="C1316" s="2" t="s">
        <v>629</v>
      </c>
      <c r="D1316" s="2" t="s">
        <v>630</v>
      </c>
      <c r="E1316" s="2" t="s">
        <v>300</v>
      </c>
      <c r="F1316" s="3">
        <v>55</v>
      </c>
      <c r="G1316" s="4">
        <v>24</v>
      </c>
      <c r="H1316" s="5">
        <v>0</v>
      </c>
    </row>
    <row r="1317" spans="1:8" x14ac:dyDescent="0.35">
      <c r="A1317" s="2" t="s">
        <v>733</v>
      </c>
      <c r="B1317" s="2" t="s">
        <v>655</v>
      </c>
      <c r="C1317" s="2" t="s">
        <v>631</v>
      </c>
      <c r="D1317" s="2" t="s">
        <v>632</v>
      </c>
      <c r="E1317" s="2" t="s">
        <v>322</v>
      </c>
      <c r="F1317" s="3">
        <v>40.1</v>
      </c>
      <c r="G1317" s="4">
        <v>60</v>
      </c>
      <c r="H1317" s="5">
        <v>0</v>
      </c>
    </row>
    <row r="1318" spans="1:8" x14ac:dyDescent="0.35">
      <c r="A1318" s="2" t="s">
        <v>733</v>
      </c>
      <c r="B1318" s="2" t="s">
        <v>655</v>
      </c>
      <c r="C1318" s="2" t="s">
        <v>633</v>
      </c>
      <c r="D1318" s="2" t="s">
        <v>634</v>
      </c>
      <c r="E1318" s="2" t="s">
        <v>635</v>
      </c>
      <c r="F1318" s="3">
        <v>14</v>
      </c>
      <c r="G1318" s="4">
        <v>12</v>
      </c>
      <c r="H1318" s="5">
        <v>0</v>
      </c>
    </row>
    <row r="1319" spans="1:8" x14ac:dyDescent="0.35">
      <c r="A1319" s="2" t="s">
        <v>733</v>
      </c>
      <c r="B1319" s="2" t="s">
        <v>655</v>
      </c>
      <c r="C1319" s="2" t="s">
        <v>636</v>
      </c>
      <c r="D1319" s="2" t="s">
        <v>637</v>
      </c>
      <c r="E1319" s="2" t="s">
        <v>638</v>
      </c>
      <c r="F1319" s="3">
        <v>12</v>
      </c>
      <c r="G1319" s="4">
        <v>12</v>
      </c>
      <c r="H1319" s="5">
        <v>0</v>
      </c>
    </row>
    <row r="1320" spans="1:8" x14ac:dyDescent="0.35">
      <c r="A1320" s="2" t="s">
        <v>733</v>
      </c>
      <c r="B1320" s="2" t="s">
        <v>655</v>
      </c>
      <c r="C1320" s="2" t="s">
        <v>639</v>
      </c>
      <c r="D1320" s="2" t="s">
        <v>640</v>
      </c>
      <c r="E1320" s="2" t="s">
        <v>641</v>
      </c>
      <c r="F1320" s="3">
        <v>13</v>
      </c>
      <c r="G1320" s="4">
        <v>12</v>
      </c>
      <c r="H1320" s="5">
        <v>0</v>
      </c>
    </row>
    <row r="1321" spans="1:8" x14ac:dyDescent="0.35">
      <c r="A1321" s="2" t="s">
        <v>733</v>
      </c>
      <c r="B1321" s="2" t="s">
        <v>655</v>
      </c>
      <c r="C1321" s="2" t="s">
        <v>642</v>
      </c>
      <c r="D1321" s="2" t="s">
        <v>643</v>
      </c>
      <c r="E1321" s="2" t="s">
        <v>644</v>
      </c>
      <c r="F1321" s="3">
        <v>13</v>
      </c>
      <c r="G1321" s="4">
        <v>12</v>
      </c>
      <c r="H1321" s="5">
        <v>0</v>
      </c>
    </row>
    <row r="1322" spans="1:8" x14ac:dyDescent="0.35">
      <c r="A1322" s="2" t="s">
        <v>733</v>
      </c>
      <c r="B1322" s="2" t="s">
        <v>655</v>
      </c>
      <c r="C1322" s="2" t="s">
        <v>645</v>
      </c>
      <c r="D1322" s="2" t="s">
        <v>646</v>
      </c>
      <c r="E1322" s="2" t="s">
        <v>303</v>
      </c>
      <c r="F1322" s="3">
        <v>32</v>
      </c>
      <c r="G1322" s="4">
        <v>24</v>
      </c>
      <c r="H1322" s="5">
        <v>0</v>
      </c>
    </row>
    <row r="1323" spans="1:8" x14ac:dyDescent="0.35">
      <c r="A1323" s="2" t="s">
        <v>733</v>
      </c>
      <c r="B1323" s="2" t="s">
        <v>655</v>
      </c>
      <c r="C1323" s="2" t="s">
        <v>647</v>
      </c>
      <c r="D1323" s="2" t="s">
        <v>648</v>
      </c>
      <c r="E1323" s="2" t="s">
        <v>535</v>
      </c>
      <c r="F1323" s="3">
        <v>11</v>
      </c>
      <c r="G1323" s="4">
        <v>12</v>
      </c>
      <c r="H1323" s="5">
        <v>0</v>
      </c>
    </row>
    <row r="1324" spans="1:8" x14ac:dyDescent="0.35">
      <c r="A1324" s="2" t="s">
        <v>733</v>
      </c>
      <c r="B1324" s="2" t="s">
        <v>655</v>
      </c>
      <c r="C1324" s="2" t="s">
        <v>649</v>
      </c>
      <c r="D1324" s="2" t="s">
        <v>650</v>
      </c>
      <c r="E1324" s="2" t="s">
        <v>275</v>
      </c>
      <c r="F1324" s="3">
        <v>4</v>
      </c>
      <c r="G1324" s="4">
        <v>12</v>
      </c>
      <c r="H1324" s="5">
        <v>0</v>
      </c>
    </row>
    <row r="1325" spans="1:8" x14ac:dyDescent="0.35">
      <c r="A1325" s="2" t="s">
        <v>733</v>
      </c>
      <c r="B1325" s="2" t="s">
        <v>655</v>
      </c>
      <c r="C1325" s="2" t="s">
        <v>651</v>
      </c>
      <c r="D1325" s="2" t="s">
        <v>652</v>
      </c>
      <c r="E1325" s="2" t="s">
        <v>136</v>
      </c>
      <c r="F1325" s="3">
        <v>22</v>
      </c>
      <c r="G1325" s="4">
        <v>6</v>
      </c>
      <c r="H1325" s="5">
        <v>0</v>
      </c>
    </row>
    <row r="1326" spans="1:8" x14ac:dyDescent="0.35">
      <c r="A1326" s="2" t="s">
        <v>733</v>
      </c>
      <c r="B1326" s="2" t="s">
        <v>655</v>
      </c>
      <c r="C1326" s="2" t="s">
        <v>653</v>
      </c>
      <c r="D1326" s="2" t="s">
        <v>654</v>
      </c>
      <c r="E1326" s="2" t="s">
        <v>190</v>
      </c>
      <c r="F1326" s="3">
        <v>0.5</v>
      </c>
      <c r="G1326" s="4">
        <v>1</v>
      </c>
      <c r="H1326" s="5">
        <v>0</v>
      </c>
    </row>
    <row r="1327" spans="1:8" x14ac:dyDescent="0.35">
      <c r="A1327" s="2" t="s">
        <v>733</v>
      </c>
      <c r="B1327" s="2" t="s">
        <v>447</v>
      </c>
      <c r="C1327" s="2" t="s">
        <v>612</v>
      </c>
      <c r="D1327" s="2" t="s">
        <v>613</v>
      </c>
      <c r="E1327" s="2" t="s">
        <v>147</v>
      </c>
      <c r="F1327" s="3">
        <v>1499</v>
      </c>
      <c r="G1327" s="4">
        <v>60</v>
      </c>
      <c r="H1327" s="5">
        <v>7.4999999999999997E-3</v>
      </c>
    </row>
    <row r="1328" spans="1:8" x14ac:dyDescent="0.35">
      <c r="A1328" s="2" t="s">
        <v>733</v>
      </c>
      <c r="B1328" s="2" t="s">
        <v>447</v>
      </c>
      <c r="C1328" s="2" t="s">
        <v>614</v>
      </c>
      <c r="D1328" s="2" t="s">
        <v>615</v>
      </c>
      <c r="E1328" s="2" t="s">
        <v>193</v>
      </c>
      <c r="F1328" s="3">
        <v>287.08999999999997</v>
      </c>
      <c r="G1328" s="4">
        <v>36</v>
      </c>
      <c r="H1328" s="5">
        <v>0</v>
      </c>
    </row>
    <row r="1329" spans="1:8" x14ac:dyDescent="0.35">
      <c r="A1329" s="2" t="s">
        <v>733</v>
      </c>
      <c r="B1329" s="2" t="s">
        <v>447</v>
      </c>
      <c r="C1329" s="2" t="s">
        <v>616</v>
      </c>
      <c r="D1329" s="2" t="s">
        <v>617</v>
      </c>
      <c r="E1329" s="2" t="s">
        <v>226</v>
      </c>
      <c r="F1329" s="3">
        <v>4699.8999999999996</v>
      </c>
      <c r="G1329" s="4">
        <v>60</v>
      </c>
      <c r="H1329" s="5">
        <v>7.4999999999999997E-3</v>
      </c>
    </row>
    <row r="1330" spans="1:8" x14ac:dyDescent="0.35">
      <c r="A1330" s="2" t="s">
        <v>733</v>
      </c>
      <c r="B1330" s="2" t="s">
        <v>447</v>
      </c>
      <c r="C1330" s="2" t="s">
        <v>618</v>
      </c>
      <c r="D1330" s="2" t="s">
        <v>619</v>
      </c>
      <c r="E1330" s="2" t="s">
        <v>285</v>
      </c>
      <c r="F1330" s="3">
        <v>380</v>
      </c>
      <c r="G1330" s="4">
        <v>60</v>
      </c>
      <c r="H1330" s="5">
        <v>0</v>
      </c>
    </row>
    <row r="1331" spans="1:8" x14ac:dyDescent="0.35">
      <c r="A1331" s="2" t="s">
        <v>733</v>
      </c>
      <c r="B1331" s="2" t="s">
        <v>447</v>
      </c>
      <c r="C1331" s="2" t="s">
        <v>620</v>
      </c>
      <c r="D1331" s="2" t="s">
        <v>621</v>
      </c>
      <c r="E1331" s="2" t="s">
        <v>92</v>
      </c>
      <c r="F1331" s="3">
        <v>950</v>
      </c>
      <c r="G1331" s="4">
        <v>36</v>
      </c>
      <c r="H1331" s="5">
        <v>0</v>
      </c>
    </row>
    <row r="1332" spans="1:8" x14ac:dyDescent="0.35">
      <c r="A1332" s="2" t="s">
        <v>733</v>
      </c>
      <c r="B1332" s="2" t="s">
        <v>447</v>
      </c>
      <c r="C1332" s="2" t="s">
        <v>622</v>
      </c>
      <c r="D1332" s="2" t="s">
        <v>623</v>
      </c>
      <c r="E1332" s="2" t="s">
        <v>46</v>
      </c>
      <c r="F1332" s="3">
        <v>267.83999999999997</v>
      </c>
      <c r="G1332" s="4">
        <v>60</v>
      </c>
      <c r="H1332" s="5">
        <v>0</v>
      </c>
    </row>
    <row r="1333" spans="1:8" x14ac:dyDescent="0.35">
      <c r="A1333" s="2" t="s">
        <v>733</v>
      </c>
      <c r="B1333" s="2" t="s">
        <v>447</v>
      </c>
      <c r="C1333" s="2" t="s">
        <v>626</v>
      </c>
      <c r="D1333" s="2" t="s">
        <v>627</v>
      </c>
      <c r="E1333" s="2" t="s">
        <v>628</v>
      </c>
      <c r="F1333" s="3">
        <v>2499</v>
      </c>
      <c r="G1333" s="4">
        <v>36</v>
      </c>
      <c r="H1333" s="5">
        <v>0</v>
      </c>
    </row>
    <row r="1334" spans="1:8" x14ac:dyDescent="0.35">
      <c r="A1334" s="2" t="s">
        <v>733</v>
      </c>
      <c r="B1334" s="2" t="s">
        <v>447</v>
      </c>
      <c r="C1334" s="2" t="s">
        <v>629</v>
      </c>
      <c r="D1334" s="2" t="s">
        <v>630</v>
      </c>
      <c r="E1334" s="2" t="s">
        <v>300</v>
      </c>
      <c r="F1334" s="3">
        <v>55</v>
      </c>
      <c r="G1334" s="4">
        <v>24</v>
      </c>
      <c r="H1334" s="5">
        <v>0</v>
      </c>
    </row>
    <row r="1335" spans="1:8" x14ac:dyDescent="0.35">
      <c r="A1335" s="2" t="s">
        <v>733</v>
      </c>
      <c r="B1335" s="2" t="s">
        <v>447</v>
      </c>
      <c r="C1335" s="2" t="s">
        <v>631</v>
      </c>
      <c r="D1335" s="2" t="s">
        <v>632</v>
      </c>
      <c r="E1335" s="2" t="s">
        <v>322</v>
      </c>
      <c r="F1335" s="3">
        <v>55</v>
      </c>
      <c r="G1335" s="4">
        <v>60</v>
      </c>
      <c r="H1335" s="5">
        <v>0</v>
      </c>
    </row>
    <row r="1336" spans="1:8" x14ac:dyDescent="0.35">
      <c r="A1336" s="2" t="s">
        <v>733</v>
      </c>
      <c r="B1336" s="2" t="s">
        <v>447</v>
      </c>
      <c r="C1336" s="2" t="s">
        <v>633</v>
      </c>
      <c r="D1336" s="2" t="s">
        <v>634</v>
      </c>
      <c r="E1336" s="2" t="s">
        <v>635</v>
      </c>
      <c r="F1336" s="3">
        <v>19.989999999999998</v>
      </c>
      <c r="G1336" s="4">
        <v>12</v>
      </c>
      <c r="H1336" s="5">
        <v>0</v>
      </c>
    </row>
    <row r="1337" spans="1:8" x14ac:dyDescent="0.35">
      <c r="A1337" s="2" t="s">
        <v>733</v>
      </c>
      <c r="B1337" s="2" t="s">
        <v>447</v>
      </c>
      <c r="C1337" s="2" t="s">
        <v>636</v>
      </c>
      <c r="D1337" s="2" t="s">
        <v>637</v>
      </c>
      <c r="E1337" s="2" t="s">
        <v>638</v>
      </c>
      <c r="F1337" s="3">
        <v>12</v>
      </c>
      <c r="G1337" s="4">
        <v>12</v>
      </c>
      <c r="H1337" s="5">
        <v>0</v>
      </c>
    </row>
    <row r="1338" spans="1:8" x14ac:dyDescent="0.35">
      <c r="A1338" s="2" t="s">
        <v>733</v>
      </c>
      <c r="B1338" s="2" t="s">
        <v>447</v>
      </c>
      <c r="C1338" s="2" t="s">
        <v>639</v>
      </c>
      <c r="D1338" s="2" t="s">
        <v>640</v>
      </c>
      <c r="E1338" s="2" t="s">
        <v>641</v>
      </c>
      <c r="F1338" s="3">
        <v>13</v>
      </c>
      <c r="G1338" s="4">
        <v>12</v>
      </c>
      <c r="H1338" s="5">
        <v>0</v>
      </c>
    </row>
    <row r="1339" spans="1:8" x14ac:dyDescent="0.35">
      <c r="A1339" s="2" t="s">
        <v>733</v>
      </c>
      <c r="B1339" s="2" t="s">
        <v>447</v>
      </c>
      <c r="C1339" s="2" t="s">
        <v>642</v>
      </c>
      <c r="D1339" s="2" t="s">
        <v>643</v>
      </c>
      <c r="E1339" s="2" t="s">
        <v>644</v>
      </c>
      <c r="F1339" s="3">
        <v>13</v>
      </c>
      <c r="G1339" s="4">
        <v>12</v>
      </c>
      <c r="H1339" s="5">
        <v>0</v>
      </c>
    </row>
    <row r="1340" spans="1:8" x14ac:dyDescent="0.35">
      <c r="A1340" s="2" t="s">
        <v>733</v>
      </c>
      <c r="B1340" s="2" t="s">
        <v>447</v>
      </c>
      <c r="C1340" s="2" t="s">
        <v>645</v>
      </c>
      <c r="D1340" s="2" t="s">
        <v>646</v>
      </c>
      <c r="E1340" s="2" t="s">
        <v>303</v>
      </c>
      <c r="F1340" s="3">
        <v>32</v>
      </c>
      <c r="G1340" s="4">
        <v>24</v>
      </c>
      <c r="H1340" s="5">
        <v>0</v>
      </c>
    </row>
    <row r="1341" spans="1:8" x14ac:dyDescent="0.35">
      <c r="A1341" s="2" t="s">
        <v>733</v>
      </c>
      <c r="B1341" s="2" t="s">
        <v>447</v>
      </c>
      <c r="C1341" s="2" t="s">
        <v>647</v>
      </c>
      <c r="D1341" s="2" t="s">
        <v>648</v>
      </c>
      <c r="E1341" s="2" t="s">
        <v>535</v>
      </c>
      <c r="F1341" s="3">
        <v>25.2</v>
      </c>
      <c r="G1341" s="4">
        <v>12</v>
      </c>
      <c r="H1341" s="5">
        <v>0</v>
      </c>
    </row>
    <row r="1342" spans="1:8" x14ac:dyDescent="0.35">
      <c r="A1342" s="2" t="s">
        <v>733</v>
      </c>
      <c r="B1342" s="2" t="s">
        <v>447</v>
      </c>
      <c r="C1342" s="2" t="s">
        <v>649</v>
      </c>
      <c r="D1342" s="2" t="s">
        <v>650</v>
      </c>
      <c r="E1342" s="2" t="s">
        <v>275</v>
      </c>
      <c r="F1342" s="3">
        <v>15</v>
      </c>
      <c r="G1342" s="4">
        <v>12</v>
      </c>
      <c r="H1342" s="5">
        <v>0</v>
      </c>
    </row>
    <row r="1343" spans="1:8" x14ac:dyDescent="0.35">
      <c r="A1343" s="2" t="s">
        <v>733</v>
      </c>
      <c r="B1343" s="2" t="s">
        <v>447</v>
      </c>
      <c r="C1343" s="2" t="s">
        <v>651</v>
      </c>
      <c r="D1343" s="2" t="s">
        <v>652</v>
      </c>
      <c r="E1343" s="2" t="s">
        <v>136</v>
      </c>
      <c r="F1343" s="3">
        <v>35.020000000000003</v>
      </c>
      <c r="G1343" s="4">
        <v>6</v>
      </c>
      <c r="H1343" s="5">
        <v>0</v>
      </c>
    </row>
    <row r="1344" spans="1:8" x14ac:dyDescent="0.35">
      <c r="A1344" s="2" t="s">
        <v>733</v>
      </c>
      <c r="B1344" s="2" t="s">
        <v>447</v>
      </c>
      <c r="C1344" s="2" t="s">
        <v>653</v>
      </c>
      <c r="D1344" s="2" t="s">
        <v>654</v>
      </c>
      <c r="E1344" s="2" t="s">
        <v>190</v>
      </c>
      <c r="F1344" s="3">
        <v>1.75</v>
      </c>
      <c r="G1344" s="4">
        <v>1</v>
      </c>
      <c r="H1344" s="5">
        <v>0</v>
      </c>
    </row>
    <row r="1345" spans="1:8" ht="13" customHeight="1" x14ac:dyDescent="0.35">
      <c r="A1345" s="2" t="s">
        <v>734</v>
      </c>
      <c r="B1345" s="2" t="s">
        <v>291</v>
      </c>
      <c r="C1345" s="2" t="s">
        <v>735</v>
      </c>
      <c r="D1345" s="2" t="s">
        <v>736</v>
      </c>
      <c r="E1345" s="2" t="s">
        <v>46</v>
      </c>
      <c r="F1345" s="3">
        <v>250</v>
      </c>
      <c r="G1345" s="4">
        <v>60</v>
      </c>
      <c r="H1345" s="5">
        <v>0</v>
      </c>
    </row>
    <row r="1346" spans="1:8" ht="13" customHeight="1" x14ac:dyDescent="0.35">
      <c r="A1346" s="2" t="s">
        <v>734</v>
      </c>
      <c r="B1346" s="2" t="s">
        <v>291</v>
      </c>
      <c r="C1346" s="2" t="s">
        <v>737</v>
      </c>
      <c r="D1346" s="2" t="s">
        <v>738</v>
      </c>
      <c r="E1346" s="2" t="s">
        <v>48</v>
      </c>
      <c r="F1346" s="3">
        <v>250</v>
      </c>
      <c r="G1346" s="4">
        <v>12</v>
      </c>
      <c r="H1346" s="5">
        <v>0</v>
      </c>
    </row>
    <row r="1347" spans="1:8" ht="13" customHeight="1" x14ac:dyDescent="0.35">
      <c r="A1347" s="2" t="s">
        <v>734</v>
      </c>
      <c r="B1347" s="2" t="s">
        <v>291</v>
      </c>
      <c r="C1347" s="2" t="s">
        <v>739</v>
      </c>
      <c r="D1347" s="2" t="s">
        <v>740</v>
      </c>
      <c r="E1347" s="2" t="s">
        <v>741</v>
      </c>
      <c r="F1347" s="3">
        <v>280</v>
      </c>
      <c r="G1347" s="4">
        <v>12</v>
      </c>
      <c r="H1347" s="5">
        <v>0</v>
      </c>
    </row>
    <row r="1348" spans="1:8" ht="13" customHeight="1" x14ac:dyDescent="0.35">
      <c r="A1348" s="2" t="s">
        <v>734</v>
      </c>
      <c r="B1348" s="2" t="s">
        <v>291</v>
      </c>
      <c r="C1348" s="2" t="s">
        <v>742</v>
      </c>
      <c r="D1348" s="2" t="s">
        <v>743</v>
      </c>
      <c r="E1348" s="2" t="s">
        <v>92</v>
      </c>
      <c r="F1348" s="3">
        <v>250</v>
      </c>
      <c r="G1348" s="4">
        <v>36</v>
      </c>
      <c r="H1348" s="5">
        <v>0</v>
      </c>
    </row>
    <row r="1349" spans="1:8" ht="13" customHeight="1" x14ac:dyDescent="0.35">
      <c r="A1349" s="2" t="s">
        <v>734</v>
      </c>
      <c r="B1349" s="2" t="s">
        <v>291</v>
      </c>
      <c r="C1349" s="2" t="s">
        <v>744</v>
      </c>
      <c r="D1349" s="2" t="s">
        <v>745</v>
      </c>
      <c r="E1349" s="2" t="s">
        <v>102</v>
      </c>
      <c r="F1349" s="3">
        <v>70</v>
      </c>
      <c r="G1349" s="4">
        <v>1</v>
      </c>
      <c r="H1349" s="5">
        <v>0</v>
      </c>
    </row>
    <row r="1350" spans="1:8" ht="13" customHeight="1" x14ac:dyDescent="0.35">
      <c r="A1350" s="2" t="s">
        <v>734</v>
      </c>
      <c r="B1350" s="2" t="s">
        <v>509</v>
      </c>
      <c r="C1350" s="2" t="s">
        <v>735</v>
      </c>
      <c r="D1350" s="2" t="s">
        <v>736</v>
      </c>
      <c r="E1350" s="2" t="s">
        <v>46</v>
      </c>
      <c r="F1350" s="3">
        <v>489</v>
      </c>
      <c r="G1350" s="4">
        <v>60</v>
      </c>
      <c r="H1350" s="5">
        <v>0.01</v>
      </c>
    </row>
    <row r="1351" spans="1:8" ht="13" customHeight="1" x14ac:dyDescent="0.35">
      <c r="A1351" s="2" t="s">
        <v>734</v>
      </c>
      <c r="B1351" s="2" t="s">
        <v>509</v>
      </c>
      <c r="C1351" s="2" t="s">
        <v>737</v>
      </c>
      <c r="D1351" s="2" t="s">
        <v>738</v>
      </c>
      <c r="E1351" s="2" t="s">
        <v>48</v>
      </c>
      <c r="F1351" s="3">
        <v>500</v>
      </c>
      <c r="G1351" s="4">
        <v>24</v>
      </c>
      <c r="H1351" s="5">
        <v>0.01</v>
      </c>
    </row>
    <row r="1352" spans="1:8" ht="13" customHeight="1" x14ac:dyDescent="0.35">
      <c r="A1352" s="2" t="s">
        <v>734</v>
      </c>
      <c r="B1352" s="2" t="s">
        <v>509</v>
      </c>
      <c r="C1352" s="2" t="s">
        <v>739</v>
      </c>
      <c r="D1352" s="2" t="s">
        <v>740</v>
      </c>
      <c r="E1352" s="2" t="s">
        <v>741</v>
      </c>
      <c r="F1352" s="3">
        <v>400</v>
      </c>
      <c r="G1352" s="4">
        <v>24</v>
      </c>
      <c r="H1352" s="5">
        <v>0.01</v>
      </c>
    </row>
    <row r="1353" spans="1:8" ht="13" customHeight="1" x14ac:dyDescent="0.35">
      <c r="A1353" s="2" t="s">
        <v>734</v>
      </c>
      <c r="B1353" s="2" t="s">
        <v>509</v>
      </c>
      <c r="C1353" s="2" t="s">
        <v>742</v>
      </c>
      <c r="D1353" s="2" t="s">
        <v>743</v>
      </c>
      <c r="E1353" s="2" t="s">
        <v>92</v>
      </c>
      <c r="F1353" s="3">
        <v>800</v>
      </c>
      <c r="G1353" s="4">
        <v>36</v>
      </c>
      <c r="H1353" s="5">
        <v>0.01</v>
      </c>
    </row>
    <row r="1354" spans="1:8" ht="13" customHeight="1" x14ac:dyDescent="0.35">
      <c r="A1354" s="2" t="s">
        <v>734</v>
      </c>
      <c r="B1354" s="2" t="s">
        <v>509</v>
      </c>
      <c r="C1354" s="2" t="s">
        <v>744</v>
      </c>
      <c r="D1354" s="2" t="s">
        <v>745</v>
      </c>
      <c r="E1354" s="2" t="s">
        <v>102</v>
      </c>
      <c r="F1354" s="3">
        <v>1616.37</v>
      </c>
      <c r="G1354" s="4">
        <v>17</v>
      </c>
      <c r="H1354" s="5">
        <v>0.01</v>
      </c>
    </row>
    <row r="1355" spans="1:8" ht="13" customHeight="1" x14ac:dyDescent="0.35">
      <c r="A1355" s="2" t="s">
        <v>734</v>
      </c>
      <c r="B1355" s="2" t="s">
        <v>746</v>
      </c>
      <c r="C1355" s="2" t="s">
        <v>735</v>
      </c>
      <c r="D1355" s="2" t="s">
        <v>736</v>
      </c>
      <c r="E1355" s="2" t="s">
        <v>46</v>
      </c>
      <c r="F1355" s="3">
        <v>1729</v>
      </c>
      <c r="G1355" s="4">
        <v>36</v>
      </c>
      <c r="H1355" s="5">
        <v>5.3999999999999999E-2</v>
      </c>
    </row>
    <row r="1356" spans="1:8" ht="13" customHeight="1" x14ac:dyDescent="0.35">
      <c r="A1356" s="2" t="s">
        <v>734</v>
      </c>
      <c r="B1356" s="2" t="s">
        <v>746</v>
      </c>
      <c r="C1356" s="2" t="s">
        <v>737</v>
      </c>
      <c r="D1356" s="2" t="s">
        <v>738</v>
      </c>
      <c r="E1356" s="2" t="s">
        <v>48</v>
      </c>
      <c r="F1356" s="3">
        <v>299</v>
      </c>
      <c r="G1356" s="4">
        <v>10</v>
      </c>
      <c r="H1356" s="5">
        <v>0</v>
      </c>
    </row>
    <row r="1357" spans="1:8" ht="13" customHeight="1" x14ac:dyDescent="0.35">
      <c r="A1357" s="2" t="s">
        <v>734</v>
      </c>
      <c r="B1357" s="2" t="s">
        <v>746</v>
      </c>
      <c r="C1357" s="2" t="s">
        <v>739</v>
      </c>
      <c r="D1357" s="2" t="s">
        <v>740</v>
      </c>
      <c r="E1357" s="2" t="s">
        <v>741</v>
      </c>
      <c r="F1357" s="3">
        <v>1956.29</v>
      </c>
      <c r="G1357" s="4">
        <v>36</v>
      </c>
      <c r="H1357" s="5">
        <v>5.3999999999999999E-2</v>
      </c>
    </row>
    <row r="1358" spans="1:8" ht="13" customHeight="1" x14ac:dyDescent="0.35">
      <c r="A1358" s="2" t="s">
        <v>734</v>
      </c>
      <c r="B1358" s="2" t="s">
        <v>746</v>
      </c>
      <c r="C1358" s="2" t="s">
        <v>742</v>
      </c>
      <c r="D1358" s="2" t="s">
        <v>743</v>
      </c>
      <c r="E1358" s="2" t="s">
        <v>92</v>
      </c>
      <c r="F1358" s="3">
        <v>1419</v>
      </c>
      <c r="G1358" s="4">
        <v>30</v>
      </c>
      <c r="H1358" s="5">
        <v>0</v>
      </c>
    </row>
    <row r="1359" spans="1:8" ht="13" customHeight="1" x14ac:dyDescent="0.35">
      <c r="A1359" s="2" t="s">
        <v>734</v>
      </c>
      <c r="B1359" s="2" t="s">
        <v>746</v>
      </c>
      <c r="C1359" s="2" t="s">
        <v>744</v>
      </c>
      <c r="D1359" s="2" t="s">
        <v>745</v>
      </c>
      <c r="E1359" s="2" t="s">
        <v>102</v>
      </c>
      <c r="F1359" s="3">
        <v>171.57</v>
      </c>
      <c r="G1359" s="4">
        <v>1</v>
      </c>
      <c r="H1359" s="5">
        <v>0</v>
      </c>
    </row>
    <row r="1360" spans="1:8" x14ac:dyDescent="0.35">
      <c r="A1360" s="2" t="s">
        <v>747</v>
      </c>
      <c r="B1360" s="2" t="s">
        <v>447</v>
      </c>
      <c r="C1360" s="2" t="s">
        <v>612</v>
      </c>
      <c r="D1360" s="2" t="s">
        <v>613</v>
      </c>
      <c r="E1360" s="2" t="s">
        <v>147</v>
      </c>
      <c r="F1360" s="3">
        <v>1499</v>
      </c>
      <c r="G1360" s="4">
        <v>60</v>
      </c>
      <c r="H1360" s="5">
        <v>7.4999999999999997E-3</v>
      </c>
    </row>
    <row r="1361" spans="1:8" x14ac:dyDescent="0.35">
      <c r="A1361" s="2" t="s">
        <v>747</v>
      </c>
      <c r="B1361" s="2" t="s">
        <v>447</v>
      </c>
      <c r="C1361" s="2" t="s">
        <v>614</v>
      </c>
      <c r="D1361" s="2" t="s">
        <v>615</v>
      </c>
      <c r="E1361" s="2" t="s">
        <v>193</v>
      </c>
      <c r="F1361" s="3">
        <v>287.08999999999997</v>
      </c>
      <c r="G1361" s="4">
        <v>36</v>
      </c>
      <c r="H1361" s="5">
        <v>0</v>
      </c>
    </row>
    <row r="1362" spans="1:8" x14ac:dyDescent="0.35">
      <c r="A1362" s="2" t="s">
        <v>747</v>
      </c>
      <c r="B1362" s="2" t="s">
        <v>447</v>
      </c>
      <c r="C1362" s="2" t="s">
        <v>616</v>
      </c>
      <c r="D1362" s="2" t="s">
        <v>617</v>
      </c>
      <c r="E1362" s="2" t="s">
        <v>226</v>
      </c>
      <c r="F1362" s="3">
        <v>4699.8999999999996</v>
      </c>
      <c r="G1362" s="4">
        <v>60</v>
      </c>
      <c r="H1362" s="5">
        <v>7.4999999999999997E-3</v>
      </c>
    </row>
    <row r="1363" spans="1:8" x14ac:dyDescent="0.35">
      <c r="A1363" s="2" t="s">
        <v>747</v>
      </c>
      <c r="B1363" s="2" t="s">
        <v>447</v>
      </c>
      <c r="C1363" s="2" t="s">
        <v>677</v>
      </c>
      <c r="D1363" s="2" t="s">
        <v>678</v>
      </c>
      <c r="E1363" s="2" t="s">
        <v>679</v>
      </c>
      <c r="F1363" s="3">
        <v>380</v>
      </c>
      <c r="G1363" s="4">
        <v>60</v>
      </c>
      <c r="H1363" s="5">
        <v>0</v>
      </c>
    </row>
    <row r="1364" spans="1:8" x14ac:dyDescent="0.35">
      <c r="A1364" s="2" t="s">
        <v>747</v>
      </c>
      <c r="B1364" s="2" t="s">
        <v>447</v>
      </c>
      <c r="C1364" s="2" t="s">
        <v>620</v>
      </c>
      <c r="D1364" s="2" t="s">
        <v>621</v>
      </c>
      <c r="E1364" s="2" t="s">
        <v>92</v>
      </c>
      <c r="F1364" s="3">
        <v>1690</v>
      </c>
      <c r="G1364" s="4">
        <v>36</v>
      </c>
      <c r="H1364" s="5">
        <v>0</v>
      </c>
    </row>
    <row r="1365" spans="1:8" x14ac:dyDescent="0.35">
      <c r="A1365" s="2" t="s">
        <v>747</v>
      </c>
      <c r="B1365" s="2" t="s">
        <v>447</v>
      </c>
      <c r="C1365" s="2" t="s">
        <v>622</v>
      </c>
      <c r="D1365" s="2" t="s">
        <v>623</v>
      </c>
      <c r="E1365" s="2" t="s">
        <v>46</v>
      </c>
      <c r="F1365" s="3">
        <v>250</v>
      </c>
      <c r="G1365" s="4">
        <v>60</v>
      </c>
      <c r="H1365" s="5">
        <v>0</v>
      </c>
    </row>
    <row r="1366" spans="1:8" x14ac:dyDescent="0.35">
      <c r="A1366" s="2" t="s">
        <v>747</v>
      </c>
      <c r="B1366" s="2" t="s">
        <v>447</v>
      </c>
      <c r="C1366" s="2" t="s">
        <v>680</v>
      </c>
      <c r="D1366" s="2" t="s">
        <v>681</v>
      </c>
      <c r="E1366" s="2" t="s">
        <v>180</v>
      </c>
      <c r="F1366" s="3">
        <v>169.9</v>
      </c>
      <c r="G1366" s="4">
        <v>60</v>
      </c>
      <c r="H1366" s="5">
        <v>0</v>
      </c>
    </row>
    <row r="1367" spans="1:8" x14ac:dyDescent="0.35">
      <c r="A1367" s="2" t="s">
        <v>747</v>
      </c>
      <c r="B1367" s="2" t="s">
        <v>447</v>
      </c>
      <c r="C1367" s="2" t="s">
        <v>629</v>
      </c>
      <c r="D1367" s="2" t="s">
        <v>630</v>
      </c>
      <c r="E1367" s="2" t="s">
        <v>300</v>
      </c>
      <c r="F1367" s="3">
        <v>55</v>
      </c>
      <c r="G1367" s="4">
        <v>24</v>
      </c>
      <c r="H1367" s="5">
        <v>0</v>
      </c>
    </row>
    <row r="1368" spans="1:8" x14ac:dyDescent="0.35">
      <c r="A1368" s="2" t="s">
        <v>747</v>
      </c>
      <c r="B1368" s="2" t="s">
        <v>447</v>
      </c>
      <c r="C1368" s="2" t="s">
        <v>631</v>
      </c>
      <c r="D1368" s="2" t="s">
        <v>632</v>
      </c>
      <c r="E1368" s="2" t="s">
        <v>322</v>
      </c>
      <c r="F1368" s="3">
        <v>40.1</v>
      </c>
      <c r="G1368" s="4">
        <v>60</v>
      </c>
      <c r="H1368" s="5">
        <v>0</v>
      </c>
    </row>
    <row r="1369" spans="1:8" x14ac:dyDescent="0.35">
      <c r="A1369" s="2" t="s">
        <v>747</v>
      </c>
      <c r="B1369" s="2" t="s">
        <v>447</v>
      </c>
      <c r="C1369" s="2" t="s">
        <v>633</v>
      </c>
      <c r="D1369" s="2" t="s">
        <v>634</v>
      </c>
      <c r="E1369" s="2" t="s">
        <v>635</v>
      </c>
      <c r="F1369" s="3">
        <v>19.989999999999998</v>
      </c>
      <c r="G1369" s="4">
        <v>12</v>
      </c>
      <c r="H1369" s="5">
        <v>0</v>
      </c>
    </row>
    <row r="1370" spans="1:8" x14ac:dyDescent="0.35">
      <c r="A1370" s="2" t="s">
        <v>747</v>
      </c>
      <c r="B1370" s="2" t="s">
        <v>447</v>
      </c>
      <c r="C1370" s="2" t="s">
        <v>636</v>
      </c>
      <c r="D1370" s="2" t="s">
        <v>637</v>
      </c>
      <c r="E1370" s="2" t="s">
        <v>638</v>
      </c>
      <c r="F1370" s="3">
        <v>12</v>
      </c>
      <c r="G1370" s="4">
        <v>12</v>
      </c>
      <c r="H1370" s="5">
        <v>0</v>
      </c>
    </row>
    <row r="1371" spans="1:8" x14ac:dyDescent="0.35">
      <c r="A1371" s="2" t="s">
        <v>747</v>
      </c>
      <c r="B1371" s="2" t="s">
        <v>447</v>
      </c>
      <c r="C1371" s="2" t="s">
        <v>657</v>
      </c>
      <c r="D1371" s="2" t="s">
        <v>658</v>
      </c>
      <c r="E1371" s="2" t="s">
        <v>659</v>
      </c>
      <c r="F1371" s="3">
        <v>15</v>
      </c>
      <c r="G1371" s="4">
        <v>24</v>
      </c>
      <c r="H1371" s="5">
        <v>0</v>
      </c>
    </row>
    <row r="1372" spans="1:8" x14ac:dyDescent="0.35">
      <c r="A1372" s="2" t="s">
        <v>747</v>
      </c>
      <c r="B1372" s="2" t="s">
        <v>447</v>
      </c>
      <c r="C1372" s="2" t="s">
        <v>639</v>
      </c>
      <c r="D1372" s="2" t="s">
        <v>640</v>
      </c>
      <c r="E1372" s="2" t="s">
        <v>641</v>
      </c>
      <c r="F1372" s="3">
        <v>13</v>
      </c>
      <c r="G1372" s="4">
        <v>12</v>
      </c>
      <c r="H1372" s="5">
        <v>0</v>
      </c>
    </row>
    <row r="1373" spans="1:8" x14ac:dyDescent="0.35">
      <c r="A1373" s="2" t="s">
        <v>747</v>
      </c>
      <c r="B1373" s="2" t="s">
        <v>447</v>
      </c>
      <c r="C1373" s="2" t="s">
        <v>682</v>
      </c>
      <c r="D1373" s="2" t="s">
        <v>683</v>
      </c>
      <c r="E1373" s="2" t="s">
        <v>684</v>
      </c>
      <c r="F1373" s="3">
        <v>19</v>
      </c>
      <c r="G1373" s="4">
        <v>12</v>
      </c>
      <c r="H1373" s="5">
        <v>0</v>
      </c>
    </row>
    <row r="1374" spans="1:8" x14ac:dyDescent="0.35">
      <c r="A1374" s="2" t="s">
        <v>747</v>
      </c>
      <c r="B1374" s="2" t="s">
        <v>447</v>
      </c>
      <c r="C1374" s="2" t="s">
        <v>714</v>
      </c>
      <c r="D1374" s="2" t="s">
        <v>686</v>
      </c>
      <c r="E1374" s="2" t="s">
        <v>303</v>
      </c>
      <c r="F1374" s="3">
        <v>32</v>
      </c>
      <c r="G1374" s="4">
        <v>24</v>
      </c>
      <c r="H1374" s="5">
        <v>0</v>
      </c>
    </row>
    <row r="1375" spans="1:8" x14ac:dyDescent="0.35">
      <c r="A1375" s="2" t="s">
        <v>747</v>
      </c>
      <c r="B1375" s="2" t="s">
        <v>447</v>
      </c>
      <c r="C1375" s="2" t="s">
        <v>660</v>
      </c>
      <c r="D1375" s="2" t="s">
        <v>661</v>
      </c>
      <c r="E1375" s="2" t="s">
        <v>303</v>
      </c>
      <c r="F1375" s="3">
        <v>9</v>
      </c>
      <c r="G1375" s="4">
        <v>12</v>
      </c>
      <c r="H1375" s="5">
        <v>0</v>
      </c>
    </row>
    <row r="1376" spans="1:8" x14ac:dyDescent="0.35">
      <c r="A1376" s="2" t="s">
        <v>747</v>
      </c>
      <c r="B1376" s="2" t="s">
        <v>447</v>
      </c>
      <c r="C1376" s="2" t="s">
        <v>647</v>
      </c>
      <c r="D1376" s="2" t="s">
        <v>648</v>
      </c>
      <c r="E1376" s="2" t="s">
        <v>535</v>
      </c>
      <c r="F1376" s="3">
        <v>11</v>
      </c>
      <c r="G1376" s="4">
        <v>12</v>
      </c>
      <c r="H1376" s="5">
        <v>0</v>
      </c>
    </row>
    <row r="1377" spans="1:8" x14ac:dyDescent="0.35">
      <c r="A1377" s="2" t="s">
        <v>747</v>
      </c>
      <c r="B1377" s="2" t="s">
        <v>447</v>
      </c>
      <c r="C1377" s="2" t="s">
        <v>651</v>
      </c>
      <c r="D1377" s="2" t="s">
        <v>652</v>
      </c>
      <c r="E1377" s="2" t="s">
        <v>136</v>
      </c>
      <c r="F1377" s="3">
        <v>22</v>
      </c>
      <c r="G1377" s="4">
        <v>6</v>
      </c>
      <c r="H1377" s="5">
        <v>0</v>
      </c>
    </row>
    <row r="1378" spans="1:8" x14ac:dyDescent="0.35">
      <c r="A1378" s="2" t="s">
        <v>747</v>
      </c>
      <c r="B1378" s="2" t="s">
        <v>447</v>
      </c>
      <c r="C1378" s="2" t="s">
        <v>653</v>
      </c>
      <c r="D1378" s="2" t="s">
        <v>654</v>
      </c>
      <c r="E1378" s="2" t="s">
        <v>190</v>
      </c>
      <c r="F1378" s="3">
        <v>0.5</v>
      </c>
      <c r="G1378" s="4">
        <v>1</v>
      </c>
      <c r="H1378" s="5">
        <v>0</v>
      </c>
    </row>
    <row r="1379" spans="1:8" x14ac:dyDescent="0.35">
      <c r="A1379" s="2" t="s">
        <v>747</v>
      </c>
      <c r="B1379" s="2" t="s">
        <v>447</v>
      </c>
      <c r="C1379" s="2" t="s">
        <v>687</v>
      </c>
      <c r="D1379" s="2" t="s">
        <v>473</v>
      </c>
      <c r="E1379" s="2" t="s">
        <v>473</v>
      </c>
      <c r="F1379" s="3">
        <v>350</v>
      </c>
      <c r="G1379" s="4">
        <v>36</v>
      </c>
      <c r="H1379" s="5">
        <v>0</v>
      </c>
    </row>
    <row r="1380" spans="1:8" x14ac:dyDescent="0.35">
      <c r="A1380" s="2" t="s">
        <v>747</v>
      </c>
      <c r="B1380" s="2" t="s">
        <v>447</v>
      </c>
      <c r="C1380" s="2" t="s">
        <v>688</v>
      </c>
      <c r="D1380" s="2" t="s">
        <v>689</v>
      </c>
      <c r="E1380" s="2" t="s">
        <v>690</v>
      </c>
      <c r="F1380" s="3">
        <v>300</v>
      </c>
      <c r="G1380" s="4">
        <v>36</v>
      </c>
      <c r="H1380" s="5">
        <v>0</v>
      </c>
    </row>
    <row r="1381" spans="1:8" x14ac:dyDescent="0.35">
      <c r="A1381" s="2" t="s">
        <v>747</v>
      </c>
      <c r="B1381" s="2" t="s">
        <v>655</v>
      </c>
      <c r="C1381" s="2" t="s">
        <v>612</v>
      </c>
      <c r="D1381" s="2" t="s">
        <v>613</v>
      </c>
      <c r="E1381" s="2" t="s">
        <v>147</v>
      </c>
      <c r="F1381" s="3">
        <v>1365</v>
      </c>
      <c r="G1381" s="4">
        <v>60</v>
      </c>
      <c r="H1381" s="5">
        <v>7.4999999999999997E-3</v>
      </c>
    </row>
    <row r="1382" spans="1:8" x14ac:dyDescent="0.35">
      <c r="A1382" s="2" t="s">
        <v>747</v>
      </c>
      <c r="B1382" s="2" t="s">
        <v>655</v>
      </c>
      <c r="C1382" s="2" t="s">
        <v>614</v>
      </c>
      <c r="D1382" s="2" t="s">
        <v>615</v>
      </c>
      <c r="E1382" s="2" t="s">
        <v>193</v>
      </c>
      <c r="F1382" s="3">
        <v>110</v>
      </c>
      <c r="G1382" s="4">
        <v>36</v>
      </c>
      <c r="H1382" s="5">
        <v>0</v>
      </c>
    </row>
    <row r="1383" spans="1:8" x14ac:dyDescent="0.35">
      <c r="A1383" s="2" t="s">
        <v>747</v>
      </c>
      <c r="B1383" s="2" t="s">
        <v>655</v>
      </c>
      <c r="C1383" s="2" t="s">
        <v>616</v>
      </c>
      <c r="D1383" s="2" t="s">
        <v>617</v>
      </c>
      <c r="E1383" s="2" t="s">
        <v>226</v>
      </c>
      <c r="F1383" s="3">
        <v>3150</v>
      </c>
      <c r="G1383" s="4">
        <v>60</v>
      </c>
      <c r="H1383" s="5">
        <v>7.4999999999999997E-3</v>
      </c>
    </row>
    <row r="1384" spans="1:8" x14ac:dyDescent="0.35">
      <c r="A1384" s="2" t="s">
        <v>747</v>
      </c>
      <c r="B1384" s="2" t="s">
        <v>655</v>
      </c>
      <c r="C1384" s="2" t="s">
        <v>677</v>
      </c>
      <c r="D1384" s="2" t="s">
        <v>678</v>
      </c>
      <c r="E1384" s="2" t="s">
        <v>679</v>
      </c>
      <c r="F1384" s="3">
        <v>160</v>
      </c>
      <c r="G1384" s="4">
        <v>60</v>
      </c>
      <c r="H1384" s="5">
        <v>0</v>
      </c>
    </row>
    <row r="1385" spans="1:8" x14ac:dyDescent="0.35">
      <c r="A1385" s="2" t="s">
        <v>747</v>
      </c>
      <c r="B1385" s="2" t="s">
        <v>655</v>
      </c>
      <c r="C1385" s="2" t="s">
        <v>620</v>
      </c>
      <c r="D1385" s="2" t="s">
        <v>621</v>
      </c>
      <c r="E1385" s="2" t="s">
        <v>92</v>
      </c>
      <c r="F1385" s="3">
        <v>250</v>
      </c>
      <c r="G1385" s="4">
        <v>36</v>
      </c>
      <c r="H1385" s="5">
        <v>0</v>
      </c>
    </row>
    <row r="1386" spans="1:8" x14ac:dyDescent="0.35">
      <c r="A1386" s="2" t="s">
        <v>747</v>
      </c>
      <c r="B1386" s="2" t="s">
        <v>655</v>
      </c>
      <c r="C1386" s="2" t="s">
        <v>622</v>
      </c>
      <c r="D1386" s="2" t="s">
        <v>623</v>
      </c>
      <c r="E1386" s="2" t="s">
        <v>46</v>
      </c>
      <c r="F1386" s="3">
        <v>250</v>
      </c>
      <c r="G1386" s="4">
        <v>60</v>
      </c>
      <c r="H1386" s="5">
        <v>0</v>
      </c>
    </row>
    <row r="1387" spans="1:8" x14ac:dyDescent="0.35">
      <c r="A1387" s="2" t="s">
        <v>747</v>
      </c>
      <c r="B1387" s="2" t="s">
        <v>655</v>
      </c>
      <c r="C1387" s="2" t="s">
        <v>680</v>
      </c>
      <c r="D1387" s="2" t="s">
        <v>681</v>
      </c>
      <c r="E1387" s="2" t="s">
        <v>180</v>
      </c>
      <c r="F1387" s="3">
        <v>130</v>
      </c>
      <c r="G1387" s="4">
        <v>60</v>
      </c>
      <c r="H1387" s="5">
        <v>0</v>
      </c>
    </row>
    <row r="1388" spans="1:8" x14ac:dyDescent="0.35">
      <c r="A1388" s="2" t="s">
        <v>747</v>
      </c>
      <c r="B1388" s="2" t="s">
        <v>655</v>
      </c>
      <c r="C1388" s="2" t="s">
        <v>629</v>
      </c>
      <c r="D1388" s="2" t="s">
        <v>630</v>
      </c>
      <c r="E1388" s="2" t="s">
        <v>300</v>
      </c>
      <c r="F1388" s="3">
        <v>55</v>
      </c>
      <c r="G1388" s="4">
        <v>24</v>
      </c>
      <c r="H1388" s="5">
        <v>0</v>
      </c>
    </row>
    <row r="1389" spans="1:8" x14ac:dyDescent="0.35">
      <c r="A1389" s="2" t="s">
        <v>747</v>
      </c>
      <c r="B1389" s="2" t="s">
        <v>655</v>
      </c>
      <c r="C1389" s="2" t="s">
        <v>631</v>
      </c>
      <c r="D1389" s="2" t="s">
        <v>632</v>
      </c>
      <c r="E1389" s="2" t="s">
        <v>322</v>
      </c>
      <c r="F1389" s="3">
        <v>40.1</v>
      </c>
      <c r="G1389" s="4">
        <v>60</v>
      </c>
      <c r="H1389" s="5">
        <v>0</v>
      </c>
    </row>
    <row r="1390" spans="1:8" x14ac:dyDescent="0.35">
      <c r="A1390" s="2" t="s">
        <v>747</v>
      </c>
      <c r="B1390" s="2" t="s">
        <v>655</v>
      </c>
      <c r="C1390" s="2" t="s">
        <v>633</v>
      </c>
      <c r="D1390" s="2" t="s">
        <v>634</v>
      </c>
      <c r="E1390" s="2" t="s">
        <v>635</v>
      </c>
      <c r="F1390" s="3">
        <v>14</v>
      </c>
      <c r="G1390" s="4">
        <v>12</v>
      </c>
      <c r="H1390" s="5">
        <v>0</v>
      </c>
    </row>
    <row r="1391" spans="1:8" x14ac:dyDescent="0.35">
      <c r="A1391" s="2" t="s">
        <v>747</v>
      </c>
      <c r="B1391" s="2" t="s">
        <v>655</v>
      </c>
      <c r="C1391" s="2" t="s">
        <v>636</v>
      </c>
      <c r="D1391" s="2" t="s">
        <v>637</v>
      </c>
      <c r="E1391" s="2" t="s">
        <v>638</v>
      </c>
      <c r="F1391" s="3">
        <v>12</v>
      </c>
      <c r="G1391" s="4">
        <v>12</v>
      </c>
      <c r="H1391" s="5">
        <v>0</v>
      </c>
    </row>
    <row r="1392" spans="1:8" x14ac:dyDescent="0.35">
      <c r="A1392" s="2" t="s">
        <v>747</v>
      </c>
      <c r="B1392" s="2" t="s">
        <v>655</v>
      </c>
      <c r="C1392" s="2" t="s">
        <v>657</v>
      </c>
      <c r="D1392" s="2" t="s">
        <v>658</v>
      </c>
      <c r="E1392" s="2" t="s">
        <v>659</v>
      </c>
      <c r="F1392" s="3">
        <v>15</v>
      </c>
      <c r="G1392" s="4">
        <v>24</v>
      </c>
      <c r="H1392" s="5">
        <v>0</v>
      </c>
    </row>
    <row r="1393" spans="1:8" x14ac:dyDescent="0.35">
      <c r="A1393" s="2" t="s">
        <v>747</v>
      </c>
      <c r="B1393" s="2" t="s">
        <v>655</v>
      </c>
      <c r="C1393" s="2" t="s">
        <v>639</v>
      </c>
      <c r="D1393" s="2" t="s">
        <v>640</v>
      </c>
      <c r="E1393" s="2" t="s">
        <v>641</v>
      </c>
      <c r="F1393" s="3">
        <v>13</v>
      </c>
      <c r="G1393" s="4">
        <v>12</v>
      </c>
      <c r="H1393" s="5">
        <v>0</v>
      </c>
    </row>
    <row r="1394" spans="1:8" x14ac:dyDescent="0.35">
      <c r="A1394" s="2" t="s">
        <v>747</v>
      </c>
      <c r="B1394" s="2" t="s">
        <v>655</v>
      </c>
      <c r="C1394" s="2" t="s">
        <v>682</v>
      </c>
      <c r="D1394" s="2" t="s">
        <v>683</v>
      </c>
      <c r="E1394" s="2" t="s">
        <v>684</v>
      </c>
      <c r="F1394" s="3">
        <v>19</v>
      </c>
      <c r="G1394" s="4">
        <v>12</v>
      </c>
      <c r="H1394" s="5">
        <v>0</v>
      </c>
    </row>
    <row r="1395" spans="1:8" x14ac:dyDescent="0.35">
      <c r="A1395" s="2" t="s">
        <v>747</v>
      </c>
      <c r="B1395" s="2" t="s">
        <v>655</v>
      </c>
      <c r="C1395" s="2" t="s">
        <v>714</v>
      </c>
      <c r="D1395" s="2" t="s">
        <v>686</v>
      </c>
      <c r="E1395" s="2" t="s">
        <v>303</v>
      </c>
      <c r="F1395" s="3">
        <v>32</v>
      </c>
      <c r="G1395" s="4">
        <v>24</v>
      </c>
      <c r="H1395" s="5">
        <v>0</v>
      </c>
    </row>
    <row r="1396" spans="1:8" x14ac:dyDescent="0.35">
      <c r="A1396" s="2" t="s">
        <v>747</v>
      </c>
      <c r="B1396" s="2" t="s">
        <v>655</v>
      </c>
      <c r="C1396" s="2" t="s">
        <v>660</v>
      </c>
      <c r="D1396" s="2" t="s">
        <v>661</v>
      </c>
      <c r="E1396" s="2" t="s">
        <v>303</v>
      </c>
      <c r="F1396" s="3">
        <v>9</v>
      </c>
      <c r="G1396" s="4">
        <v>12</v>
      </c>
      <c r="H1396" s="5">
        <v>0</v>
      </c>
    </row>
    <row r="1397" spans="1:8" x14ac:dyDescent="0.35">
      <c r="A1397" s="2" t="s">
        <v>747</v>
      </c>
      <c r="B1397" s="2" t="s">
        <v>655</v>
      </c>
      <c r="C1397" s="2" t="s">
        <v>647</v>
      </c>
      <c r="D1397" s="2" t="s">
        <v>648</v>
      </c>
      <c r="E1397" s="2" t="s">
        <v>535</v>
      </c>
      <c r="F1397" s="3">
        <v>11</v>
      </c>
      <c r="G1397" s="4">
        <v>12</v>
      </c>
      <c r="H1397" s="5">
        <v>0</v>
      </c>
    </row>
    <row r="1398" spans="1:8" x14ac:dyDescent="0.35">
      <c r="A1398" s="2" t="s">
        <v>747</v>
      </c>
      <c r="B1398" s="2" t="s">
        <v>655</v>
      </c>
      <c r="C1398" s="2" t="s">
        <v>651</v>
      </c>
      <c r="D1398" s="2" t="s">
        <v>652</v>
      </c>
      <c r="E1398" s="2" t="s">
        <v>136</v>
      </c>
      <c r="F1398" s="3">
        <v>22</v>
      </c>
      <c r="G1398" s="4">
        <v>6</v>
      </c>
      <c r="H1398" s="5">
        <v>0</v>
      </c>
    </row>
    <row r="1399" spans="1:8" x14ac:dyDescent="0.35">
      <c r="A1399" s="2" t="s">
        <v>747</v>
      </c>
      <c r="B1399" s="2" t="s">
        <v>655</v>
      </c>
      <c r="C1399" s="2" t="s">
        <v>653</v>
      </c>
      <c r="D1399" s="2" t="s">
        <v>654</v>
      </c>
      <c r="E1399" s="2" t="s">
        <v>190</v>
      </c>
      <c r="F1399" s="3">
        <v>0.5</v>
      </c>
      <c r="G1399" s="4">
        <v>1</v>
      </c>
      <c r="H1399" s="5">
        <v>0</v>
      </c>
    </row>
    <row r="1400" spans="1:8" x14ac:dyDescent="0.35">
      <c r="A1400" s="2" t="s">
        <v>747</v>
      </c>
      <c r="B1400" s="2" t="s">
        <v>655</v>
      </c>
      <c r="C1400" s="2" t="s">
        <v>687</v>
      </c>
      <c r="D1400" s="2" t="s">
        <v>473</v>
      </c>
      <c r="E1400" s="2" t="s">
        <v>473</v>
      </c>
      <c r="F1400" s="3">
        <v>350</v>
      </c>
      <c r="G1400" s="4">
        <v>36</v>
      </c>
      <c r="H1400" s="5">
        <v>0</v>
      </c>
    </row>
    <row r="1401" spans="1:8" x14ac:dyDescent="0.35">
      <c r="A1401" s="2" t="s">
        <v>747</v>
      </c>
      <c r="B1401" s="2" t="s">
        <v>655</v>
      </c>
      <c r="C1401" s="2" t="s">
        <v>688</v>
      </c>
      <c r="D1401" s="2" t="s">
        <v>689</v>
      </c>
      <c r="E1401" s="2" t="s">
        <v>690</v>
      </c>
      <c r="F1401" s="3">
        <v>300</v>
      </c>
      <c r="G1401" s="4">
        <v>36</v>
      </c>
      <c r="H1401" s="5">
        <v>0</v>
      </c>
    </row>
    <row r="1402" spans="1:8" x14ac:dyDescent="0.35">
      <c r="A1402" s="2" t="s">
        <v>747</v>
      </c>
      <c r="B1402" s="2" t="s">
        <v>510</v>
      </c>
      <c r="C1402" s="2" t="s">
        <v>612</v>
      </c>
      <c r="D1402" s="2" t="s">
        <v>613</v>
      </c>
      <c r="E1402" s="2" t="s">
        <v>147</v>
      </c>
      <c r="F1402" s="3">
        <v>2275.7399999999998</v>
      </c>
      <c r="G1402" s="4">
        <v>36</v>
      </c>
      <c r="H1402" s="5">
        <v>0</v>
      </c>
    </row>
    <row r="1403" spans="1:8" x14ac:dyDescent="0.35">
      <c r="A1403" s="2" t="s">
        <v>747</v>
      </c>
      <c r="B1403" s="2" t="s">
        <v>510</v>
      </c>
      <c r="C1403" s="2" t="s">
        <v>614</v>
      </c>
      <c r="D1403" s="2" t="s">
        <v>615</v>
      </c>
      <c r="E1403" s="2" t="s">
        <v>193</v>
      </c>
      <c r="F1403" s="3">
        <v>263.91000000000003</v>
      </c>
      <c r="G1403" s="4">
        <v>24</v>
      </c>
      <c r="H1403" s="5">
        <v>0</v>
      </c>
    </row>
    <row r="1404" spans="1:8" x14ac:dyDescent="0.35">
      <c r="A1404" s="2" t="s">
        <v>747</v>
      </c>
      <c r="B1404" s="2" t="s">
        <v>510</v>
      </c>
      <c r="C1404" s="2" t="s">
        <v>616</v>
      </c>
      <c r="D1404" s="2" t="s">
        <v>617</v>
      </c>
      <c r="E1404" s="2" t="s">
        <v>226</v>
      </c>
      <c r="F1404" s="3">
        <v>4501.8</v>
      </c>
      <c r="G1404" s="4">
        <v>36</v>
      </c>
      <c r="H1404" s="5">
        <v>0</v>
      </c>
    </row>
    <row r="1405" spans="1:8" x14ac:dyDescent="0.35">
      <c r="A1405" s="2" t="s">
        <v>747</v>
      </c>
      <c r="B1405" s="2" t="s">
        <v>510</v>
      </c>
      <c r="C1405" s="2" t="s">
        <v>677</v>
      </c>
      <c r="D1405" s="2" t="s">
        <v>678</v>
      </c>
      <c r="E1405" s="2" t="s">
        <v>679</v>
      </c>
      <c r="F1405" s="3">
        <v>399</v>
      </c>
      <c r="G1405" s="4">
        <v>24</v>
      </c>
      <c r="H1405" s="5">
        <v>0</v>
      </c>
    </row>
    <row r="1406" spans="1:8" x14ac:dyDescent="0.35">
      <c r="A1406" s="2" t="s">
        <v>747</v>
      </c>
      <c r="B1406" s="2" t="s">
        <v>510</v>
      </c>
      <c r="C1406" s="2" t="s">
        <v>620</v>
      </c>
      <c r="D1406" s="2" t="s">
        <v>621</v>
      </c>
      <c r="E1406" s="2" t="s">
        <v>92</v>
      </c>
      <c r="F1406" s="3">
        <v>1250.7</v>
      </c>
      <c r="G1406" s="4">
        <v>24</v>
      </c>
      <c r="H1406" s="5">
        <v>0</v>
      </c>
    </row>
    <row r="1407" spans="1:8" x14ac:dyDescent="0.35">
      <c r="A1407" s="2" t="s">
        <v>747</v>
      </c>
      <c r="B1407" s="2" t="s">
        <v>510</v>
      </c>
      <c r="C1407" s="2" t="s">
        <v>622</v>
      </c>
      <c r="D1407" s="2" t="s">
        <v>623</v>
      </c>
      <c r="E1407" s="2" t="s">
        <v>46</v>
      </c>
      <c r="F1407" s="3">
        <v>2418.25</v>
      </c>
      <c r="G1407" s="4">
        <v>36</v>
      </c>
      <c r="H1407" s="5">
        <v>0</v>
      </c>
    </row>
    <row r="1408" spans="1:8" x14ac:dyDescent="0.35">
      <c r="A1408" s="2" t="s">
        <v>747</v>
      </c>
      <c r="B1408" s="2" t="s">
        <v>510</v>
      </c>
      <c r="C1408" s="2" t="s">
        <v>680</v>
      </c>
      <c r="D1408" s="2" t="s">
        <v>681</v>
      </c>
      <c r="E1408" s="2" t="s">
        <v>180</v>
      </c>
      <c r="F1408" s="3">
        <v>272.87</v>
      </c>
      <c r="G1408" s="4">
        <v>24</v>
      </c>
      <c r="H1408" s="5">
        <v>0</v>
      </c>
    </row>
    <row r="1409" spans="1:8" x14ac:dyDescent="0.35">
      <c r="A1409" s="2" t="s">
        <v>747</v>
      </c>
      <c r="B1409" s="2" t="s">
        <v>510</v>
      </c>
      <c r="C1409" s="2" t="s">
        <v>629</v>
      </c>
      <c r="D1409" s="2" t="s">
        <v>630</v>
      </c>
      <c r="E1409" s="2" t="s">
        <v>300</v>
      </c>
      <c r="F1409" s="3">
        <v>52.61</v>
      </c>
      <c r="G1409" s="4">
        <v>24</v>
      </c>
      <c r="H1409" s="5">
        <v>0</v>
      </c>
    </row>
    <row r="1410" spans="1:8" x14ac:dyDescent="0.35">
      <c r="A1410" s="2" t="s">
        <v>747</v>
      </c>
      <c r="B1410" s="2" t="s">
        <v>510</v>
      </c>
      <c r="C1410" s="2" t="s">
        <v>631</v>
      </c>
      <c r="D1410" s="2" t="s">
        <v>632</v>
      </c>
      <c r="E1410" s="2" t="s">
        <v>322</v>
      </c>
      <c r="F1410" s="3">
        <v>43.43</v>
      </c>
      <c r="G1410" s="4">
        <v>24</v>
      </c>
      <c r="H1410" s="5">
        <v>0</v>
      </c>
    </row>
    <row r="1411" spans="1:8" x14ac:dyDescent="0.35">
      <c r="A1411" s="2" t="s">
        <v>747</v>
      </c>
      <c r="B1411" s="2" t="s">
        <v>510</v>
      </c>
      <c r="C1411" s="2" t="s">
        <v>633</v>
      </c>
      <c r="D1411" s="2" t="s">
        <v>634</v>
      </c>
      <c r="E1411" s="2" t="s">
        <v>635</v>
      </c>
      <c r="F1411" s="3">
        <v>17</v>
      </c>
      <c r="G1411" s="4">
        <v>12</v>
      </c>
      <c r="H1411" s="5">
        <v>0</v>
      </c>
    </row>
    <row r="1412" spans="1:8" x14ac:dyDescent="0.35">
      <c r="A1412" s="2" t="s">
        <v>747</v>
      </c>
      <c r="B1412" s="2" t="s">
        <v>510</v>
      </c>
      <c r="C1412" s="2" t="s">
        <v>636</v>
      </c>
      <c r="D1412" s="2" t="s">
        <v>637</v>
      </c>
      <c r="E1412" s="2" t="s">
        <v>638</v>
      </c>
      <c r="F1412" s="3">
        <v>16</v>
      </c>
      <c r="G1412" s="4">
        <v>12</v>
      </c>
      <c r="H1412" s="5">
        <v>0</v>
      </c>
    </row>
    <row r="1413" spans="1:8" x14ac:dyDescent="0.35">
      <c r="A1413" s="2" t="s">
        <v>747</v>
      </c>
      <c r="B1413" s="2" t="s">
        <v>510</v>
      </c>
      <c r="C1413" s="2" t="s">
        <v>657</v>
      </c>
      <c r="D1413" s="2" t="s">
        <v>658</v>
      </c>
      <c r="E1413" s="2" t="s">
        <v>659</v>
      </c>
      <c r="F1413" s="3">
        <v>48.16</v>
      </c>
      <c r="G1413" s="4">
        <v>12</v>
      </c>
      <c r="H1413" s="5">
        <v>0</v>
      </c>
    </row>
    <row r="1414" spans="1:8" x14ac:dyDescent="0.35">
      <c r="A1414" s="2" t="s">
        <v>747</v>
      </c>
      <c r="B1414" s="2" t="s">
        <v>510</v>
      </c>
      <c r="C1414" s="2" t="s">
        <v>639</v>
      </c>
      <c r="D1414" s="2" t="s">
        <v>640</v>
      </c>
      <c r="E1414" s="2" t="s">
        <v>641</v>
      </c>
      <c r="F1414" s="3">
        <v>11.75</v>
      </c>
      <c r="G1414" s="4">
        <v>12</v>
      </c>
      <c r="H1414" s="5">
        <v>0</v>
      </c>
    </row>
    <row r="1415" spans="1:8" x14ac:dyDescent="0.35">
      <c r="A1415" s="2" t="s">
        <v>747</v>
      </c>
      <c r="B1415" s="2" t="s">
        <v>510</v>
      </c>
      <c r="C1415" s="2" t="s">
        <v>682</v>
      </c>
      <c r="D1415" s="2" t="s">
        <v>683</v>
      </c>
      <c r="E1415" s="2" t="s">
        <v>684</v>
      </c>
      <c r="F1415" s="3">
        <v>8.9600000000000009</v>
      </c>
      <c r="G1415" s="4">
        <v>12</v>
      </c>
      <c r="H1415" s="5">
        <v>0</v>
      </c>
    </row>
    <row r="1416" spans="1:8" x14ac:dyDescent="0.35">
      <c r="A1416" s="2" t="s">
        <v>747</v>
      </c>
      <c r="B1416" s="2" t="s">
        <v>510</v>
      </c>
      <c r="C1416" s="2" t="s">
        <v>714</v>
      </c>
      <c r="D1416" s="2" t="s">
        <v>686</v>
      </c>
      <c r="E1416" s="2" t="s">
        <v>303</v>
      </c>
      <c r="F1416" s="3">
        <v>39.81</v>
      </c>
      <c r="G1416" s="4">
        <v>24</v>
      </c>
      <c r="H1416" s="5">
        <v>0</v>
      </c>
    </row>
    <row r="1417" spans="1:8" x14ac:dyDescent="0.35">
      <c r="A1417" s="2" t="s">
        <v>747</v>
      </c>
      <c r="B1417" s="2" t="s">
        <v>510</v>
      </c>
      <c r="C1417" s="2" t="s">
        <v>660</v>
      </c>
      <c r="D1417" s="2" t="s">
        <v>661</v>
      </c>
      <c r="E1417" s="2" t="s">
        <v>303</v>
      </c>
      <c r="F1417" s="3">
        <v>39.81</v>
      </c>
      <c r="G1417" s="4">
        <v>12</v>
      </c>
      <c r="H1417" s="5">
        <v>0</v>
      </c>
    </row>
    <row r="1418" spans="1:8" x14ac:dyDescent="0.35">
      <c r="A1418" s="2" t="s">
        <v>747</v>
      </c>
      <c r="B1418" s="2" t="s">
        <v>510</v>
      </c>
      <c r="C1418" s="2" t="s">
        <v>647</v>
      </c>
      <c r="D1418" s="2" t="s">
        <v>648</v>
      </c>
      <c r="E1418" s="2" t="s">
        <v>535</v>
      </c>
      <c r="F1418" s="3">
        <v>57.39</v>
      </c>
      <c r="G1418" s="4">
        <v>12</v>
      </c>
      <c r="H1418" s="5">
        <v>0</v>
      </c>
    </row>
    <row r="1419" spans="1:8" x14ac:dyDescent="0.35">
      <c r="A1419" s="2" t="s">
        <v>747</v>
      </c>
      <c r="B1419" s="2" t="s">
        <v>510</v>
      </c>
      <c r="C1419" s="2" t="s">
        <v>651</v>
      </c>
      <c r="D1419" s="2" t="s">
        <v>652</v>
      </c>
      <c r="E1419" s="2" t="s">
        <v>136</v>
      </c>
      <c r="F1419" s="3">
        <v>84.23</v>
      </c>
      <c r="G1419" s="4">
        <v>6</v>
      </c>
      <c r="H1419" s="5">
        <v>0</v>
      </c>
    </row>
    <row r="1420" spans="1:8" x14ac:dyDescent="0.35">
      <c r="A1420" s="2" t="s">
        <v>747</v>
      </c>
      <c r="B1420" s="2" t="s">
        <v>510</v>
      </c>
      <c r="C1420" s="2" t="s">
        <v>653</v>
      </c>
      <c r="D1420" s="2" t="s">
        <v>654</v>
      </c>
      <c r="E1420" s="2" t="s">
        <v>190</v>
      </c>
      <c r="F1420" s="3">
        <v>1.1100000000000001</v>
      </c>
      <c r="G1420" s="4">
        <v>1</v>
      </c>
      <c r="H1420" s="5">
        <v>0</v>
      </c>
    </row>
    <row r="1421" spans="1:8" x14ac:dyDescent="0.35">
      <c r="A1421" s="2" t="s">
        <v>747</v>
      </c>
      <c r="B1421" s="2" t="s">
        <v>510</v>
      </c>
      <c r="C1421" s="2" t="s">
        <v>687</v>
      </c>
      <c r="D1421" s="2" t="s">
        <v>473</v>
      </c>
      <c r="E1421" s="2" t="s">
        <v>473</v>
      </c>
      <c r="F1421" s="3">
        <v>350</v>
      </c>
      <c r="G1421" s="4">
        <v>36</v>
      </c>
      <c r="H1421" s="5">
        <v>0</v>
      </c>
    </row>
    <row r="1422" spans="1:8" x14ac:dyDescent="0.35">
      <c r="A1422" s="2" t="s">
        <v>747</v>
      </c>
      <c r="B1422" s="2" t="s">
        <v>510</v>
      </c>
      <c r="C1422" s="2" t="s">
        <v>688</v>
      </c>
      <c r="D1422" s="2" t="s">
        <v>689</v>
      </c>
      <c r="E1422" s="2" t="s">
        <v>690</v>
      </c>
      <c r="F1422" s="3">
        <v>300</v>
      </c>
      <c r="G1422" s="4">
        <v>36</v>
      </c>
      <c r="H1422" s="5">
        <v>0</v>
      </c>
    </row>
    <row r="1423" spans="1:8" x14ac:dyDescent="0.35">
      <c r="A1423" s="2" t="s">
        <v>747</v>
      </c>
      <c r="B1423" s="2" t="s">
        <v>611</v>
      </c>
      <c r="C1423" s="2" t="s">
        <v>612</v>
      </c>
      <c r="D1423" s="2" t="s">
        <v>613</v>
      </c>
      <c r="E1423" s="2" t="s">
        <v>147</v>
      </c>
      <c r="F1423" s="3">
        <v>2047.5</v>
      </c>
      <c r="G1423" s="4">
        <v>60</v>
      </c>
      <c r="H1423" s="5">
        <v>7.4999999999999997E-3</v>
      </c>
    </row>
    <row r="1424" spans="1:8" x14ac:dyDescent="0.35">
      <c r="A1424" s="2" t="s">
        <v>747</v>
      </c>
      <c r="B1424" s="2" t="s">
        <v>611</v>
      </c>
      <c r="C1424" s="2" t="s">
        <v>614</v>
      </c>
      <c r="D1424" s="2" t="s">
        <v>615</v>
      </c>
      <c r="E1424" s="2" t="s">
        <v>193</v>
      </c>
      <c r="F1424" s="3">
        <v>165</v>
      </c>
      <c r="G1424" s="4">
        <v>36</v>
      </c>
      <c r="H1424" s="5">
        <v>0</v>
      </c>
    </row>
    <row r="1425" spans="1:8" x14ac:dyDescent="0.35">
      <c r="A1425" s="2" t="s">
        <v>747</v>
      </c>
      <c r="B1425" s="2" t="s">
        <v>611</v>
      </c>
      <c r="C1425" s="2" t="s">
        <v>616</v>
      </c>
      <c r="D1425" s="2" t="s">
        <v>617</v>
      </c>
      <c r="E1425" s="2" t="s">
        <v>226</v>
      </c>
      <c r="F1425" s="3">
        <v>4725</v>
      </c>
      <c r="G1425" s="4">
        <v>60</v>
      </c>
      <c r="H1425" s="5">
        <v>7.4999999999999997E-3</v>
      </c>
    </row>
    <row r="1426" spans="1:8" x14ac:dyDescent="0.35">
      <c r="A1426" s="2" t="s">
        <v>747</v>
      </c>
      <c r="B1426" s="2" t="s">
        <v>611</v>
      </c>
      <c r="C1426" s="2" t="s">
        <v>677</v>
      </c>
      <c r="D1426" s="2" t="s">
        <v>678</v>
      </c>
      <c r="E1426" s="2" t="s">
        <v>679</v>
      </c>
      <c r="F1426" s="3">
        <v>240</v>
      </c>
      <c r="G1426" s="4">
        <v>60</v>
      </c>
      <c r="H1426" s="5">
        <v>0</v>
      </c>
    </row>
    <row r="1427" spans="1:8" x14ac:dyDescent="0.35">
      <c r="A1427" s="2" t="s">
        <v>747</v>
      </c>
      <c r="B1427" s="2" t="s">
        <v>611</v>
      </c>
      <c r="C1427" s="2" t="s">
        <v>620</v>
      </c>
      <c r="D1427" s="2" t="s">
        <v>621</v>
      </c>
      <c r="E1427" s="2" t="s">
        <v>92</v>
      </c>
      <c r="F1427" s="3">
        <v>375</v>
      </c>
      <c r="G1427" s="4">
        <v>36</v>
      </c>
      <c r="H1427" s="5">
        <v>0</v>
      </c>
    </row>
    <row r="1428" spans="1:8" x14ac:dyDescent="0.35">
      <c r="A1428" s="2" t="s">
        <v>747</v>
      </c>
      <c r="B1428" s="2" t="s">
        <v>611</v>
      </c>
      <c r="C1428" s="2" t="s">
        <v>622</v>
      </c>
      <c r="D1428" s="2" t="s">
        <v>623</v>
      </c>
      <c r="E1428" s="2" t="s">
        <v>46</v>
      </c>
      <c r="F1428" s="3">
        <v>375</v>
      </c>
      <c r="G1428" s="4">
        <v>60</v>
      </c>
      <c r="H1428" s="5">
        <v>0</v>
      </c>
    </row>
    <row r="1429" spans="1:8" x14ac:dyDescent="0.35">
      <c r="A1429" s="2" t="s">
        <v>747</v>
      </c>
      <c r="B1429" s="2" t="s">
        <v>611</v>
      </c>
      <c r="C1429" s="2" t="s">
        <v>680</v>
      </c>
      <c r="D1429" s="2" t="s">
        <v>681</v>
      </c>
      <c r="E1429" s="2" t="s">
        <v>180</v>
      </c>
      <c r="F1429" s="3">
        <v>130</v>
      </c>
      <c r="G1429" s="4">
        <v>60</v>
      </c>
      <c r="H1429" s="5">
        <v>0</v>
      </c>
    </row>
    <row r="1430" spans="1:8" x14ac:dyDescent="0.35">
      <c r="A1430" s="2" t="s">
        <v>747</v>
      </c>
      <c r="B1430" s="2" t="s">
        <v>611</v>
      </c>
      <c r="C1430" s="2" t="s">
        <v>629</v>
      </c>
      <c r="D1430" s="2" t="s">
        <v>630</v>
      </c>
      <c r="E1430" s="2" t="s">
        <v>300</v>
      </c>
      <c r="F1430" s="3">
        <v>55</v>
      </c>
      <c r="G1430" s="4">
        <v>24</v>
      </c>
      <c r="H1430" s="5">
        <v>0</v>
      </c>
    </row>
    <row r="1431" spans="1:8" x14ac:dyDescent="0.35">
      <c r="A1431" s="2" t="s">
        <v>747</v>
      </c>
      <c r="B1431" s="2" t="s">
        <v>611</v>
      </c>
      <c r="C1431" s="2" t="s">
        <v>631</v>
      </c>
      <c r="D1431" s="2" t="s">
        <v>632</v>
      </c>
      <c r="E1431" s="2" t="s">
        <v>322</v>
      </c>
      <c r="F1431" s="3">
        <v>40.1</v>
      </c>
      <c r="G1431" s="4">
        <v>60</v>
      </c>
      <c r="H1431" s="5">
        <v>0</v>
      </c>
    </row>
    <row r="1432" spans="1:8" x14ac:dyDescent="0.35">
      <c r="A1432" s="2" t="s">
        <v>747</v>
      </c>
      <c r="B1432" s="2" t="s">
        <v>611</v>
      </c>
      <c r="C1432" s="2" t="s">
        <v>633</v>
      </c>
      <c r="D1432" s="2" t="s">
        <v>634</v>
      </c>
      <c r="E1432" s="2" t="s">
        <v>635</v>
      </c>
      <c r="F1432" s="3">
        <v>14</v>
      </c>
      <c r="G1432" s="4">
        <v>12</v>
      </c>
      <c r="H1432" s="5">
        <v>0</v>
      </c>
    </row>
    <row r="1433" spans="1:8" x14ac:dyDescent="0.35">
      <c r="A1433" s="2" t="s">
        <v>747</v>
      </c>
      <c r="B1433" s="2" t="s">
        <v>611</v>
      </c>
      <c r="C1433" s="2" t="s">
        <v>636</v>
      </c>
      <c r="D1433" s="2" t="s">
        <v>637</v>
      </c>
      <c r="E1433" s="2" t="s">
        <v>638</v>
      </c>
      <c r="F1433" s="3">
        <v>12</v>
      </c>
      <c r="G1433" s="4">
        <v>12</v>
      </c>
      <c r="H1433" s="5">
        <v>0</v>
      </c>
    </row>
    <row r="1434" spans="1:8" x14ac:dyDescent="0.35">
      <c r="A1434" s="2" t="s">
        <v>747</v>
      </c>
      <c r="B1434" s="2" t="s">
        <v>611</v>
      </c>
      <c r="C1434" s="2" t="s">
        <v>657</v>
      </c>
      <c r="D1434" s="2" t="s">
        <v>658</v>
      </c>
      <c r="E1434" s="2" t="s">
        <v>659</v>
      </c>
      <c r="F1434" s="3">
        <v>15</v>
      </c>
      <c r="G1434" s="4">
        <v>24</v>
      </c>
      <c r="H1434" s="5">
        <v>0</v>
      </c>
    </row>
    <row r="1435" spans="1:8" x14ac:dyDescent="0.35">
      <c r="A1435" s="2" t="s">
        <v>747</v>
      </c>
      <c r="B1435" s="2" t="s">
        <v>611</v>
      </c>
      <c r="C1435" s="2" t="s">
        <v>639</v>
      </c>
      <c r="D1435" s="2" t="s">
        <v>640</v>
      </c>
      <c r="E1435" s="2" t="s">
        <v>641</v>
      </c>
      <c r="F1435" s="3">
        <v>13</v>
      </c>
      <c r="G1435" s="4">
        <v>12</v>
      </c>
      <c r="H1435" s="5">
        <v>0</v>
      </c>
    </row>
    <row r="1436" spans="1:8" x14ac:dyDescent="0.35">
      <c r="A1436" s="2" t="s">
        <v>747</v>
      </c>
      <c r="B1436" s="2" t="s">
        <v>611</v>
      </c>
      <c r="C1436" s="2" t="s">
        <v>682</v>
      </c>
      <c r="D1436" s="2" t="s">
        <v>683</v>
      </c>
      <c r="E1436" s="2" t="s">
        <v>684</v>
      </c>
      <c r="F1436" s="3">
        <v>19</v>
      </c>
      <c r="G1436" s="4">
        <v>12</v>
      </c>
      <c r="H1436" s="5">
        <v>0</v>
      </c>
    </row>
    <row r="1437" spans="1:8" x14ac:dyDescent="0.35">
      <c r="A1437" s="2" t="s">
        <v>747</v>
      </c>
      <c r="B1437" s="2" t="s">
        <v>611</v>
      </c>
      <c r="C1437" s="2" t="s">
        <v>714</v>
      </c>
      <c r="D1437" s="2" t="s">
        <v>686</v>
      </c>
      <c r="E1437" s="2" t="s">
        <v>303</v>
      </c>
      <c r="F1437" s="3">
        <v>32</v>
      </c>
      <c r="G1437" s="4">
        <v>24</v>
      </c>
      <c r="H1437" s="5">
        <v>0</v>
      </c>
    </row>
    <row r="1438" spans="1:8" x14ac:dyDescent="0.35">
      <c r="A1438" s="2" t="s">
        <v>747</v>
      </c>
      <c r="B1438" s="2" t="s">
        <v>611</v>
      </c>
      <c r="C1438" s="2" t="s">
        <v>660</v>
      </c>
      <c r="D1438" s="2" t="s">
        <v>661</v>
      </c>
      <c r="E1438" s="2" t="s">
        <v>303</v>
      </c>
      <c r="F1438" s="3">
        <v>13.5</v>
      </c>
      <c r="G1438" s="4">
        <v>12</v>
      </c>
      <c r="H1438" s="5">
        <v>0</v>
      </c>
    </row>
    <row r="1439" spans="1:8" x14ac:dyDescent="0.35">
      <c r="A1439" s="2" t="s">
        <v>747</v>
      </c>
      <c r="B1439" s="2" t="s">
        <v>611</v>
      </c>
      <c r="C1439" s="2" t="s">
        <v>647</v>
      </c>
      <c r="D1439" s="2" t="s">
        <v>648</v>
      </c>
      <c r="E1439" s="2" t="s">
        <v>535</v>
      </c>
      <c r="F1439" s="3">
        <v>16.5</v>
      </c>
      <c r="G1439" s="4">
        <v>12</v>
      </c>
      <c r="H1439" s="5">
        <v>0</v>
      </c>
    </row>
    <row r="1440" spans="1:8" x14ac:dyDescent="0.35">
      <c r="A1440" s="2" t="s">
        <v>747</v>
      </c>
      <c r="B1440" s="2" t="s">
        <v>611</v>
      </c>
      <c r="C1440" s="2" t="s">
        <v>651</v>
      </c>
      <c r="D1440" s="2" t="s">
        <v>652</v>
      </c>
      <c r="E1440" s="2" t="s">
        <v>136</v>
      </c>
      <c r="F1440" s="3">
        <v>33</v>
      </c>
      <c r="G1440" s="4">
        <v>6</v>
      </c>
      <c r="H1440" s="5">
        <v>0</v>
      </c>
    </row>
    <row r="1441" spans="1:8" x14ac:dyDescent="0.35">
      <c r="A1441" s="2" t="s">
        <v>747</v>
      </c>
      <c r="B1441" s="2" t="s">
        <v>611</v>
      </c>
      <c r="C1441" s="2" t="s">
        <v>653</v>
      </c>
      <c r="D1441" s="2" t="s">
        <v>654</v>
      </c>
      <c r="E1441" s="2" t="s">
        <v>190</v>
      </c>
      <c r="F1441" s="3">
        <v>0.75</v>
      </c>
      <c r="G1441" s="4">
        <v>1</v>
      </c>
      <c r="H1441" s="5">
        <v>0</v>
      </c>
    </row>
    <row r="1442" spans="1:8" x14ac:dyDescent="0.35">
      <c r="A1442" s="2" t="s">
        <v>747</v>
      </c>
      <c r="B1442" s="2" t="s">
        <v>611</v>
      </c>
      <c r="C1442" s="2" t="s">
        <v>687</v>
      </c>
      <c r="D1442" s="2" t="s">
        <v>473</v>
      </c>
      <c r="E1442" s="2" t="s">
        <v>473</v>
      </c>
      <c r="F1442" s="3">
        <v>525</v>
      </c>
      <c r="G1442" s="4">
        <v>36</v>
      </c>
      <c r="H1442" s="5">
        <v>0</v>
      </c>
    </row>
    <row r="1443" spans="1:8" x14ac:dyDescent="0.35">
      <c r="A1443" s="2" t="s">
        <v>747</v>
      </c>
      <c r="B1443" s="2" t="s">
        <v>611</v>
      </c>
      <c r="C1443" s="2" t="s">
        <v>688</v>
      </c>
      <c r="D1443" s="2" t="s">
        <v>689</v>
      </c>
      <c r="E1443" s="2" t="s">
        <v>690</v>
      </c>
      <c r="F1443" s="3">
        <v>450</v>
      </c>
      <c r="G1443" s="4">
        <v>36</v>
      </c>
      <c r="H1443" s="5">
        <v>0</v>
      </c>
    </row>
    <row r="1444" spans="1:8" x14ac:dyDescent="0.35">
      <c r="A1444" s="2" t="s">
        <v>748</v>
      </c>
      <c r="B1444" s="2" t="s">
        <v>749</v>
      </c>
      <c r="C1444" s="2" t="s">
        <v>750</v>
      </c>
      <c r="D1444" s="2" t="s">
        <v>751</v>
      </c>
      <c r="E1444" s="2" t="s">
        <v>434</v>
      </c>
      <c r="F1444" s="3">
        <v>4000</v>
      </c>
      <c r="G1444" s="4">
        <v>12</v>
      </c>
      <c r="H1444" s="5">
        <v>2.5000000000000001E-2</v>
      </c>
    </row>
    <row r="1445" spans="1:8" x14ac:dyDescent="0.35">
      <c r="A1445" s="2" t="s">
        <v>748</v>
      </c>
      <c r="B1445" s="2" t="s">
        <v>749</v>
      </c>
      <c r="C1445" s="2" t="s">
        <v>752</v>
      </c>
      <c r="D1445" s="2" t="s">
        <v>753</v>
      </c>
      <c r="E1445" s="2" t="s">
        <v>189</v>
      </c>
      <c r="F1445" s="3">
        <v>10000</v>
      </c>
      <c r="G1445" s="4">
        <v>12</v>
      </c>
      <c r="H1445" s="5">
        <v>2.5000000000000001E-2</v>
      </c>
    </row>
    <row r="1446" spans="1:8" x14ac:dyDescent="0.35">
      <c r="A1446" s="2" t="s">
        <v>748</v>
      </c>
      <c r="B1446" s="2" t="s">
        <v>749</v>
      </c>
      <c r="C1446" s="2" t="s">
        <v>754</v>
      </c>
      <c r="D1446" s="2" t="s">
        <v>755</v>
      </c>
      <c r="E1446" s="2" t="s">
        <v>756</v>
      </c>
      <c r="F1446" s="3">
        <v>5000</v>
      </c>
      <c r="G1446" s="4">
        <v>12</v>
      </c>
      <c r="H1446" s="5">
        <v>2.5000000000000001E-2</v>
      </c>
    </row>
    <row r="1447" spans="1:8" x14ac:dyDescent="0.35">
      <c r="A1447" s="2" t="s">
        <v>748</v>
      </c>
      <c r="B1447" s="2" t="s">
        <v>749</v>
      </c>
      <c r="C1447" s="2" t="s">
        <v>757</v>
      </c>
      <c r="D1447" s="2" t="s">
        <v>758</v>
      </c>
      <c r="E1447" s="2" t="s">
        <v>92</v>
      </c>
      <c r="F1447" s="3">
        <v>4000</v>
      </c>
      <c r="G1447" s="4">
        <v>12</v>
      </c>
      <c r="H1447" s="5">
        <v>0</v>
      </c>
    </row>
    <row r="1448" spans="1:8" x14ac:dyDescent="0.35">
      <c r="A1448" s="2" t="s">
        <v>748</v>
      </c>
      <c r="B1448" s="2" t="s">
        <v>749</v>
      </c>
      <c r="C1448" s="2" t="s">
        <v>759</v>
      </c>
      <c r="D1448" s="2" t="s">
        <v>760</v>
      </c>
      <c r="E1448" s="2" t="s">
        <v>46</v>
      </c>
      <c r="F1448" s="3">
        <v>4000</v>
      </c>
      <c r="G1448" s="4">
        <v>12</v>
      </c>
      <c r="H1448" s="5">
        <v>2.5000000000000001E-2</v>
      </c>
    </row>
    <row r="1449" spans="1:8" x14ac:dyDescent="0.35">
      <c r="A1449" s="2" t="s">
        <v>748</v>
      </c>
      <c r="B1449" s="2" t="s">
        <v>749</v>
      </c>
      <c r="C1449" s="2" t="s">
        <v>761</v>
      </c>
      <c r="D1449" s="2" t="s">
        <v>762</v>
      </c>
      <c r="E1449" s="2" t="s">
        <v>92</v>
      </c>
      <c r="F1449" s="3">
        <v>5280</v>
      </c>
      <c r="G1449" s="4">
        <v>12</v>
      </c>
      <c r="H1449" s="5">
        <v>0</v>
      </c>
    </row>
    <row r="1450" spans="1:8" x14ac:dyDescent="0.35">
      <c r="A1450" s="2" t="s">
        <v>748</v>
      </c>
      <c r="B1450" s="2" t="s">
        <v>749</v>
      </c>
      <c r="C1450" s="2" t="s">
        <v>763</v>
      </c>
      <c r="D1450" s="2" t="s">
        <v>764</v>
      </c>
      <c r="E1450" s="2" t="s">
        <v>226</v>
      </c>
      <c r="F1450" s="3">
        <v>6000</v>
      </c>
      <c r="G1450" s="4">
        <v>12</v>
      </c>
      <c r="H1450" s="5">
        <v>2.5000000000000001E-2</v>
      </c>
    </row>
    <row r="1451" spans="1:8" x14ac:dyDescent="0.35">
      <c r="A1451" s="2" t="s">
        <v>748</v>
      </c>
      <c r="B1451" s="2" t="s">
        <v>749</v>
      </c>
      <c r="C1451" s="2" t="s">
        <v>765</v>
      </c>
      <c r="D1451" s="2" t="s">
        <v>766</v>
      </c>
      <c r="E1451" s="2" t="s">
        <v>603</v>
      </c>
      <c r="F1451" s="3">
        <v>5000</v>
      </c>
      <c r="G1451" s="4">
        <v>12</v>
      </c>
      <c r="H1451" s="5">
        <v>2.5000000000000001E-2</v>
      </c>
    </row>
    <row r="1452" spans="1:8" x14ac:dyDescent="0.35">
      <c r="A1452" s="2" t="s">
        <v>748</v>
      </c>
      <c r="B1452" s="2" t="s">
        <v>749</v>
      </c>
      <c r="C1452" s="2" t="s">
        <v>757</v>
      </c>
      <c r="D1452" s="2" t="s">
        <v>758</v>
      </c>
      <c r="E1452" s="2" t="s">
        <v>92</v>
      </c>
      <c r="F1452" s="3">
        <v>6000</v>
      </c>
      <c r="G1452" s="4">
        <v>12</v>
      </c>
      <c r="H1452" s="5">
        <v>0</v>
      </c>
    </row>
    <row r="1453" spans="1:8" x14ac:dyDescent="0.35">
      <c r="A1453" s="2" t="s">
        <v>748</v>
      </c>
      <c r="B1453" s="2" t="s">
        <v>749</v>
      </c>
      <c r="C1453" s="2" t="s">
        <v>767</v>
      </c>
      <c r="D1453" s="2" t="s">
        <v>768</v>
      </c>
      <c r="E1453" s="2" t="s">
        <v>147</v>
      </c>
      <c r="F1453" s="3">
        <v>5000</v>
      </c>
      <c r="G1453" s="4">
        <v>12</v>
      </c>
      <c r="H1453" s="5">
        <v>2.5000000000000001E-2</v>
      </c>
    </row>
    <row r="1454" spans="1:8" x14ac:dyDescent="0.35">
      <c r="A1454" s="2" t="s">
        <v>748</v>
      </c>
      <c r="B1454" s="2" t="s">
        <v>749</v>
      </c>
      <c r="C1454" s="2" t="s">
        <v>769</v>
      </c>
      <c r="D1454" s="2" t="s">
        <v>770</v>
      </c>
      <c r="E1454" s="2" t="s">
        <v>260</v>
      </c>
      <c r="F1454" s="3">
        <v>12000</v>
      </c>
      <c r="G1454" s="4">
        <v>12</v>
      </c>
      <c r="H1454" s="5">
        <v>2.5000000000000001E-2</v>
      </c>
    </row>
    <row r="1455" spans="1:8" x14ac:dyDescent="0.35">
      <c r="A1455" s="2" t="s">
        <v>748</v>
      </c>
      <c r="B1455" s="2" t="s">
        <v>749</v>
      </c>
      <c r="C1455" s="2" t="s">
        <v>761</v>
      </c>
      <c r="D1455" s="2" t="s">
        <v>762</v>
      </c>
      <c r="E1455" s="2" t="s">
        <v>92</v>
      </c>
      <c r="F1455" s="3">
        <v>5280</v>
      </c>
      <c r="G1455" s="4">
        <v>12</v>
      </c>
      <c r="H1455" s="5">
        <v>0</v>
      </c>
    </row>
    <row r="1456" spans="1:8" x14ac:dyDescent="0.35">
      <c r="A1456" s="2" t="s">
        <v>748</v>
      </c>
      <c r="B1456" s="2" t="s">
        <v>749</v>
      </c>
      <c r="C1456" s="2" t="s">
        <v>771</v>
      </c>
      <c r="D1456" s="2" t="s">
        <v>772</v>
      </c>
      <c r="E1456" s="2" t="s">
        <v>69</v>
      </c>
      <c r="F1456" s="3">
        <v>2400</v>
      </c>
      <c r="G1456" s="4">
        <v>12</v>
      </c>
      <c r="H1456" s="5">
        <v>0</v>
      </c>
    </row>
    <row r="1457" spans="1:8" x14ac:dyDescent="0.35">
      <c r="A1457" s="2" t="s">
        <v>748</v>
      </c>
      <c r="B1457" s="2" t="s">
        <v>749</v>
      </c>
      <c r="C1457" s="2" t="s">
        <v>773</v>
      </c>
      <c r="D1457" s="2" t="s">
        <v>774</v>
      </c>
      <c r="E1457" s="2" t="s">
        <v>412</v>
      </c>
      <c r="F1457" s="3">
        <v>12000</v>
      </c>
      <c r="G1457" s="4">
        <v>12</v>
      </c>
      <c r="H1457" s="5">
        <v>2.5000000000000001E-2</v>
      </c>
    </row>
    <row r="1458" spans="1:8" x14ac:dyDescent="0.35">
      <c r="A1458" s="2" t="s">
        <v>748</v>
      </c>
      <c r="B1458" s="2" t="s">
        <v>749</v>
      </c>
      <c r="C1458" s="2" t="s">
        <v>775</v>
      </c>
      <c r="D1458" s="2" t="s">
        <v>776</v>
      </c>
      <c r="E1458" s="2" t="s">
        <v>777</v>
      </c>
      <c r="F1458" s="3">
        <v>1900</v>
      </c>
      <c r="G1458" s="4">
        <v>12</v>
      </c>
      <c r="H1458" s="5">
        <v>2.5000000000000001E-2</v>
      </c>
    </row>
    <row r="1459" spans="1:8" x14ac:dyDescent="0.35">
      <c r="A1459" s="2" t="s">
        <v>748</v>
      </c>
      <c r="B1459" s="2" t="s">
        <v>749</v>
      </c>
      <c r="C1459" s="2" t="s">
        <v>761</v>
      </c>
      <c r="D1459" s="2" t="s">
        <v>762</v>
      </c>
      <c r="E1459" s="2" t="s">
        <v>92</v>
      </c>
      <c r="F1459" s="3">
        <v>550</v>
      </c>
      <c r="G1459" s="4">
        <v>12</v>
      </c>
      <c r="H1459" s="5">
        <v>0</v>
      </c>
    </row>
    <row r="1460" spans="1:8" x14ac:dyDescent="0.35">
      <c r="A1460" s="2" t="s">
        <v>748</v>
      </c>
      <c r="B1460" s="2" t="s">
        <v>749</v>
      </c>
      <c r="C1460" s="2" t="s">
        <v>778</v>
      </c>
      <c r="D1460" s="2" t="s">
        <v>779</v>
      </c>
      <c r="E1460" s="2" t="s">
        <v>780</v>
      </c>
      <c r="F1460" s="3">
        <v>1899.9</v>
      </c>
      <c r="G1460" s="4">
        <v>12</v>
      </c>
      <c r="H1460" s="5">
        <v>2.5000000000000001E-2</v>
      </c>
    </row>
    <row r="1461" spans="1:8" x14ac:dyDescent="0.35">
      <c r="A1461" s="2" t="s">
        <v>748</v>
      </c>
      <c r="B1461" s="2" t="s">
        <v>749</v>
      </c>
      <c r="C1461" s="2" t="s">
        <v>781</v>
      </c>
      <c r="D1461" s="2" t="s">
        <v>782</v>
      </c>
      <c r="E1461" s="2" t="s">
        <v>92</v>
      </c>
      <c r="F1461" s="3">
        <v>1100</v>
      </c>
      <c r="G1461" s="4">
        <v>12</v>
      </c>
      <c r="H1461" s="5">
        <v>0</v>
      </c>
    </row>
    <row r="1462" spans="1:8" x14ac:dyDescent="0.35">
      <c r="A1462" s="2" t="s">
        <v>748</v>
      </c>
      <c r="B1462" s="2" t="s">
        <v>749</v>
      </c>
      <c r="C1462" s="2" t="s">
        <v>761</v>
      </c>
      <c r="D1462" s="2" t="s">
        <v>762</v>
      </c>
      <c r="E1462" s="2" t="s">
        <v>92</v>
      </c>
      <c r="F1462" s="3">
        <v>550</v>
      </c>
      <c r="G1462" s="4">
        <v>12</v>
      </c>
      <c r="H1462" s="5">
        <v>0</v>
      </c>
    </row>
    <row r="1463" spans="1:8" x14ac:dyDescent="0.35">
      <c r="A1463" s="2" t="s">
        <v>748</v>
      </c>
      <c r="B1463" s="2" t="s">
        <v>749</v>
      </c>
      <c r="C1463" s="2" t="s">
        <v>783</v>
      </c>
      <c r="D1463" s="2" t="s">
        <v>784</v>
      </c>
      <c r="E1463" s="2" t="s">
        <v>260</v>
      </c>
      <c r="F1463" s="3">
        <v>5000</v>
      </c>
      <c r="G1463" s="4">
        <v>12</v>
      </c>
      <c r="H1463" s="5">
        <v>2.5000000000000001E-2</v>
      </c>
    </row>
    <row r="1464" spans="1:8" x14ac:dyDescent="0.35">
      <c r="A1464" s="2" t="s">
        <v>748</v>
      </c>
      <c r="B1464" s="2" t="s">
        <v>510</v>
      </c>
      <c r="C1464" s="2" t="s">
        <v>750</v>
      </c>
      <c r="D1464" s="2" t="s">
        <v>751</v>
      </c>
      <c r="E1464" s="2" t="s">
        <v>434</v>
      </c>
      <c r="F1464" s="3">
        <v>20480</v>
      </c>
      <c r="G1464" s="4">
        <v>36</v>
      </c>
      <c r="H1464" s="5">
        <v>0</v>
      </c>
    </row>
    <row r="1465" spans="1:8" x14ac:dyDescent="0.35">
      <c r="A1465" s="2" t="s">
        <v>748</v>
      </c>
      <c r="B1465" s="2" t="s">
        <v>510</v>
      </c>
      <c r="C1465" s="2" t="s">
        <v>752</v>
      </c>
      <c r="D1465" s="2" t="s">
        <v>753</v>
      </c>
      <c r="E1465" s="2" t="s">
        <v>189</v>
      </c>
      <c r="F1465" s="3">
        <v>35840</v>
      </c>
      <c r="G1465" s="4">
        <v>24</v>
      </c>
      <c r="H1465" s="5">
        <v>0</v>
      </c>
    </row>
    <row r="1466" spans="1:8" x14ac:dyDescent="0.35">
      <c r="A1466" s="2" t="s">
        <v>748</v>
      </c>
      <c r="B1466" s="2" t="s">
        <v>510</v>
      </c>
      <c r="C1466" s="2" t="s">
        <v>754</v>
      </c>
      <c r="D1466" s="2" t="s">
        <v>755</v>
      </c>
      <c r="E1466" s="2" t="s">
        <v>756</v>
      </c>
      <c r="F1466" s="3">
        <v>4480</v>
      </c>
      <c r="G1466" s="4">
        <v>24</v>
      </c>
      <c r="H1466" s="5">
        <v>0</v>
      </c>
    </row>
    <row r="1467" spans="1:8" x14ac:dyDescent="0.35">
      <c r="A1467" s="2" t="s">
        <v>748</v>
      </c>
      <c r="B1467" s="2" t="s">
        <v>510</v>
      </c>
      <c r="C1467" s="2" t="s">
        <v>757</v>
      </c>
      <c r="D1467" s="2" t="s">
        <v>758</v>
      </c>
      <c r="E1467" s="2" t="s">
        <v>92</v>
      </c>
      <c r="F1467" s="3">
        <v>1216</v>
      </c>
      <c r="G1467" s="4">
        <v>12</v>
      </c>
      <c r="H1467" s="5">
        <v>0</v>
      </c>
    </row>
    <row r="1468" spans="1:8" x14ac:dyDescent="0.35">
      <c r="A1468" s="2" t="s">
        <v>748</v>
      </c>
      <c r="B1468" s="2" t="s">
        <v>510</v>
      </c>
      <c r="C1468" s="2" t="s">
        <v>759</v>
      </c>
      <c r="D1468" s="2" t="s">
        <v>760</v>
      </c>
      <c r="E1468" s="2" t="s">
        <v>46</v>
      </c>
      <c r="F1468" s="3">
        <v>4480</v>
      </c>
      <c r="G1468" s="4">
        <v>24</v>
      </c>
      <c r="H1468" s="5">
        <v>0</v>
      </c>
    </row>
    <row r="1469" spans="1:8" x14ac:dyDescent="0.35">
      <c r="A1469" s="2" t="s">
        <v>748</v>
      </c>
      <c r="B1469" s="2" t="s">
        <v>510</v>
      </c>
      <c r="C1469" s="2" t="s">
        <v>761</v>
      </c>
      <c r="D1469" s="2" t="s">
        <v>762</v>
      </c>
      <c r="E1469" s="2" t="s">
        <v>92</v>
      </c>
      <c r="F1469" s="3">
        <v>1216</v>
      </c>
      <c r="G1469" s="4">
        <v>12</v>
      </c>
      <c r="H1469" s="5">
        <v>0</v>
      </c>
    </row>
    <row r="1470" spans="1:8" x14ac:dyDescent="0.35">
      <c r="A1470" s="2" t="s">
        <v>748</v>
      </c>
      <c r="B1470" s="2" t="s">
        <v>510</v>
      </c>
      <c r="C1470" s="2" t="s">
        <v>763</v>
      </c>
      <c r="D1470" s="2" t="s">
        <v>764</v>
      </c>
      <c r="E1470" s="2" t="s">
        <v>226</v>
      </c>
      <c r="F1470" s="3">
        <v>5760</v>
      </c>
      <c r="G1470" s="4">
        <v>36</v>
      </c>
      <c r="H1470" s="5">
        <v>0</v>
      </c>
    </row>
    <row r="1471" spans="1:8" x14ac:dyDescent="0.35">
      <c r="A1471" s="2" t="s">
        <v>748</v>
      </c>
      <c r="B1471" s="2" t="s">
        <v>510</v>
      </c>
      <c r="C1471" s="2" t="s">
        <v>765</v>
      </c>
      <c r="D1471" s="2" t="s">
        <v>766</v>
      </c>
      <c r="E1471" s="2" t="s">
        <v>603</v>
      </c>
      <c r="F1471" s="3">
        <v>4480</v>
      </c>
      <c r="G1471" s="4">
        <v>24</v>
      </c>
      <c r="H1471" s="5">
        <v>0</v>
      </c>
    </row>
    <row r="1472" spans="1:8" x14ac:dyDescent="0.35">
      <c r="A1472" s="2" t="s">
        <v>748</v>
      </c>
      <c r="B1472" s="2" t="s">
        <v>510</v>
      </c>
      <c r="C1472" s="2" t="s">
        <v>757</v>
      </c>
      <c r="D1472" s="2" t="s">
        <v>758</v>
      </c>
      <c r="E1472" s="2" t="s">
        <v>92</v>
      </c>
      <c r="F1472" s="3">
        <v>1216</v>
      </c>
      <c r="G1472" s="4">
        <v>12</v>
      </c>
      <c r="H1472" s="5">
        <v>0</v>
      </c>
    </row>
    <row r="1473" spans="1:8" x14ac:dyDescent="0.35">
      <c r="A1473" s="2" t="s">
        <v>748</v>
      </c>
      <c r="B1473" s="2" t="s">
        <v>510</v>
      </c>
      <c r="C1473" s="2" t="s">
        <v>767</v>
      </c>
      <c r="D1473" s="2" t="s">
        <v>768</v>
      </c>
      <c r="E1473" s="2" t="s">
        <v>147</v>
      </c>
      <c r="F1473" s="3">
        <v>2432</v>
      </c>
      <c r="G1473" s="4">
        <v>36</v>
      </c>
      <c r="H1473" s="5">
        <v>0</v>
      </c>
    </row>
    <row r="1474" spans="1:8" x14ac:dyDescent="0.35">
      <c r="A1474" s="2" t="s">
        <v>748</v>
      </c>
      <c r="B1474" s="2" t="s">
        <v>510</v>
      </c>
      <c r="C1474" s="2" t="s">
        <v>769</v>
      </c>
      <c r="D1474" s="2" t="s">
        <v>770</v>
      </c>
      <c r="E1474" s="2" t="s">
        <v>260</v>
      </c>
      <c r="F1474" s="3">
        <v>44800</v>
      </c>
      <c r="G1474" s="4">
        <v>36</v>
      </c>
      <c r="H1474" s="5">
        <v>0</v>
      </c>
    </row>
    <row r="1475" spans="1:8" x14ac:dyDescent="0.35">
      <c r="A1475" s="2" t="s">
        <v>748</v>
      </c>
      <c r="B1475" s="2" t="s">
        <v>510</v>
      </c>
      <c r="C1475" s="2" t="s">
        <v>761</v>
      </c>
      <c r="D1475" s="2" t="s">
        <v>762</v>
      </c>
      <c r="E1475" s="2" t="s">
        <v>92</v>
      </c>
      <c r="F1475" s="3">
        <v>1216</v>
      </c>
      <c r="G1475" s="4">
        <v>12</v>
      </c>
      <c r="H1475" s="5">
        <v>0</v>
      </c>
    </row>
    <row r="1476" spans="1:8" x14ac:dyDescent="0.35">
      <c r="A1476" s="2" t="s">
        <v>748</v>
      </c>
      <c r="B1476" s="2" t="s">
        <v>510</v>
      </c>
      <c r="C1476" s="2" t="s">
        <v>771</v>
      </c>
      <c r="D1476" s="2" t="s">
        <v>772</v>
      </c>
      <c r="E1476" s="2" t="s">
        <v>69</v>
      </c>
      <c r="F1476" s="3">
        <v>2048</v>
      </c>
      <c r="G1476" s="4">
        <v>24</v>
      </c>
      <c r="H1476" s="5">
        <v>0</v>
      </c>
    </row>
    <row r="1477" spans="1:8" x14ac:dyDescent="0.35">
      <c r="A1477" s="2" t="s">
        <v>748</v>
      </c>
      <c r="B1477" s="2" t="s">
        <v>510</v>
      </c>
      <c r="C1477" s="2" t="s">
        <v>773</v>
      </c>
      <c r="D1477" s="2" t="s">
        <v>774</v>
      </c>
      <c r="E1477" s="2" t="s">
        <v>412</v>
      </c>
      <c r="F1477" s="3">
        <v>19200</v>
      </c>
      <c r="G1477" s="4">
        <v>36</v>
      </c>
      <c r="H1477" s="5">
        <v>0</v>
      </c>
    </row>
    <row r="1478" spans="1:8" x14ac:dyDescent="0.35">
      <c r="A1478" s="2" t="s">
        <v>748</v>
      </c>
      <c r="B1478" s="2" t="s">
        <v>510</v>
      </c>
      <c r="C1478" s="2" t="s">
        <v>775</v>
      </c>
      <c r="D1478" s="2" t="s">
        <v>776</v>
      </c>
      <c r="E1478" s="2" t="s">
        <v>777</v>
      </c>
      <c r="F1478" s="3">
        <v>3840</v>
      </c>
      <c r="G1478" s="4">
        <v>36</v>
      </c>
      <c r="H1478" s="5">
        <v>0</v>
      </c>
    </row>
    <row r="1479" spans="1:8" x14ac:dyDescent="0.35">
      <c r="A1479" s="2" t="s">
        <v>748</v>
      </c>
      <c r="B1479" s="2" t="s">
        <v>510</v>
      </c>
      <c r="C1479" s="2" t="s">
        <v>761</v>
      </c>
      <c r="D1479" s="2" t="s">
        <v>762</v>
      </c>
      <c r="E1479" s="2" t="s">
        <v>92</v>
      </c>
      <c r="F1479" s="3">
        <v>1216</v>
      </c>
      <c r="G1479" s="4">
        <v>12</v>
      </c>
      <c r="H1479" s="5">
        <v>0</v>
      </c>
    </row>
    <row r="1480" spans="1:8" x14ac:dyDescent="0.35">
      <c r="A1480" s="2" t="s">
        <v>748</v>
      </c>
      <c r="B1480" s="2" t="s">
        <v>510</v>
      </c>
      <c r="C1480" s="2" t="s">
        <v>778</v>
      </c>
      <c r="D1480" s="2" t="s">
        <v>779</v>
      </c>
      <c r="E1480" s="2" t="s">
        <v>780</v>
      </c>
      <c r="F1480" s="3">
        <v>3200</v>
      </c>
      <c r="G1480" s="4">
        <v>36</v>
      </c>
      <c r="H1480" s="5">
        <v>0</v>
      </c>
    </row>
    <row r="1481" spans="1:8" x14ac:dyDescent="0.35">
      <c r="A1481" s="2" t="s">
        <v>748</v>
      </c>
      <c r="B1481" s="2" t="s">
        <v>510</v>
      </c>
      <c r="C1481" s="2" t="s">
        <v>781</v>
      </c>
      <c r="D1481" s="2" t="s">
        <v>782</v>
      </c>
      <c r="E1481" s="2" t="s">
        <v>92</v>
      </c>
      <c r="F1481" s="3">
        <v>1216</v>
      </c>
      <c r="G1481" s="4">
        <v>12</v>
      </c>
      <c r="H1481" s="5">
        <v>0</v>
      </c>
    </row>
    <row r="1482" spans="1:8" x14ac:dyDescent="0.35">
      <c r="A1482" s="2" t="s">
        <v>748</v>
      </c>
      <c r="B1482" s="2" t="s">
        <v>510</v>
      </c>
      <c r="C1482" s="2" t="s">
        <v>761</v>
      </c>
      <c r="D1482" s="2" t="s">
        <v>762</v>
      </c>
      <c r="E1482" s="2" t="s">
        <v>92</v>
      </c>
      <c r="F1482" s="3">
        <v>1216</v>
      </c>
      <c r="G1482" s="4">
        <v>12</v>
      </c>
      <c r="H1482" s="5">
        <v>0</v>
      </c>
    </row>
    <row r="1483" spans="1:8" x14ac:dyDescent="0.35">
      <c r="A1483" s="2" t="s">
        <v>748</v>
      </c>
      <c r="B1483" s="2" t="s">
        <v>510</v>
      </c>
      <c r="C1483" s="2" t="s">
        <v>783</v>
      </c>
      <c r="D1483" s="2" t="s">
        <v>784</v>
      </c>
      <c r="E1483" s="2" t="s">
        <v>260</v>
      </c>
      <c r="F1483" s="3">
        <v>19200</v>
      </c>
      <c r="G1483" s="4">
        <v>36</v>
      </c>
      <c r="H1483" s="5">
        <v>0</v>
      </c>
    </row>
    <row r="1484" spans="1:8" x14ac:dyDescent="0.35">
      <c r="A1484" s="2" t="s">
        <v>748</v>
      </c>
      <c r="B1484" s="2" t="s">
        <v>785</v>
      </c>
      <c r="C1484" s="2" t="s">
        <v>750</v>
      </c>
      <c r="D1484" s="2" t="s">
        <v>751</v>
      </c>
      <c r="E1484" s="2" t="s">
        <v>434</v>
      </c>
      <c r="F1484" s="3">
        <v>3900</v>
      </c>
      <c r="G1484" s="4">
        <v>12</v>
      </c>
      <c r="H1484" s="5">
        <v>7.4999999999999997E-3</v>
      </c>
    </row>
    <row r="1485" spans="1:8" x14ac:dyDescent="0.35">
      <c r="A1485" s="2" t="s">
        <v>748</v>
      </c>
      <c r="B1485" s="2" t="s">
        <v>785</v>
      </c>
      <c r="C1485" s="2" t="s">
        <v>752</v>
      </c>
      <c r="D1485" s="2" t="s">
        <v>753</v>
      </c>
      <c r="E1485" s="2" t="s">
        <v>189</v>
      </c>
      <c r="F1485" s="3">
        <v>30000</v>
      </c>
      <c r="G1485" s="4">
        <v>12</v>
      </c>
      <c r="H1485" s="5">
        <v>7.4999999999999997E-3</v>
      </c>
    </row>
    <row r="1486" spans="1:8" x14ac:dyDescent="0.35">
      <c r="A1486" s="2" t="s">
        <v>748</v>
      </c>
      <c r="B1486" s="2" t="s">
        <v>785</v>
      </c>
      <c r="C1486" s="2" t="s">
        <v>754</v>
      </c>
      <c r="D1486" s="2" t="s">
        <v>755</v>
      </c>
      <c r="E1486" s="2" t="s">
        <v>756</v>
      </c>
      <c r="F1486" s="3">
        <v>2100</v>
      </c>
      <c r="G1486" s="4">
        <v>12</v>
      </c>
      <c r="H1486" s="5">
        <v>7.4999999999999997E-3</v>
      </c>
    </row>
    <row r="1487" spans="1:8" x14ac:dyDescent="0.35">
      <c r="A1487" s="2" t="s">
        <v>748</v>
      </c>
      <c r="B1487" s="2" t="s">
        <v>785</v>
      </c>
      <c r="C1487" s="2" t="s">
        <v>757</v>
      </c>
      <c r="D1487" s="2" t="s">
        <v>758</v>
      </c>
      <c r="E1487" s="2" t="s">
        <v>92</v>
      </c>
      <c r="F1487" s="3">
        <v>1100</v>
      </c>
      <c r="G1487" s="4">
        <v>12</v>
      </c>
      <c r="H1487" s="5">
        <v>0</v>
      </c>
    </row>
    <row r="1488" spans="1:8" x14ac:dyDescent="0.35">
      <c r="A1488" s="2" t="s">
        <v>748</v>
      </c>
      <c r="B1488" s="2" t="s">
        <v>785</v>
      </c>
      <c r="C1488" s="2" t="s">
        <v>759</v>
      </c>
      <c r="D1488" s="2" t="s">
        <v>760</v>
      </c>
      <c r="E1488" s="2" t="s">
        <v>46</v>
      </c>
      <c r="F1488" s="3">
        <v>3840</v>
      </c>
      <c r="G1488" s="4">
        <v>12</v>
      </c>
      <c r="H1488" s="5">
        <v>7.4999999999999997E-3</v>
      </c>
    </row>
    <row r="1489" spans="1:8" x14ac:dyDescent="0.35">
      <c r="A1489" s="2" t="s">
        <v>748</v>
      </c>
      <c r="B1489" s="2" t="s">
        <v>785</v>
      </c>
      <c r="C1489" s="2" t="s">
        <v>761</v>
      </c>
      <c r="D1489" s="2" t="s">
        <v>762</v>
      </c>
      <c r="E1489" s="2" t="s">
        <v>92</v>
      </c>
      <c r="F1489" s="3">
        <v>550</v>
      </c>
      <c r="G1489" s="4">
        <v>12</v>
      </c>
      <c r="H1489" s="5">
        <v>0</v>
      </c>
    </row>
    <row r="1490" spans="1:8" x14ac:dyDescent="0.35">
      <c r="A1490" s="2" t="s">
        <v>748</v>
      </c>
      <c r="B1490" s="2" t="s">
        <v>785</v>
      </c>
      <c r="C1490" s="2" t="s">
        <v>763</v>
      </c>
      <c r="D1490" s="2" t="s">
        <v>764</v>
      </c>
      <c r="E1490" s="2" t="s">
        <v>226</v>
      </c>
      <c r="F1490" s="3">
        <v>4100</v>
      </c>
      <c r="G1490" s="4">
        <v>12</v>
      </c>
      <c r="H1490" s="5">
        <v>7.4999999999999997E-3</v>
      </c>
    </row>
    <row r="1491" spans="1:8" x14ac:dyDescent="0.35">
      <c r="A1491" s="2" t="s">
        <v>748</v>
      </c>
      <c r="B1491" s="2" t="s">
        <v>785</v>
      </c>
      <c r="C1491" s="2" t="s">
        <v>765</v>
      </c>
      <c r="D1491" s="2" t="s">
        <v>766</v>
      </c>
      <c r="E1491" s="2" t="s">
        <v>603</v>
      </c>
      <c r="F1491" s="3">
        <v>2289</v>
      </c>
      <c r="G1491" s="4">
        <v>12</v>
      </c>
      <c r="H1491" s="5">
        <v>7.4999999999999997E-3</v>
      </c>
    </row>
    <row r="1492" spans="1:8" x14ac:dyDescent="0.35">
      <c r="A1492" s="2" t="s">
        <v>748</v>
      </c>
      <c r="B1492" s="2" t="s">
        <v>785</v>
      </c>
      <c r="C1492" s="2" t="s">
        <v>757</v>
      </c>
      <c r="D1492" s="2" t="s">
        <v>758</v>
      </c>
      <c r="E1492" s="2" t="s">
        <v>92</v>
      </c>
      <c r="F1492" s="3">
        <v>1100</v>
      </c>
      <c r="G1492" s="4">
        <v>12</v>
      </c>
      <c r="H1492" s="5">
        <v>0</v>
      </c>
    </row>
    <row r="1493" spans="1:8" x14ac:dyDescent="0.35">
      <c r="A1493" s="2" t="s">
        <v>748</v>
      </c>
      <c r="B1493" s="2" t="s">
        <v>785</v>
      </c>
      <c r="C1493" s="2" t="s">
        <v>767</v>
      </c>
      <c r="D1493" s="2" t="s">
        <v>768</v>
      </c>
      <c r="E1493" s="2" t="s">
        <v>147</v>
      </c>
      <c r="F1493" s="3">
        <v>1400</v>
      </c>
      <c r="G1493" s="4">
        <v>12</v>
      </c>
      <c r="H1493" s="5">
        <v>7.4999999999999997E-3</v>
      </c>
    </row>
    <row r="1494" spans="1:8" x14ac:dyDescent="0.35">
      <c r="A1494" s="2" t="s">
        <v>748</v>
      </c>
      <c r="B1494" s="2" t="s">
        <v>785</v>
      </c>
      <c r="C1494" s="2" t="s">
        <v>769</v>
      </c>
      <c r="D1494" s="2" t="s">
        <v>770</v>
      </c>
      <c r="E1494" s="2" t="s">
        <v>260</v>
      </c>
      <c r="F1494" s="3">
        <v>32000</v>
      </c>
      <c r="G1494" s="4">
        <v>12</v>
      </c>
      <c r="H1494" s="5">
        <v>7.4999999999999997E-3</v>
      </c>
    </row>
    <row r="1495" spans="1:8" x14ac:dyDescent="0.35">
      <c r="A1495" s="2" t="s">
        <v>748</v>
      </c>
      <c r="B1495" s="2" t="s">
        <v>785</v>
      </c>
      <c r="C1495" s="2" t="s">
        <v>761</v>
      </c>
      <c r="D1495" s="2" t="s">
        <v>762</v>
      </c>
      <c r="E1495" s="2" t="s">
        <v>92</v>
      </c>
      <c r="F1495" s="3">
        <v>550</v>
      </c>
      <c r="G1495" s="4">
        <v>12</v>
      </c>
      <c r="H1495" s="5">
        <v>0</v>
      </c>
    </row>
    <row r="1496" spans="1:8" x14ac:dyDescent="0.35">
      <c r="A1496" s="2" t="s">
        <v>748</v>
      </c>
      <c r="B1496" s="2" t="s">
        <v>785</v>
      </c>
      <c r="C1496" s="2" t="s">
        <v>771</v>
      </c>
      <c r="D1496" s="2" t="s">
        <v>772</v>
      </c>
      <c r="E1496" s="2" t="s">
        <v>69</v>
      </c>
      <c r="F1496" s="3">
        <v>500</v>
      </c>
      <c r="G1496" s="4">
        <v>12</v>
      </c>
      <c r="H1496" s="5">
        <v>0</v>
      </c>
    </row>
    <row r="1497" spans="1:8" x14ac:dyDescent="0.35">
      <c r="A1497" s="2" t="s">
        <v>748</v>
      </c>
      <c r="B1497" s="2" t="s">
        <v>785</v>
      </c>
      <c r="C1497" s="2" t="s">
        <v>773</v>
      </c>
      <c r="D1497" s="2" t="s">
        <v>774</v>
      </c>
      <c r="E1497" s="2" t="s">
        <v>412</v>
      </c>
      <c r="F1497" s="3">
        <v>24000</v>
      </c>
      <c r="G1497" s="4">
        <v>12</v>
      </c>
      <c r="H1497" s="5">
        <v>7.4999999999999997E-3</v>
      </c>
    </row>
    <row r="1498" spans="1:8" x14ac:dyDescent="0.35">
      <c r="A1498" s="2" t="s">
        <v>748</v>
      </c>
      <c r="B1498" s="2" t="s">
        <v>785</v>
      </c>
      <c r="C1498" s="2" t="s">
        <v>775</v>
      </c>
      <c r="D1498" s="2" t="s">
        <v>776</v>
      </c>
      <c r="E1498" s="2" t="s">
        <v>777</v>
      </c>
      <c r="F1498" s="3">
        <v>2800</v>
      </c>
      <c r="G1498" s="4">
        <v>12</v>
      </c>
      <c r="H1498" s="5">
        <v>7.4999999999999997E-3</v>
      </c>
    </row>
    <row r="1499" spans="1:8" x14ac:dyDescent="0.35">
      <c r="A1499" s="2" t="s">
        <v>748</v>
      </c>
      <c r="B1499" s="2" t="s">
        <v>785</v>
      </c>
      <c r="C1499" s="2" t="s">
        <v>761</v>
      </c>
      <c r="D1499" s="2" t="s">
        <v>762</v>
      </c>
      <c r="E1499" s="2" t="s">
        <v>92</v>
      </c>
      <c r="F1499" s="3">
        <v>550</v>
      </c>
      <c r="G1499" s="4">
        <v>12</v>
      </c>
      <c r="H1499" s="5">
        <v>0</v>
      </c>
    </row>
    <row r="1500" spans="1:8" x14ac:dyDescent="0.35">
      <c r="A1500" s="2" t="s">
        <v>748</v>
      </c>
      <c r="B1500" s="2" t="s">
        <v>785</v>
      </c>
      <c r="C1500" s="2" t="s">
        <v>778</v>
      </c>
      <c r="D1500" s="2" t="s">
        <v>779</v>
      </c>
      <c r="E1500" s="2" t="s">
        <v>780</v>
      </c>
      <c r="F1500" s="3">
        <v>1899.9</v>
      </c>
      <c r="G1500" s="4">
        <v>12</v>
      </c>
      <c r="H1500" s="5">
        <v>7.4999999999999997E-3</v>
      </c>
    </row>
    <row r="1501" spans="1:8" x14ac:dyDescent="0.35">
      <c r="A1501" s="2" t="s">
        <v>748</v>
      </c>
      <c r="B1501" s="2" t="s">
        <v>785</v>
      </c>
      <c r="C1501" s="2" t="s">
        <v>781</v>
      </c>
      <c r="D1501" s="2" t="s">
        <v>782</v>
      </c>
      <c r="E1501" s="2" t="s">
        <v>92</v>
      </c>
      <c r="F1501" s="3">
        <v>1100</v>
      </c>
      <c r="G1501" s="4">
        <v>12</v>
      </c>
      <c r="H1501" s="5">
        <v>0</v>
      </c>
    </row>
    <row r="1502" spans="1:8" x14ac:dyDescent="0.35">
      <c r="A1502" s="2" t="s">
        <v>748</v>
      </c>
      <c r="B1502" s="2" t="s">
        <v>785</v>
      </c>
      <c r="C1502" s="2" t="s">
        <v>761</v>
      </c>
      <c r="D1502" s="2" t="s">
        <v>762</v>
      </c>
      <c r="E1502" s="2" t="s">
        <v>92</v>
      </c>
      <c r="F1502" s="3">
        <v>550</v>
      </c>
      <c r="G1502" s="4">
        <v>12</v>
      </c>
      <c r="H1502" s="5">
        <v>0</v>
      </c>
    </row>
    <row r="1503" spans="1:8" x14ac:dyDescent="0.35">
      <c r="A1503" s="2" t="s">
        <v>748</v>
      </c>
      <c r="B1503" s="2" t="s">
        <v>785</v>
      </c>
      <c r="C1503" s="2" t="s">
        <v>783</v>
      </c>
      <c r="D1503" s="2" t="s">
        <v>784</v>
      </c>
      <c r="E1503" s="2" t="s">
        <v>260</v>
      </c>
      <c r="F1503" s="3">
        <v>14000</v>
      </c>
      <c r="G1503" s="4">
        <v>12</v>
      </c>
      <c r="H1503" s="5">
        <v>7.4999999999999997E-3</v>
      </c>
    </row>
    <row r="1504" spans="1:8" x14ac:dyDescent="0.35">
      <c r="A1504" s="2" t="s">
        <v>748</v>
      </c>
      <c r="B1504" s="2" t="s">
        <v>447</v>
      </c>
      <c r="C1504" s="2" t="s">
        <v>750</v>
      </c>
      <c r="D1504" s="2" t="s">
        <v>751</v>
      </c>
      <c r="E1504" s="2" t="s">
        <v>434</v>
      </c>
      <c r="F1504" s="3">
        <v>3500</v>
      </c>
      <c r="G1504" s="4">
        <v>60</v>
      </c>
      <c r="H1504" s="5">
        <v>7.4999999999999997E-3</v>
      </c>
    </row>
    <row r="1505" spans="1:8" x14ac:dyDescent="0.35">
      <c r="A1505" s="2" t="s">
        <v>748</v>
      </c>
      <c r="B1505" s="2" t="s">
        <v>447</v>
      </c>
      <c r="C1505" s="2" t="s">
        <v>752</v>
      </c>
      <c r="D1505" s="2" t="s">
        <v>753</v>
      </c>
      <c r="E1505" s="2" t="s">
        <v>189</v>
      </c>
      <c r="F1505" s="3">
        <v>20000</v>
      </c>
      <c r="G1505" s="4">
        <v>60</v>
      </c>
      <c r="H1505" s="5">
        <v>7.4999999999999997E-3</v>
      </c>
    </row>
    <row r="1506" spans="1:8" x14ac:dyDescent="0.35">
      <c r="A1506" s="2" t="s">
        <v>748</v>
      </c>
      <c r="B1506" s="2" t="s">
        <v>447</v>
      </c>
      <c r="C1506" s="2" t="s">
        <v>754</v>
      </c>
      <c r="D1506" s="2" t="s">
        <v>755</v>
      </c>
      <c r="E1506" s="2" t="s">
        <v>756</v>
      </c>
      <c r="F1506" s="3">
        <v>2100</v>
      </c>
      <c r="G1506" s="4">
        <v>60</v>
      </c>
      <c r="H1506" s="5">
        <v>7.4999999999999997E-3</v>
      </c>
    </row>
    <row r="1507" spans="1:8" x14ac:dyDescent="0.35">
      <c r="A1507" s="2" t="s">
        <v>748</v>
      </c>
      <c r="B1507" s="2" t="s">
        <v>447</v>
      </c>
      <c r="C1507" s="2" t="s">
        <v>757</v>
      </c>
      <c r="D1507" s="2" t="s">
        <v>758</v>
      </c>
      <c r="E1507" s="2" t="s">
        <v>92</v>
      </c>
      <c r="F1507" s="3">
        <v>1100</v>
      </c>
      <c r="G1507" s="4">
        <v>60</v>
      </c>
      <c r="H1507" s="5">
        <v>0</v>
      </c>
    </row>
    <row r="1508" spans="1:8" x14ac:dyDescent="0.35">
      <c r="A1508" s="2" t="s">
        <v>748</v>
      </c>
      <c r="B1508" s="2" t="s">
        <v>447</v>
      </c>
      <c r="C1508" s="2" t="s">
        <v>759</v>
      </c>
      <c r="D1508" s="2" t="s">
        <v>760</v>
      </c>
      <c r="E1508" s="2" t="s">
        <v>46</v>
      </c>
      <c r="F1508" s="3">
        <v>1800</v>
      </c>
      <c r="G1508" s="4">
        <v>60</v>
      </c>
      <c r="H1508" s="5">
        <v>7.4999999999999997E-3</v>
      </c>
    </row>
    <row r="1509" spans="1:8" x14ac:dyDescent="0.35">
      <c r="A1509" s="2" t="s">
        <v>748</v>
      </c>
      <c r="B1509" s="2" t="s">
        <v>447</v>
      </c>
      <c r="C1509" s="2" t="s">
        <v>761</v>
      </c>
      <c r="D1509" s="2" t="s">
        <v>762</v>
      </c>
      <c r="E1509" s="2" t="s">
        <v>92</v>
      </c>
      <c r="F1509" s="3">
        <v>550</v>
      </c>
      <c r="G1509" s="4">
        <v>60</v>
      </c>
      <c r="H1509" s="5">
        <v>0</v>
      </c>
    </row>
    <row r="1510" spans="1:8" x14ac:dyDescent="0.35">
      <c r="A1510" s="2" t="s">
        <v>748</v>
      </c>
      <c r="B1510" s="2" t="s">
        <v>447</v>
      </c>
      <c r="C1510" s="2" t="s">
        <v>763</v>
      </c>
      <c r="D1510" s="2" t="s">
        <v>764</v>
      </c>
      <c r="E1510" s="2" t="s">
        <v>226</v>
      </c>
      <c r="F1510" s="3">
        <v>4100</v>
      </c>
      <c r="G1510" s="4">
        <v>60</v>
      </c>
      <c r="H1510" s="5">
        <v>7.4999999999999997E-3</v>
      </c>
    </row>
    <row r="1511" spans="1:8" x14ac:dyDescent="0.35">
      <c r="A1511" s="2" t="s">
        <v>748</v>
      </c>
      <c r="B1511" s="2" t="s">
        <v>447</v>
      </c>
      <c r="C1511" s="2" t="s">
        <v>765</v>
      </c>
      <c r="D1511" s="2" t="s">
        <v>766</v>
      </c>
      <c r="E1511" s="2" t="s">
        <v>603</v>
      </c>
      <c r="F1511" s="3">
        <v>2289</v>
      </c>
      <c r="G1511" s="4">
        <v>60</v>
      </c>
      <c r="H1511" s="5">
        <v>7.4999999999999997E-3</v>
      </c>
    </row>
    <row r="1512" spans="1:8" x14ac:dyDescent="0.35">
      <c r="A1512" s="2" t="s">
        <v>748</v>
      </c>
      <c r="B1512" s="2" t="s">
        <v>447</v>
      </c>
      <c r="C1512" s="2" t="s">
        <v>757</v>
      </c>
      <c r="D1512" s="2" t="s">
        <v>758</v>
      </c>
      <c r="E1512" s="2" t="s">
        <v>92</v>
      </c>
      <c r="F1512" s="3">
        <v>1100</v>
      </c>
      <c r="G1512" s="4">
        <v>60</v>
      </c>
      <c r="H1512" s="5">
        <v>0</v>
      </c>
    </row>
    <row r="1513" spans="1:8" x14ac:dyDescent="0.35">
      <c r="A1513" s="2" t="s">
        <v>748</v>
      </c>
      <c r="B1513" s="2" t="s">
        <v>447</v>
      </c>
      <c r="C1513" s="2" t="s">
        <v>767</v>
      </c>
      <c r="D1513" s="2" t="s">
        <v>768</v>
      </c>
      <c r="E1513" s="2" t="s">
        <v>147</v>
      </c>
      <c r="F1513" s="3">
        <v>1400</v>
      </c>
      <c r="G1513" s="4">
        <v>60</v>
      </c>
      <c r="H1513" s="5">
        <v>7.4999999999999997E-3</v>
      </c>
    </row>
    <row r="1514" spans="1:8" x14ac:dyDescent="0.35">
      <c r="A1514" s="2" t="s">
        <v>748</v>
      </c>
      <c r="B1514" s="2" t="s">
        <v>447</v>
      </c>
      <c r="C1514" s="2" t="s">
        <v>769</v>
      </c>
      <c r="D1514" s="2" t="s">
        <v>770</v>
      </c>
      <c r="E1514" s="2" t="s">
        <v>260</v>
      </c>
      <c r="F1514" s="3">
        <v>19000</v>
      </c>
      <c r="G1514" s="4">
        <v>60</v>
      </c>
      <c r="H1514" s="5">
        <v>7.4999999999999997E-3</v>
      </c>
    </row>
    <row r="1515" spans="1:8" x14ac:dyDescent="0.35">
      <c r="A1515" s="2" t="s">
        <v>748</v>
      </c>
      <c r="B1515" s="2" t="s">
        <v>447</v>
      </c>
      <c r="C1515" s="2" t="s">
        <v>761</v>
      </c>
      <c r="D1515" s="2" t="s">
        <v>762</v>
      </c>
      <c r="E1515" s="2" t="s">
        <v>92</v>
      </c>
      <c r="F1515" s="3">
        <v>550</v>
      </c>
      <c r="G1515" s="4">
        <v>60</v>
      </c>
      <c r="H1515" s="5">
        <v>0</v>
      </c>
    </row>
    <row r="1516" spans="1:8" x14ac:dyDescent="0.35">
      <c r="A1516" s="2" t="s">
        <v>748</v>
      </c>
      <c r="B1516" s="2" t="s">
        <v>447</v>
      </c>
      <c r="C1516" s="2" t="s">
        <v>771</v>
      </c>
      <c r="D1516" s="2" t="s">
        <v>772</v>
      </c>
      <c r="E1516" s="2" t="s">
        <v>69</v>
      </c>
      <c r="F1516" s="3">
        <v>500</v>
      </c>
      <c r="G1516" s="4">
        <v>60</v>
      </c>
      <c r="H1516" s="5">
        <v>0</v>
      </c>
    </row>
    <row r="1517" spans="1:8" x14ac:dyDescent="0.35">
      <c r="A1517" s="2" t="s">
        <v>748</v>
      </c>
      <c r="B1517" s="2" t="s">
        <v>447</v>
      </c>
      <c r="C1517" s="2" t="s">
        <v>773</v>
      </c>
      <c r="D1517" s="2" t="s">
        <v>774</v>
      </c>
      <c r="E1517" s="2" t="s">
        <v>412</v>
      </c>
      <c r="F1517" s="3">
        <v>12000</v>
      </c>
      <c r="G1517" s="4">
        <v>60</v>
      </c>
      <c r="H1517" s="5">
        <v>7.4999999999999997E-3</v>
      </c>
    </row>
    <row r="1518" spans="1:8" x14ac:dyDescent="0.35">
      <c r="A1518" s="2" t="s">
        <v>748</v>
      </c>
      <c r="B1518" s="2" t="s">
        <v>447</v>
      </c>
      <c r="C1518" s="2" t="s">
        <v>775</v>
      </c>
      <c r="D1518" s="2" t="s">
        <v>776</v>
      </c>
      <c r="E1518" s="2" t="s">
        <v>777</v>
      </c>
      <c r="F1518" s="3">
        <v>1900</v>
      </c>
      <c r="G1518" s="4">
        <v>60</v>
      </c>
      <c r="H1518" s="5">
        <v>7.4999999999999997E-3</v>
      </c>
    </row>
    <row r="1519" spans="1:8" x14ac:dyDescent="0.35">
      <c r="A1519" s="2" t="s">
        <v>748</v>
      </c>
      <c r="B1519" s="2" t="s">
        <v>447</v>
      </c>
      <c r="C1519" s="2" t="s">
        <v>761</v>
      </c>
      <c r="D1519" s="2" t="s">
        <v>762</v>
      </c>
      <c r="E1519" s="2" t="s">
        <v>92</v>
      </c>
      <c r="F1519" s="3">
        <v>550</v>
      </c>
      <c r="G1519" s="4">
        <v>60</v>
      </c>
      <c r="H1519" s="5">
        <v>0</v>
      </c>
    </row>
    <row r="1520" spans="1:8" x14ac:dyDescent="0.35">
      <c r="A1520" s="2" t="s">
        <v>748</v>
      </c>
      <c r="B1520" s="2" t="s">
        <v>447</v>
      </c>
      <c r="C1520" s="2" t="s">
        <v>778</v>
      </c>
      <c r="D1520" s="2" t="s">
        <v>779</v>
      </c>
      <c r="E1520" s="2" t="s">
        <v>780</v>
      </c>
      <c r="F1520" s="3">
        <v>1899.9</v>
      </c>
      <c r="G1520" s="4">
        <v>60</v>
      </c>
      <c r="H1520" s="5">
        <v>7.4999999999999997E-3</v>
      </c>
    </row>
    <row r="1521" spans="1:8" x14ac:dyDescent="0.35">
      <c r="A1521" s="2" t="s">
        <v>748</v>
      </c>
      <c r="B1521" s="2" t="s">
        <v>447</v>
      </c>
      <c r="C1521" s="2" t="s">
        <v>781</v>
      </c>
      <c r="D1521" s="2" t="s">
        <v>782</v>
      </c>
      <c r="E1521" s="2" t="s">
        <v>92</v>
      </c>
      <c r="F1521" s="3">
        <v>1100</v>
      </c>
      <c r="G1521" s="4">
        <v>60</v>
      </c>
      <c r="H1521" s="5">
        <v>0</v>
      </c>
    </row>
    <row r="1522" spans="1:8" x14ac:dyDescent="0.35">
      <c r="A1522" s="2" t="s">
        <v>748</v>
      </c>
      <c r="B1522" s="2" t="s">
        <v>447</v>
      </c>
      <c r="C1522" s="2" t="s">
        <v>761</v>
      </c>
      <c r="D1522" s="2" t="s">
        <v>762</v>
      </c>
      <c r="E1522" s="2" t="s">
        <v>92</v>
      </c>
      <c r="F1522" s="3">
        <v>550</v>
      </c>
      <c r="G1522" s="4">
        <v>60</v>
      </c>
      <c r="H1522" s="5">
        <v>0</v>
      </c>
    </row>
    <row r="1523" spans="1:8" x14ac:dyDescent="0.35">
      <c r="A1523" s="2" t="s">
        <v>748</v>
      </c>
      <c r="B1523" s="2" t="s">
        <v>447</v>
      </c>
      <c r="C1523" s="2" t="s">
        <v>783</v>
      </c>
      <c r="D1523" s="2" t="s">
        <v>784</v>
      </c>
      <c r="E1523" s="2" t="s">
        <v>260</v>
      </c>
      <c r="F1523" s="3">
        <v>11000</v>
      </c>
      <c r="G1523" s="4">
        <v>60</v>
      </c>
      <c r="H1523" s="5">
        <v>7.4999999999999997E-3</v>
      </c>
    </row>
    <row r="1524" spans="1:8" x14ac:dyDescent="0.35">
      <c r="A1524" s="2" t="s">
        <v>748</v>
      </c>
      <c r="B1524" s="2" t="s">
        <v>786</v>
      </c>
      <c r="C1524" s="2" t="s">
        <v>750</v>
      </c>
      <c r="D1524" s="2" t="s">
        <v>751</v>
      </c>
      <c r="E1524" s="2" t="s">
        <v>434</v>
      </c>
      <c r="F1524" s="3">
        <v>3429.25</v>
      </c>
      <c r="G1524" s="4">
        <v>60</v>
      </c>
      <c r="H1524" s="5">
        <v>0</v>
      </c>
    </row>
    <row r="1525" spans="1:8" x14ac:dyDescent="0.35">
      <c r="A1525" s="2" t="s">
        <v>748</v>
      </c>
      <c r="B1525" s="2" t="s">
        <v>786</v>
      </c>
      <c r="C1525" s="2" t="s">
        <v>752</v>
      </c>
      <c r="D1525" s="2" t="s">
        <v>753</v>
      </c>
      <c r="E1525" s="2" t="s">
        <v>189</v>
      </c>
      <c r="F1525" s="3">
        <v>22000</v>
      </c>
      <c r="G1525" s="4">
        <v>60</v>
      </c>
      <c r="H1525" s="5">
        <v>0</v>
      </c>
    </row>
    <row r="1526" spans="1:8" x14ac:dyDescent="0.35">
      <c r="A1526" s="2" t="s">
        <v>748</v>
      </c>
      <c r="B1526" s="2" t="s">
        <v>786</v>
      </c>
      <c r="C1526" s="2" t="s">
        <v>754</v>
      </c>
      <c r="D1526" s="2" t="s">
        <v>755</v>
      </c>
      <c r="E1526" s="2" t="s">
        <v>756</v>
      </c>
      <c r="F1526" s="3">
        <v>2100</v>
      </c>
      <c r="G1526" s="4">
        <v>48</v>
      </c>
      <c r="H1526" s="5">
        <v>0</v>
      </c>
    </row>
    <row r="1527" spans="1:8" x14ac:dyDescent="0.35">
      <c r="A1527" s="2" t="s">
        <v>748</v>
      </c>
      <c r="B1527" s="2" t="s">
        <v>786</v>
      </c>
      <c r="C1527" s="2" t="s">
        <v>757</v>
      </c>
      <c r="D1527" s="2" t="s">
        <v>758</v>
      </c>
      <c r="E1527" s="2" t="s">
        <v>92</v>
      </c>
      <c r="F1527" s="3">
        <v>2000</v>
      </c>
      <c r="G1527" s="4">
        <v>60</v>
      </c>
      <c r="H1527" s="5">
        <v>0</v>
      </c>
    </row>
    <row r="1528" spans="1:8" x14ac:dyDescent="0.35">
      <c r="A1528" s="2" t="s">
        <v>748</v>
      </c>
      <c r="B1528" s="2" t="s">
        <v>786</v>
      </c>
      <c r="C1528" s="2" t="s">
        <v>759</v>
      </c>
      <c r="D1528" s="2" t="s">
        <v>760</v>
      </c>
      <c r="E1528" s="2" t="s">
        <v>46</v>
      </c>
      <c r="F1528" s="3">
        <v>1800</v>
      </c>
      <c r="G1528" s="4">
        <v>60</v>
      </c>
      <c r="H1528" s="5">
        <v>0</v>
      </c>
    </row>
    <row r="1529" spans="1:8" x14ac:dyDescent="0.35">
      <c r="A1529" s="2" t="s">
        <v>748</v>
      </c>
      <c r="B1529" s="2" t="s">
        <v>786</v>
      </c>
      <c r="C1529" s="2" t="s">
        <v>761</v>
      </c>
      <c r="D1529" s="2" t="s">
        <v>762</v>
      </c>
      <c r="E1529" s="2" t="s">
        <v>92</v>
      </c>
      <c r="F1529" s="3">
        <v>873.19</v>
      </c>
      <c r="G1529" s="4">
        <v>60</v>
      </c>
      <c r="H1529" s="5">
        <v>0</v>
      </c>
    </row>
    <row r="1530" spans="1:8" x14ac:dyDescent="0.35">
      <c r="A1530" s="2" t="s">
        <v>748</v>
      </c>
      <c r="B1530" s="2" t="s">
        <v>786</v>
      </c>
      <c r="C1530" s="2" t="s">
        <v>763</v>
      </c>
      <c r="D1530" s="2" t="s">
        <v>764</v>
      </c>
      <c r="E1530" s="2" t="s">
        <v>226</v>
      </c>
      <c r="F1530" s="3">
        <v>4100</v>
      </c>
      <c r="G1530" s="4">
        <v>48</v>
      </c>
      <c r="H1530" s="5">
        <v>0</v>
      </c>
    </row>
    <row r="1531" spans="1:8" x14ac:dyDescent="0.35">
      <c r="A1531" s="2" t="s">
        <v>748</v>
      </c>
      <c r="B1531" s="2" t="s">
        <v>786</v>
      </c>
      <c r="C1531" s="2" t="s">
        <v>765</v>
      </c>
      <c r="D1531" s="2" t="s">
        <v>766</v>
      </c>
      <c r="E1531" s="2" t="s">
        <v>603</v>
      </c>
      <c r="F1531" s="3">
        <v>1455</v>
      </c>
      <c r="G1531" s="4">
        <v>48</v>
      </c>
      <c r="H1531" s="5">
        <v>0</v>
      </c>
    </row>
    <row r="1532" spans="1:8" x14ac:dyDescent="0.35">
      <c r="A1532" s="2" t="s">
        <v>748</v>
      </c>
      <c r="B1532" s="2" t="s">
        <v>786</v>
      </c>
      <c r="C1532" s="2" t="s">
        <v>757</v>
      </c>
      <c r="D1532" s="2" t="s">
        <v>758</v>
      </c>
      <c r="E1532" s="2" t="s">
        <v>92</v>
      </c>
      <c r="F1532" s="3">
        <v>2000</v>
      </c>
      <c r="G1532" s="4">
        <v>48</v>
      </c>
      <c r="H1532" s="5">
        <v>0</v>
      </c>
    </row>
    <row r="1533" spans="1:8" x14ac:dyDescent="0.35">
      <c r="A1533" s="2" t="s">
        <v>748</v>
      </c>
      <c r="B1533" s="2" t="s">
        <v>786</v>
      </c>
      <c r="C1533" s="2" t="s">
        <v>767</v>
      </c>
      <c r="D1533" s="2" t="s">
        <v>768</v>
      </c>
      <c r="E1533" s="2" t="s">
        <v>147</v>
      </c>
      <c r="F1533" s="3">
        <v>3651.65</v>
      </c>
      <c r="G1533" s="4">
        <v>48</v>
      </c>
      <c r="H1533" s="5">
        <v>0</v>
      </c>
    </row>
    <row r="1534" spans="1:8" x14ac:dyDescent="0.35">
      <c r="A1534" s="2" t="s">
        <v>748</v>
      </c>
      <c r="B1534" s="2" t="s">
        <v>786</v>
      </c>
      <c r="C1534" s="2" t="s">
        <v>769</v>
      </c>
      <c r="D1534" s="2" t="s">
        <v>770</v>
      </c>
      <c r="E1534" s="2" t="s">
        <v>260</v>
      </c>
      <c r="F1534" s="3">
        <v>23500</v>
      </c>
      <c r="G1534" s="4">
        <v>48</v>
      </c>
      <c r="H1534" s="5">
        <v>0</v>
      </c>
    </row>
    <row r="1535" spans="1:8" x14ac:dyDescent="0.35">
      <c r="A1535" s="2" t="s">
        <v>748</v>
      </c>
      <c r="B1535" s="2" t="s">
        <v>786</v>
      </c>
      <c r="C1535" s="2" t="s">
        <v>761</v>
      </c>
      <c r="D1535" s="2" t="s">
        <v>762</v>
      </c>
      <c r="E1535" s="2" t="s">
        <v>92</v>
      </c>
      <c r="F1535" s="3">
        <v>873.19</v>
      </c>
      <c r="G1535" s="4">
        <v>48</v>
      </c>
      <c r="H1535" s="5">
        <v>0</v>
      </c>
    </row>
    <row r="1536" spans="1:8" x14ac:dyDescent="0.35">
      <c r="A1536" s="2" t="s">
        <v>748</v>
      </c>
      <c r="B1536" s="2" t="s">
        <v>786</v>
      </c>
      <c r="C1536" s="2" t="s">
        <v>771</v>
      </c>
      <c r="D1536" s="2" t="s">
        <v>772</v>
      </c>
      <c r="E1536" s="2" t="s">
        <v>69</v>
      </c>
      <c r="F1536" s="3">
        <v>579</v>
      </c>
      <c r="G1536" s="4">
        <v>48</v>
      </c>
      <c r="H1536" s="5">
        <v>0</v>
      </c>
    </row>
    <row r="1537" spans="1:8" x14ac:dyDescent="0.35">
      <c r="A1537" s="2" t="s">
        <v>748</v>
      </c>
      <c r="B1537" s="2" t="s">
        <v>786</v>
      </c>
      <c r="C1537" s="2" t="s">
        <v>773</v>
      </c>
      <c r="D1537" s="2" t="s">
        <v>774</v>
      </c>
      <c r="E1537" s="2" t="s">
        <v>412</v>
      </c>
      <c r="F1537" s="3">
        <v>5844.79</v>
      </c>
      <c r="G1537" s="4">
        <v>48</v>
      </c>
      <c r="H1537" s="5">
        <v>0</v>
      </c>
    </row>
    <row r="1538" spans="1:8" x14ac:dyDescent="0.35">
      <c r="A1538" s="2" t="s">
        <v>748</v>
      </c>
      <c r="B1538" s="2" t="s">
        <v>786</v>
      </c>
      <c r="C1538" s="2" t="s">
        <v>775</v>
      </c>
      <c r="D1538" s="2" t="s">
        <v>776</v>
      </c>
      <c r="E1538" s="2" t="s">
        <v>777</v>
      </c>
      <c r="F1538" s="3">
        <v>3750</v>
      </c>
      <c r="G1538" s="4">
        <v>48</v>
      </c>
      <c r="H1538" s="5">
        <v>0</v>
      </c>
    </row>
    <row r="1539" spans="1:8" x14ac:dyDescent="0.35">
      <c r="A1539" s="2" t="s">
        <v>748</v>
      </c>
      <c r="B1539" s="2" t="s">
        <v>786</v>
      </c>
      <c r="C1539" s="2" t="s">
        <v>761</v>
      </c>
      <c r="D1539" s="2" t="s">
        <v>762</v>
      </c>
      <c r="E1539" s="2" t="s">
        <v>92</v>
      </c>
      <c r="F1539" s="3">
        <v>873.19</v>
      </c>
      <c r="G1539" s="4">
        <v>48</v>
      </c>
      <c r="H1539" s="5">
        <v>0</v>
      </c>
    </row>
    <row r="1540" spans="1:8" x14ac:dyDescent="0.35">
      <c r="A1540" s="2" t="s">
        <v>748</v>
      </c>
      <c r="B1540" s="2" t="s">
        <v>786</v>
      </c>
      <c r="C1540" s="2" t="s">
        <v>778</v>
      </c>
      <c r="D1540" s="2" t="s">
        <v>779</v>
      </c>
      <c r="E1540" s="2" t="s">
        <v>780</v>
      </c>
      <c r="F1540" s="3">
        <v>1482</v>
      </c>
      <c r="G1540" s="4">
        <v>48</v>
      </c>
      <c r="H1540" s="5">
        <v>0</v>
      </c>
    </row>
    <row r="1541" spans="1:8" x14ac:dyDescent="0.35">
      <c r="A1541" s="2" t="s">
        <v>748</v>
      </c>
      <c r="B1541" s="2" t="s">
        <v>786</v>
      </c>
      <c r="C1541" s="2" t="s">
        <v>781</v>
      </c>
      <c r="D1541" s="2" t="s">
        <v>782</v>
      </c>
      <c r="E1541" s="2" t="s">
        <v>92</v>
      </c>
      <c r="F1541" s="3">
        <v>2000</v>
      </c>
      <c r="G1541" s="4">
        <v>48</v>
      </c>
      <c r="H1541" s="5">
        <v>0</v>
      </c>
    </row>
    <row r="1542" spans="1:8" x14ac:dyDescent="0.35">
      <c r="A1542" s="2" t="s">
        <v>748</v>
      </c>
      <c r="B1542" s="2" t="s">
        <v>786</v>
      </c>
      <c r="C1542" s="2" t="s">
        <v>761</v>
      </c>
      <c r="D1542" s="2" t="s">
        <v>762</v>
      </c>
      <c r="E1542" s="2" t="s">
        <v>92</v>
      </c>
      <c r="F1542" s="3">
        <v>873.19</v>
      </c>
      <c r="G1542" s="4">
        <v>48</v>
      </c>
      <c r="H1542" s="5">
        <v>0</v>
      </c>
    </row>
    <row r="1543" spans="1:8" x14ac:dyDescent="0.35">
      <c r="A1543" s="2" t="s">
        <v>748</v>
      </c>
      <c r="B1543" s="2" t="s">
        <v>786</v>
      </c>
      <c r="C1543" s="2" t="s">
        <v>783</v>
      </c>
      <c r="D1543" s="2" t="s">
        <v>784</v>
      </c>
      <c r="E1543" s="2" t="s">
        <v>260</v>
      </c>
      <c r="F1543" s="3">
        <v>11971.2</v>
      </c>
      <c r="G1543" s="4">
        <v>48</v>
      </c>
      <c r="H1543" s="5">
        <v>0</v>
      </c>
    </row>
    <row r="1544" spans="1:8" x14ac:dyDescent="0.35">
      <c r="A1544" s="2" t="s">
        <v>748</v>
      </c>
      <c r="B1544" s="2" t="s">
        <v>787</v>
      </c>
      <c r="C1544" s="2" t="s">
        <v>750</v>
      </c>
      <c r="D1544" s="2" t="s">
        <v>751</v>
      </c>
      <c r="E1544" s="2" t="s">
        <v>434</v>
      </c>
      <c r="F1544" s="3">
        <v>4000</v>
      </c>
      <c r="G1544" s="4">
        <v>60</v>
      </c>
      <c r="H1544" s="5">
        <v>7.4999999999999997E-3</v>
      </c>
    </row>
    <row r="1545" spans="1:8" x14ac:dyDescent="0.35">
      <c r="A1545" s="2" t="s">
        <v>748</v>
      </c>
      <c r="B1545" s="2" t="s">
        <v>787</v>
      </c>
      <c r="C1545" s="2" t="s">
        <v>752</v>
      </c>
      <c r="D1545" s="2" t="s">
        <v>753</v>
      </c>
      <c r="E1545" s="2" t="s">
        <v>189</v>
      </c>
      <c r="F1545" s="3">
        <v>29000</v>
      </c>
      <c r="G1545" s="4">
        <v>60</v>
      </c>
      <c r="H1545" s="5">
        <v>8.9999999999999998E-4</v>
      </c>
    </row>
    <row r="1546" spans="1:8" x14ac:dyDescent="0.35">
      <c r="A1546" s="2" t="s">
        <v>748</v>
      </c>
      <c r="B1546" s="2" t="s">
        <v>787</v>
      </c>
      <c r="C1546" s="2" t="s">
        <v>754</v>
      </c>
      <c r="D1546" s="2" t="s">
        <v>755</v>
      </c>
      <c r="E1546" s="2" t="s">
        <v>756</v>
      </c>
      <c r="F1546" s="3">
        <v>2100</v>
      </c>
      <c r="G1546" s="4">
        <v>60</v>
      </c>
      <c r="H1546" s="5">
        <v>7.4999999999999997E-3</v>
      </c>
    </row>
    <row r="1547" spans="1:8" x14ac:dyDescent="0.35">
      <c r="A1547" s="2" t="s">
        <v>748</v>
      </c>
      <c r="B1547" s="2" t="s">
        <v>787</v>
      </c>
      <c r="C1547" s="2" t="s">
        <v>757</v>
      </c>
      <c r="D1547" s="2" t="s">
        <v>758</v>
      </c>
      <c r="E1547" s="2" t="s">
        <v>92</v>
      </c>
      <c r="F1547" s="3">
        <v>1100</v>
      </c>
      <c r="G1547" s="4">
        <v>60</v>
      </c>
      <c r="H1547" s="5">
        <v>0</v>
      </c>
    </row>
    <row r="1548" spans="1:8" x14ac:dyDescent="0.35">
      <c r="A1548" s="2" t="s">
        <v>748</v>
      </c>
      <c r="B1548" s="2" t="s">
        <v>787</v>
      </c>
      <c r="C1548" s="2" t="s">
        <v>759</v>
      </c>
      <c r="D1548" s="2" t="s">
        <v>760</v>
      </c>
      <c r="E1548" s="2" t="s">
        <v>46</v>
      </c>
      <c r="F1548" s="3">
        <v>2640</v>
      </c>
      <c r="G1548" s="4">
        <v>60</v>
      </c>
      <c r="H1548" s="5">
        <v>7.4999999999999997E-3</v>
      </c>
    </row>
    <row r="1549" spans="1:8" x14ac:dyDescent="0.35">
      <c r="A1549" s="2" t="s">
        <v>748</v>
      </c>
      <c r="B1549" s="2" t="s">
        <v>787</v>
      </c>
      <c r="C1549" s="2" t="s">
        <v>761</v>
      </c>
      <c r="D1549" s="2" t="s">
        <v>762</v>
      </c>
      <c r="E1549" s="2" t="s">
        <v>92</v>
      </c>
      <c r="F1549" s="3">
        <v>821.26</v>
      </c>
      <c r="G1549" s="4">
        <v>60</v>
      </c>
      <c r="H1549" s="5">
        <v>0</v>
      </c>
    </row>
    <row r="1550" spans="1:8" x14ac:dyDescent="0.35">
      <c r="A1550" s="2" t="s">
        <v>748</v>
      </c>
      <c r="B1550" s="2" t="s">
        <v>787</v>
      </c>
      <c r="C1550" s="2" t="s">
        <v>763</v>
      </c>
      <c r="D1550" s="2" t="s">
        <v>764</v>
      </c>
      <c r="E1550" s="2" t="s">
        <v>226</v>
      </c>
      <c r="F1550" s="3">
        <v>5944.3</v>
      </c>
      <c r="G1550" s="4">
        <v>60</v>
      </c>
      <c r="H1550" s="5">
        <v>7.4999999999999997E-3</v>
      </c>
    </row>
    <row r="1551" spans="1:8" x14ac:dyDescent="0.35">
      <c r="A1551" s="2" t="s">
        <v>748</v>
      </c>
      <c r="B1551" s="2" t="s">
        <v>787</v>
      </c>
      <c r="C1551" s="2" t="s">
        <v>765</v>
      </c>
      <c r="D1551" s="2" t="s">
        <v>766</v>
      </c>
      <c r="E1551" s="2" t="s">
        <v>603</v>
      </c>
      <c r="F1551" s="3">
        <v>3319</v>
      </c>
      <c r="G1551" s="4">
        <v>60</v>
      </c>
      <c r="H1551" s="5">
        <v>7.4999999999999997E-3</v>
      </c>
    </row>
    <row r="1552" spans="1:8" x14ac:dyDescent="0.35">
      <c r="A1552" s="2" t="s">
        <v>748</v>
      </c>
      <c r="B1552" s="2" t="s">
        <v>787</v>
      </c>
      <c r="C1552" s="2" t="s">
        <v>757</v>
      </c>
      <c r="D1552" s="2" t="s">
        <v>758</v>
      </c>
      <c r="E1552" s="2" t="s">
        <v>92</v>
      </c>
      <c r="F1552" s="3">
        <v>1100</v>
      </c>
      <c r="G1552" s="4">
        <v>60</v>
      </c>
      <c r="H1552" s="5">
        <v>0</v>
      </c>
    </row>
    <row r="1553" spans="1:8" x14ac:dyDescent="0.35">
      <c r="A1553" s="2" t="s">
        <v>748</v>
      </c>
      <c r="B1553" s="2" t="s">
        <v>787</v>
      </c>
      <c r="C1553" s="2" t="s">
        <v>767</v>
      </c>
      <c r="D1553" s="2" t="s">
        <v>768</v>
      </c>
      <c r="E1553" s="2" t="s">
        <v>147</v>
      </c>
      <c r="F1553" s="3">
        <v>1980</v>
      </c>
      <c r="G1553" s="4">
        <v>60</v>
      </c>
      <c r="H1553" s="5">
        <v>7.4999999999999997E-3</v>
      </c>
    </row>
    <row r="1554" spans="1:8" x14ac:dyDescent="0.35">
      <c r="A1554" s="2" t="s">
        <v>748</v>
      </c>
      <c r="B1554" s="2" t="s">
        <v>787</v>
      </c>
      <c r="C1554" s="2" t="s">
        <v>769</v>
      </c>
      <c r="D1554" s="2" t="s">
        <v>770</v>
      </c>
      <c r="E1554" s="2" t="s">
        <v>260</v>
      </c>
      <c r="F1554" s="3">
        <v>25795</v>
      </c>
      <c r="G1554" s="4">
        <v>60</v>
      </c>
      <c r="H1554" s="5">
        <v>0.04</v>
      </c>
    </row>
    <row r="1555" spans="1:8" x14ac:dyDescent="0.35">
      <c r="A1555" s="2" t="s">
        <v>748</v>
      </c>
      <c r="B1555" s="2" t="s">
        <v>787</v>
      </c>
      <c r="C1555" s="2" t="s">
        <v>761</v>
      </c>
      <c r="D1555" s="2" t="s">
        <v>762</v>
      </c>
      <c r="E1555" s="2" t="s">
        <v>92</v>
      </c>
      <c r="F1555" s="3">
        <v>821.26</v>
      </c>
      <c r="G1555" s="4">
        <v>60</v>
      </c>
      <c r="H1555" s="5">
        <v>0</v>
      </c>
    </row>
    <row r="1556" spans="1:8" x14ac:dyDescent="0.35">
      <c r="A1556" s="2" t="s">
        <v>748</v>
      </c>
      <c r="B1556" s="2" t="s">
        <v>787</v>
      </c>
      <c r="C1556" s="2" t="s">
        <v>771</v>
      </c>
      <c r="D1556" s="2" t="s">
        <v>772</v>
      </c>
      <c r="E1556" s="2" t="s">
        <v>69</v>
      </c>
      <c r="F1556" s="3">
        <v>500</v>
      </c>
      <c r="G1556" s="4">
        <v>60</v>
      </c>
      <c r="H1556" s="5">
        <v>0</v>
      </c>
    </row>
    <row r="1557" spans="1:8" x14ac:dyDescent="0.35">
      <c r="A1557" s="2" t="s">
        <v>748</v>
      </c>
      <c r="B1557" s="2" t="s">
        <v>787</v>
      </c>
      <c r="C1557" s="2" t="s">
        <v>773</v>
      </c>
      <c r="D1557" s="2" t="s">
        <v>774</v>
      </c>
      <c r="E1557" s="2" t="s">
        <v>412</v>
      </c>
      <c r="F1557" s="3">
        <v>12000</v>
      </c>
      <c r="G1557" s="4">
        <v>60</v>
      </c>
      <c r="H1557" s="5">
        <v>7.4999999999999997E-3</v>
      </c>
    </row>
    <row r="1558" spans="1:8" x14ac:dyDescent="0.35">
      <c r="A1558" s="2" t="s">
        <v>748</v>
      </c>
      <c r="B1558" s="2" t="s">
        <v>787</v>
      </c>
      <c r="C1558" s="2" t="s">
        <v>775</v>
      </c>
      <c r="D1558" s="2" t="s">
        <v>776</v>
      </c>
      <c r="E1558" s="2" t="s">
        <v>777</v>
      </c>
      <c r="F1558" s="3">
        <v>2400</v>
      </c>
      <c r="G1558" s="4">
        <v>60</v>
      </c>
      <c r="H1558" s="5">
        <v>7.4999999999999997E-3</v>
      </c>
    </row>
    <row r="1559" spans="1:8" x14ac:dyDescent="0.35">
      <c r="A1559" s="2" t="s">
        <v>748</v>
      </c>
      <c r="B1559" s="2" t="s">
        <v>787</v>
      </c>
      <c r="C1559" s="2" t="s">
        <v>761</v>
      </c>
      <c r="D1559" s="2" t="s">
        <v>762</v>
      </c>
      <c r="E1559" s="2" t="s">
        <v>92</v>
      </c>
      <c r="F1559" s="3">
        <v>821.26</v>
      </c>
      <c r="G1559" s="4">
        <v>60</v>
      </c>
      <c r="H1559" s="5">
        <v>0</v>
      </c>
    </row>
    <row r="1560" spans="1:8" x14ac:dyDescent="0.35">
      <c r="A1560" s="2" t="s">
        <v>748</v>
      </c>
      <c r="B1560" s="2" t="s">
        <v>787</v>
      </c>
      <c r="C1560" s="2" t="s">
        <v>778</v>
      </c>
      <c r="D1560" s="2" t="s">
        <v>779</v>
      </c>
      <c r="E1560" s="2" t="s">
        <v>780</v>
      </c>
      <c r="F1560" s="3">
        <v>1899.9</v>
      </c>
      <c r="G1560" s="4">
        <v>60</v>
      </c>
      <c r="H1560" s="5">
        <v>7.4999999999999997E-3</v>
      </c>
    </row>
    <row r="1561" spans="1:8" x14ac:dyDescent="0.35">
      <c r="A1561" s="2" t="s">
        <v>748</v>
      </c>
      <c r="B1561" s="2" t="s">
        <v>787</v>
      </c>
      <c r="C1561" s="2" t="s">
        <v>781</v>
      </c>
      <c r="D1561" s="2" t="s">
        <v>782</v>
      </c>
      <c r="E1561" s="2" t="s">
        <v>92</v>
      </c>
      <c r="F1561" s="3">
        <v>1100</v>
      </c>
      <c r="G1561" s="4">
        <v>60</v>
      </c>
      <c r="H1561" s="5">
        <v>0</v>
      </c>
    </row>
    <row r="1562" spans="1:8" x14ac:dyDescent="0.35">
      <c r="A1562" s="2" t="s">
        <v>748</v>
      </c>
      <c r="B1562" s="2" t="s">
        <v>787</v>
      </c>
      <c r="C1562" s="2" t="s">
        <v>761</v>
      </c>
      <c r="D1562" s="2" t="s">
        <v>762</v>
      </c>
      <c r="E1562" s="2" t="s">
        <v>92</v>
      </c>
      <c r="F1562" s="3">
        <v>821.26</v>
      </c>
      <c r="G1562" s="4">
        <v>60</v>
      </c>
      <c r="H1562" s="5">
        <v>0</v>
      </c>
    </row>
    <row r="1563" spans="1:8" x14ac:dyDescent="0.35">
      <c r="A1563" s="2" t="s">
        <v>748</v>
      </c>
      <c r="B1563" s="2" t="s">
        <v>787</v>
      </c>
      <c r="C1563" s="2" t="s">
        <v>783</v>
      </c>
      <c r="D1563" s="2" t="s">
        <v>784</v>
      </c>
      <c r="E1563" s="2" t="s">
        <v>260</v>
      </c>
      <c r="F1563" s="3">
        <v>11000</v>
      </c>
      <c r="G1563" s="4">
        <v>60</v>
      </c>
      <c r="H1563" s="5">
        <v>0.02</v>
      </c>
    </row>
    <row r="1564" spans="1:8" x14ac:dyDescent="0.35">
      <c r="A1564" s="2" t="s">
        <v>748</v>
      </c>
      <c r="B1564" s="2" t="s">
        <v>788</v>
      </c>
      <c r="C1564" s="2" t="s">
        <v>750</v>
      </c>
      <c r="D1564" s="2" t="s">
        <v>751</v>
      </c>
      <c r="E1564" s="2" t="s">
        <v>434</v>
      </c>
      <c r="F1564" s="3">
        <v>10850</v>
      </c>
      <c r="G1564" s="4">
        <v>60</v>
      </c>
      <c r="H1564" s="5">
        <v>7.4999999999999997E-3</v>
      </c>
    </row>
    <row r="1565" spans="1:8" x14ac:dyDescent="0.35">
      <c r="A1565" s="2" t="s">
        <v>748</v>
      </c>
      <c r="B1565" s="2" t="s">
        <v>788</v>
      </c>
      <c r="C1565" s="2" t="s">
        <v>752</v>
      </c>
      <c r="D1565" s="2" t="s">
        <v>753</v>
      </c>
      <c r="E1565" s="2" t="s">
        <v>189</v>
      </c>
      <c r="F1565" s="3">
        <v>20000</v>
      </c>
      <c r="G1565" s="4">
        <v>60</v>
      </c>
      <c r="H1565" s="5">
        <v>7.4999999999999997E-3</v>
      </c>
    </row>
    <row r="1566" spans="1:8" x14ac:dyDescent="0.35">
      <c r="A1566" s="2" t="s">
        <v>748</v>
      </c>
      <c r="B1566" s="2" t="s">
        <v>788</v>
      </c>
      <c r="C1566" s="2" t="s">
        <v>754</v>
      </c>
      <c r="D1566" s="2" t="s">
        <v>755</v>
      </c>
      <c r="E1566" s="2" t="s">
        <v>756</v>
      </c>
      <c r="F1566" s="3">
        <v>2100</v>
      </c>
      <c r="G1566" s="4">
        <v>60</v>
      </c>
      <c r="H1566" s="5">
        <v>7.4999999999999997E-3</v>
      </c>
    </row>
    <row r="1567" spans="1:8" x14ac:dyDescent="0.35">
      <c r="A1567" s="2" t="s">
        <v>748</v>
      </c>
      <c r="B1567" s="2" t="s">
        <v>788</v>
      </c>
      <c r="C1567" s="2" t="s">
        <v>757</v>
      </c>
      <c r="D1567" s="2" t="s">
        <v>758</v>
      </c>
      <c r="E1567" s="2" t="s">
        <v>92</v>
      </c>
      <c r="F1567" s="3">
        <v>1100</v>
      </c>
      <c r="G1567" s="4">
        <v>60</v>
      </c>
      <c r="H1567" s="5">
        <v>0</v>
      </c>
    </row>
    <row r="1568" spans="1:8" x14ac:dyDescent="0.35">
      <c r="A1568" s="2" t="s">
        <v>748</v>
      </c>
      <c r="B1568" s="2" t="s">
        <v>788</v>
      </c>
      <c r="C1568" s="2" t="s">
        <v>759</v>
      </c>
      <c r="D1568" s="2" t="s">
        <v>760</v>
      </c>
      <c r="E1568" s="2" t="s">
        <v>46</v>
      </c>
      <c r="F1568" s="3">
        <v>1800</v>
      </c>
      <c r="G1568" s="4">
        <v>60</v>
      </c>
      <c r="H1568" s="5">
        <v>7.4999999999999997E-3</v>
      </c>
    </row>
    <row r="1569" spans="1:8" x14ac:dyDescent="0.35">
      <c r="A1569" s="2" t="s">
        <v>748</v>
      </c>
      <c r="B1569" s="2" t="s">
        <v>788</v>
      </c>
      <c r="C1569" s="2" t="s">
        <v>761</v>
      </c>
      <c r="D1569" s="2" t="s">
        <v>762</v>
      </c>
      <c r="E1569" s="2" t="s">
        <v>92</v>
      </c>
      <c r="F1569" s="3">
        <v>550</v>
      </c>
      <c r="G1569" s="4">
        <v>60</v>
      </c>
      <c r="H1569" s="5">
        <v>0</v>
      </c>
    </row>
    <row r="1570" spans="1:8" x14ac:dyDescent="0.35">
      <c r="A1570" s="2" t="s">
        <v>748</v>
      </c>
      <c r="B1570" s="2" t="s">
        <v>788</v>
      </c>
      <c r="C1570" s="2" t="s">
        <v>763</v>
      </c>
      <c r="D1570" s="2" t="s">
        <v>764</v>
      </c>
      <c r="E1570" s="2" t="s">
        <v>226</v>
      </c>
      <c r="F1570" s="3">
        <v>4100</v>
      </c>
      <c r="G1570" s="4">
        <v>60</v>
      </c>
      <c r="H1570" s="5">
        <v>7.4999999999999997E-3</v>
      </c>
    </row>
    <row r="1571" spans="1:8" x14ac:dyDescent="0.35">
      <c r="A1571" s="2" t="s">
        <v>748</v>
      </c>
      <c r="B1571" s="2" t="s">
        <v>788</v>
      </c>
      <c r="C1571" s="2" t="s">
        <v>765</v>
      </c>
      <c r="D1571" s="2" t="s">
        <v>766</v>
      </c>
      <c r="E1571" s="2" t="s">
        <v>603</v>
      </c>
      <c r="F1571" s="3">
        <v>2289</v>
      </c>
      <c r="G1571" s="4">
        <v>60</v>
      </c>
      <c r="H1571" s="5">
        <v>7.4999999999999997E-3</v>
      </c>
    </row>
    <row r="1572" spans="1:8" x14ac:dyDescent="0.35">
      <c r="A1572" s="2" t="s">
        <v>748</v>
      </c>
      <c r="B1572" s="2" t="s">
        <v>788</v>
      </c>
      <c r="C1572" s="2" t="s">
        <v>757</v>
      </c>
      <c r="D1572" s="2" t="s">
        <v>758</v>
      </c>
      <c r="E1572" s="2" t="s">
        <v>92</v>
      </c>
      <c r="F1572" s="3">
        <v>1100</v>
      </c>
      <c r="G1572" s="4">
        <v>60</v>
      </c>
      <c r="H1572" s="5">
        <v>0</v>
      </c>
    </row>
    <row r="1573" spans="1:8" x14ac:dyDescent="0.35">
      <c r="A1573" s="2" t="s">
        <v>748</v>
      </c>
      <c r="B1573" s="2" t="s">
        <v>788</v>
      </c>
      <c r="C1573" s="2" t="s">
        <v>767</v>
      </c>
      <c r="D1573" s="2" t="s">
        <v>768</v>
      </c>
      <c r="E1573" s="2" t="s">
        <v>147</v>
      </c>
      <c r="F1573" s="3">
        <v>1400</v>
      </c>
      <c r="G1573" s="4">
        <v>60</v>
      </c>
      <c r="H1573" s="5">
        <v>7.4999999999999997E-3</v>
      </c>
    </row>
    <row r="1574" spans="1:8" x14ac:dyDescent="0.35">
      <c r="A1574" s="2" t="s">
        <v>748</v>
      </c>
      <c r="B1574" s="2" t="s">
        <v>788</v>
      </c>
      <c r="C1574" s="2" t="s">
        <v>769</v>
      </c>
      <c r="D1574" s="2" t="s">
        <v>770</v>
      </c>
      <c r="E1574" s="2" t="s">
        <v>260</v>
      </c>
      <c r="F1574" s="3">
        <v>19000</v>
      </c>
      <c r="G1574" s="4">
        <v>60</v>
      </c>
      <c r="H1574" s="5">
        <v>7.4999999999999997E-3</v>
      </c>
    </row>
    <row r="1575" spans="1:8" x14ac:dyDescent="0.35">
      <c r="A1575" s="2" t="s">
        <v>748</v>
      </c>
      <c r="B1575" s="2" t="s">
        <v>788</v>
      </c>
      <c r="C1575" s="2" t="s">
        <v>761</v>
      </c>
      <c r="D1575" s="2" t="s">
        <v>762</v>
      </c>
      <c r="E1575" s="2" t="s">
        <v>92</v>
      </c>
      <c r="F1575" s="3">
        <v>550</v>
      </c>
      <c r="G1575" s="4">
        <v>60</v>
      </c>
      <c r="H1575" s="5">
        <v>0</v>
      </c>
    </row>
    <row r="1576" spans="1:8" x14ac:dyDescent="0.35">
      <c r="A1576" s="2" t="s">
        <v>748</v>
      </c>
      <c r="B1576" s="2" t="s">
        <v>788</v>
      </c>
      <c r="C1576" s="2" t="s">
        <v>771</v>
      </c>
      <c r="D1576" s="2" t="s">
        <v>772</v>
      </c>
      <c r="E1576" s="2" t="s">
        <v>69</v>
      </c>
      <c r="F1576" s="3">
        <v>500</v>
      </c>
      <c r="G1576" s="4">
        <v>60</v>
      </c>
      <c r="H1576" s="5">
        <v>0</v>
      </c>
    </row>
    <row r="1577" spans="1:8" x14ac:dyDescent="0.35">
      <c r="A1577" s="2" t="s">
        <v>748</v>
      </c>
      <c r="B1577" s="2" t="s">
        <v>788</v>
      </c>
      <c r="C1577" s="2" t="s">
        <v>773</v>
      </c>
      <c r="D1577" s="2" t="s">
        <v>774</v>
      </c>
      <c r="E1577" s="2" t="s">
        <v>412</v>
      </c>
      <c r="F1577" s="3">
        <v>12000</v>
      </c>
      <c r="G1577" s="4">
        <v>60</v>
      </c>
      <c r="H1577" s="5">
        <v>7.4999999999999997E-3</v>
      </c>
    </row>
    <row r="1578" spans="1:8" x14ac:dyDescent="0.35">
      <c r="A1578" s="2" t="s">
        <v>748</v>
      </c>
      <c r="B1578" s="2" t="s">
        <v>788</v>
      </c>
      <c r="C1578" s="2" t="s">
        <v>775</v>
      </c>
      <c r="D1578" s="2" t="s">
        <v>776</v>
      </c>
      <c r="E1578" s="2" t="s">
        <v>777</v>
      </c>
      <c r="F1578" s="3">
        <v>1900</v>
      </c>
      <c r="G1578" s="4">
        <v>60</v>
      </c>
      <c r="H1578" s="5">
        <v>7.4999999999999997E-3</v>
      </c>
    </row>
    <row r="1579" spans="1:8" x14ac:dyDescent="0.35">
      <c r="A1579" s="2" t="s">
        <v>748</v>
      </c>
      <c r="B1579" s="2" t="s">
        <v>788</v>
      </c>
      <c r="C1579" s="2" t="s">
        <v>761</v>
      </c>
      <c r="D1579" s="2" t="s">
        <v>762</v>
      </c>
      <c r="E1579" s="2" t="s">
        <v>92</v>
      </c>
      <c r="F1579" s="3">
        <v>550</v>
      </c>
      <c r="G1579" s="4">
        <v>60</v>
      </c>
      <c r="H1579" s="5">
        <v>0</v>
      </c>
    </row>
    <row r="1580" spans="1:8" x14ac:dyDescent="0.35">
      <c r="A1580" s="2" t="s">
        <v>748</v>
      </c>
      <c r="B1580" s="2" t="s">
        <v>788</v>
      </c>
      <c r="C1580" s="2" t="s">
        <v>778</v>
      </c>
      <c r="D1580" s="2" t="s">
        <v>779</v>
      </c>
      <c r="E1580" s="2" t="s">
        <v>780</v>
      </c>
      <c r="F1580" s="3">
        <v>1899.9</v>
      </c>
      <c r="G1580" s="4">
        <v>60</v>
      </c>
      <c r="H1580" s="5">
        <v>7.4999999999999997E-3</v>
      </c>
    </row>
    <row r="1581" spans="1:8" x14ac:dyDescent="0.35">
      <c r="A1581" s="2" t="s">
        <v>748</v>
      </c>
      <c r="B1581" s="2" t="s">
        <v>788</v>
      </c>
      <c r="C1581" s="2" t="s">
        <v>781</v>
      </c>
      <c r="D1581" s="2" t="s">
        <v>782</v>
      </c>
      <c r="E1581" s="2" t="s">
        <v>92</v>
      </c>
      <c r="F1581" s="3">
        <v>1100</v>
      </c>
      <c r="G1581" s="4">
        <v>60</v>
      </c>
      <c r="H1581" s="5">
        <v>0</v>
      </c>
    </row>
    <row r="1582" spans="1:8" x14ac:dyDescent="0.35">
      <c r="A1582" s="2" t="s">
        <v>748</v>
      </c>
      <c r="B1582" s="2" t="s">
        <v>788</v>
      </c>
      <c r="C1582" s="2" t="s">
        <v>761</v>
      </c>
      <c r="D1582" s="2" t="s">
        <v>762</v>
      </c>
      <c r="E1582" s="2" t="s">
        <v>92</v>
      </c>
      <c r="F1582" s="3">
        <v>550</v>
      </c>
      <c r="G1582" s="4">
        <v>60</v>
      </c>
      <c r="H1582" s="5">
        <v>0</v>
      </c>
    </row>
    <row r="1583" spans="1:8" x14ac:dyDescent="0.35">
      <c r="A1583" s="2" t="s">
        <v>748</v>
      </c>
      <c r="B1583" s="2" t="s">
        <v>788</v>
      </c>
      <c r="C1583" s="2" t="s">
        <v>783</v>
      </c>
      <c r="D1583" s="2" t="s">
        <v>784</v>
      </c>
      <c r="E1583" s="2" t="s">
        <v>260</v>
      </c>
      <c r="F1583" s="3">
        <v>11000</v>
      </c>
      <c r="G1583" s="4">
        <v>60</v>
      </c>
      <c r="H1583" s="5">
        <v>7.4999999999999997E-3</v>
      </c>
    </row>
    <row r="1584" spans="1:8" x14ac:dyDescent="0.35">
      <c r="A1584" s="2" t="s">
        <v>748</v>
      </c>
      <c r="B1584" s="2" t="s">
        <v>291</v>
      </c>
      <c r="C1584" s="2" t="s">
        <v>750</v>
      </c>
      <c r="D1584" s="2" t="s">
        <v>751</v>
      </c>
      <c r="E1584" s="2" t="s">
        <v>434</v>
      </c>
      <c r="F1584" s="3">
        <v>3500</v>
      </c>
      <c r="G1584" s="4">
        <v>60</v>
      </c>
      <c r="H1584" s="5">
        <v>7.4999999999999997E-3</v>
      </c>
    </row>
    <row r="1585" spans="1:8" x14ac:dyDescent="0.35">
      <c r="A1585" s="2" t="s">
        <v>748</v>
      </c>
      <c r="B1585" s="2" t="s">
        <v>291</v>
      </c>
      <c r="C1585" s="2" t="s">
        <v>752</v>
      </c>
      <c r="D1585" s="2" t="s">
        <v>753</v>
      </c>
      <c r="E1585" s="2" t="s">
        <v>189</v>
      </c>
      <c r="F1585" s="3">
        <v>20000</v>
      </c>
      <c r="G1585" s="4">
        <v>60</v>
      </c>
      <c r="H1585" s="5">
        <v>7.4999999999999997E-3</v>
      </c>
    </row>
    <row r="1586" spans="1:8" x14ac:dyDescent="0.35">
      <c r="A1586" s="2" t="s">
        <v>748</v>
      </c>
      <c r="B1586" s="2" t="s">
        <v>291</v>
      </c>
      <c r="C1586" s="2" t="s">
        <v>754</v>
      </c>
      <c r="D1586" s="2" t="s">
        <v>755</v>
      </c>
      <c r="E1586" s="2" t="s">
        <v>756</v>
      </c>
      <c r="F1586" s="3">
        <v>2100</v>
      </c>
      <c r="G1586" s="4">
        <v>60</v>
      </c>
      <c r="H1586" s="5">
        <v>7.4999999999999997E-3</v>
      </c>
    </row>
    <row r="1587" spans="1:8" x14ac:dyDescent="0.35">
      <c r="A1587" s="2" t="s">
        <v>748</v>
      </c>
      <c r="B1587" s="2" t="s">
        <v>291</v>
      </c>
      <c r="C1587" s="2" t="s">
        <v>757</v>
      </c>
      <c r="D1587" s="2" t="s">
        <v>758</v>
      </c>
      <c r="E1587" s="2" t="s">
        <v>92</v>
      </c>
      <c r="F1587" s="3">
        <v>1100</v>
      </c>
      <c r="G1587" s="4">
        <v>60</v>
      </c>
      <c r="H1587" s="5">
        <v>0</v>
      </c>
    </row>
    <row r="1588" spans="1:8" x14ac:dyDescent="0.35">
      <c r="A1588" s="2" t="s">
        <v>748</v>
      </c>
      <c r="B1588" s="2" t="s">
        <v>291</v>
      </c>
      <c r="C1588" s="2" t="s">
        <v>759</v>
      </c>
      <c r="D1588" s="2" t="s">
        <v>760</v>
      </c>
      <c r="E1588" s="2" t="s">
        <v>46</v>
      </c>
      <c r="F1588" s="3">
        <v>1800</v>
      </c>
      <c r="G1588" s="4">
        <v>60</v>
      </c>
      <c r="H1588" s="5">
        <v>7.4999999999999997E-3</v>
      </c>
    </row>
    <row r="1589" spans="1:8" x14ac:dyDescent="0.35">
      <c r="A1589" s="2" t="s">
        <v>748</v>
      </c>
      <c r="B1589" s="2" t="s">
        <v>291</v>
      </c>
      <c r="C1589" s="2" t="s">
        <v>761</v>
      </c>
      <c r="D1589" s="2" t="s">
        <v>762</v>
      </c>
      <c r="E1589" s="2" t="s">
        <v>92</v>
      </c>
      <c r="F1589" s="3">
        <v>550</v>
      </c>
      <c r="G1589" s="4">
        <v>60</v>
      </c>
      <c r="H1589" s="5">
        <v>0</v>
      </c>
    </row>
    <row r="1590" spans="1:8" x14ac:dyDescent="0.35">
      <c r="A1590" s="2" t="s">
        <v>748</v>
      </c>
      <c r="B1590" s="2" t="s">
        <v>291</v>
      </c>
      <c r="C1590" s="2" t="s">
        <v>763</v>
      </c>
      <c r="D1590" s="2" t="s">
        <v>764</v>
      </c>
      <c r="E1590" s="2" t="s">
        <v>226</v>
      </c>
      <c r="F1590" s="3">
        <v>4100</v>
      </c>
      <c r="G1590" s="4">
        <v>60</v>
      </c>
      <c r="H1590" s="5">
        <v>7.4999999999999997E-3</v>
      </c>
    </row>
    <row r="1591" spans="1:8" x14ac:dyDescent="0.35">
      <c r="A1591" s="2" t="s">
        <v>748</v>
      </c>
      <c r="B1591" s="2" t="s">
        <v>291</v>
      </c>
      <c r="C1591" s="2" t="s">
        <v>765</v>
      </c>
      <c r="D1591" s="2" t="s">
        <v>766</v>
      </c>
      <c r="E1591" s="2" t="s">
        <v>603</v>
      </c>
      <c r="F1591" s="3">
        <v>2289</v>
      </c>
      <c r="G1591" s="4">
        <v>60</v>
      </c>
      <c r="H1591" s="5">
        <v>7.4999999999999997E-3</v>
      </c>
    </row>
    <row r="1592" spans="1:8" x14ac:dyDescent="0.35">
      <c r="A1592" s="2" t="s">
        <v>748</v>
      </c>
      <c r="B1592" s="2" t="s">
        <v>291</v>
      </c>
      <c r="C1592" s="2" t="s">
        <v>757</v>
      </c>
      <c r="D1592" s="2" t="s">
        <v>758</v>
      </c>
      <c r="E1592" s="2" t="s">
        <v>92</v>
      </c>
      <c r="F1592" s="3">
        <v>1100</v>
      </c>
      <c r="G1592" s="4">
        <v>60</v>
      </c>
      <c r="H1592" s="5">
        <v>0</v>
      </c>
    </row>
    <row r="1593" spans="1:8" x14ac:dyDescent="0.35">
      <c r="A1593" s="2" t="s">
        <v>748</v>
      </c>
      <c r="B1593" s="2" t="s">
        <v>291</v>
      </c>
      <c r="C1593" s="2" t="s">
        <v>767</v>
      </c>
      <c r="D1593" s="2" t="s">
        <v>768</v>
      </c>
      <c r="E1593" s="2" t="s">
        <v>147</v>
      </c>
      <c r="F1593" s="3">
        <v>1400</v>
      </c>
      <c r="G1593" s="4">
        <v>60</v>
      </c>
      <c r="H1593" s="5">
        <v>7.4999999999999997E-3</v>
      </c>
    </row>
    <row r="1594" spans="1:8" x14ac:dyDescent="0.35">
      <c r="A1594" s="2" t="s">
        <v>748</v>
      </c>
      <c r="B1594" s="2" t="s">
        <v>291</v>
      </c>
      <c r="C1594" s="2" t="s">
        <v>769</v>
      </c>
      <c r="D1594" s="2" t="s">
        <v>770</v>
      </c>
      <c r="E1594" s="2" t="s">
        <v>260</v>
      </c>
      <c r="F1594" s="3">
        <v>19000</v>
      </c>
      <c r="G1594" s="4">
        <v>60</v>
      </c>
      <c r="H1594" s="5">
        <v>7.4999999999999997E-3</v>
      </c>
    </row>
    <row r="1595" spans="1:8" x14ac:dyDescent="0.35">
      <c r="A1595" s="2" t="s">
        <v>748</v>
      </c>
      <c r="B1595" s="2" t="s">
        <v>291</v>
      </c>
      <c r="C1595" s="2" t="s">
        <v>761</v>
      </c>
      <c r="D1595" s="2" t="s">
        <v>762</v>
      </c>
      <c r="E1595" s="2" t="s">
        <v>92</v>
      </c>
      <c r="F1595" s="3">
        <v>550</v>
      </c>
      <c r="G1595" s="4">
        <v>60</v>
      </c>
      <c r="H1595" s="5">
        <v>0</v>
      </c>
    </row>
    <row r="1596" spans="1:8" x14ac:dyDescent="0.35">
      <c r="A1596" s="2" t="s">
        <v>748</v>
      </c>
      <c r="B1596" s="2" t="s">
        <v>291</v>
      </c>
      <c r="C1596" s="2" t="s">
        <v>771</v>
      </c>
      <c r="D1596" s="2" t="s">
        <v>772</v>
      </c>
      <c r="E1596" s="2" t="s">
        <v>69</v>
      </c>
      <c r="F1596" s="3">
        <v>500</v>
      </c>
      <c r="G1596" s="4">
        <v>60</v>
      </c>
      <c r="H1596" s="5">
        <v>0</v>
      </c>
    </row>
    <row r="1597" spans="1:8" x14ac:dyDescent="0.35">
      <c r="A1597" s="2" t="s">
        <v>748</v>
      </c>
      <c r="B1597" s="2" t="s">
        <v>291</v>
      </c>
      <c r="C1597" s="2" t="s">
        <v>773</v>
      </c>
      <c r="D1597" s="2" t="s">
        <v>774</v>
      </c>
      <c r="E1597" s="2" t="s">
        <v>412</v>
      </c>
      <c r="F1597" s="3">
        <v>12000</v>
      </c>
      <c r="G1597" s="4">
        <v>60</v>
      </c>
      <c r="H1597" s="5">
        <v>7.4999999999999997E-3</v>
      </c>
    </row>
    <row r="1598" spans="1:8" x14ac:dyDescent="0.35">
      <c r="A1598" s="2" t="s">
        <v>748</v>
      </c>
      <c r="B1598" s="2" t="s">
        <v>291</v>
      </c>
      <c r="C1598" s="2" t="s">
        <v>775</v>
      </c>
      <c r="D1598" s="2" t="s">
        <v>776</v>
      </c>
      <c r="E1598" s="2" t="s">
        <v>777</v>
      </c>
      <c r="F1598" s="3">
        <v>1900</v>
      </c>
      <c r="G1598" s="4">
        <v>60</v>
      </c>
      <c r="H1598" s="5">
        <v>7.4999999999999997E-3</v>
      </c>
    </row>
    <row r="1599" spans="1:8" x14ac:dyDescent="0.35">
      <c r="A1599" s="2" t="s">
        <v>748</v>
      </c>
      <c r="B1599" s="2" t="s">
        <v>291</v>
      </c>
      <c r="C1599" s="2" t="s">
        <v>761</v>
      </c>
      <c r="D1599" s="2" t="s">
        <v>762</v>
      </c>
      <c r="E1599" s="2" t="s">
        <v>92</v>
      </c>
      <c r="F1599" s="3">
        <v>550</v>
      </c>
      <c r="G1599" s="4">
        <v>60</v>
      </c>
      <c r="H1599" s="5">
        <v>0</v>
      </c>
    </row>
    <row r="1600" spans="1:8" x14ac:dyDescent="0.35">
      <c r="A1600" s="2" t="s">
        <v>748</v>
      </c>
      <c r="B1600" s="2" t="s">
        <v>291</v>
      </c>
      <c r="C1600" s="2" t="s">
        <v>778</v>
      </c>
      <c r="D1600" s="2" t="s">
        <v>779</v>
      </c>
      <c r="E1600" s="2" t="s">
        <v>780</v>
      </c>
      <c r="F1600" s="3">
        <v>1899.9</v>
      </c>
      <c r="G1600" s="4">
        <v>60</v>
      </c>
      <c r="H1600" s="5">
        <v>7.4999999999999997E-3</v>
      </c>
    </row>
    <row r="1601" spans="1:8" x14ac:dyDescent="0.35">
      <c r="A1601" s="2" t="s">
        <v>748</v>
      </c>
      <c r="B1601" s="2" t="s">
        <v>291</v>
      </c>
      <c r="C1601" s="2" t="s">
        <v>781</v>
      </c>
      <c r="D1601" s="2" t="s">
        <v>782</v>
      </c>
      <c r="E1601" s="2" t="s">
        <v>92</v>
      </c>
      <c r="F1601" s="3">
        <v>1100</v>
      </c>
      <c r="G1601" s="4">
        <v>60</v>
      </c>
      <c r="H1601" s="5">
        <v>0</v>
      </c>
    </row>
    <row r="1602" spans="1:8" x14ac:dyDescent="0.35">
      <c r="A1602" s="2" t="s">
        <v>748</v>
      </c>
      <c r="B1602" s="2" t="s">
        <v>291</v>
      </c>
      <c r="C1602" s="2" t="s">
        <v>761</v>
      </c>
      <c r="D1602" s="2" t="s">
        <v>762</v>
      </c>
      <c r="E1602" s="2" t="s">
        <v>92</v>
      </c>
      <c r="F1602" s="3">
        <v>550</v>
      </c>
      <c r="G1602" s="4">
        <v>60</v>
      </c>
      <c r="H1602" s="5">
        <v>0</v>
      </c>
    </row>
    <row r="1603" spans="1:8" x14ac:dyDescent="0.35">
      <c r="A1603" s="2" t="s">
        <v>748</v>
      </c>
      <c r="B1603" s="2" t="s">
        <v>291</v>
      </c>
      <c r="C1603" s="2" t="s">
        <v>783</v>
      </c>
      <c r="D1603" s="2" t="s">
        <v>784</v>
      </c>
      <c r="E1603" s="2" t="s">
        <v>260</v>
      </c>
      <c r="F1603" s="3">
        <v>11000</v>
      </c>
      <c r="G1603" s="4">
        <v>60</v>
      </c>
      <c r="H1603" s="5">
        <v>7.4999999999999997E-3</v>
      </c>
    </row>
    <row r="1604" spans="1:8" x14ac:dyDescent="0.35">
      <c r="A1604" s="2" t="s">
        <v>748</v>
      </c>
      <c r="B1604" s="2" t="s">
        <v>339</v>
      </c>
      <c r="C1604" s="2" t="s">
        <v>750</v>
      </c>
      <c r="D1604" s="2" t="s">
        <v>751</v>
      </c>
      <c r="E1604" s="2" t="s">
        <v>434</v>
      </c>
      <c r="F1604" s="3">
        <v>8012.2</v>
      </c>
      <c r="G1604" s="4">
        <v>60</v>
      </c>
      <c r="H1604" s="5">
        <v>1.67E-2</v>
      </c>
    </row>
    <row r="1605" spans="1:8" x14ac:dyDescent="0.35">
      <c r="A1605" s="2" t="s">
        <v>748</v>
      </c>
      <c r="B1605" s="2" t="s">
        <v>339</v>
      </c>
      <c r="C1605" s="2" t="s">
        <v>752</v>
      </c>
      <c r="D1605" s="2" t="s">
        <v>753</v>
      </c>
      <c r="E1605" s="2" t="s">
        <v>189</v>
      </c>
      <c r="F1605" s="3">
        <v>1400</v>
      </c>
      <c r="G1605" s="4">
        <v>1</v>
      </c>
      <c r="H1605" s="5">
        <v>0</v>
      </c>
    </row>
    <row r="1606" spans="1:8" x14ac:dyDescent="0.35">
      <c r="A1606" s="2" t="s">
        <v>748</v>
      </c>
      <c r="B1606" s="2" t="s">
        <v>339</v>
      </c>
      <c r="C1606" s="2" t="s">
        <v>754</v>
      </c>
      <c r="D1606" s="2" t="s">
        <v>755</v>
      </c>
      <c r="E1606" s="2" t="s">
        <v>756</v>
      </c>
      <c r="F1606" s="3">
        <v>2075</v>
      </c>
      <c r="G1606" s="4">
        <v>60</v>
      </c>
      <c r="H1606" s="5">
        <v>1.67E-2</v>
      </c>
    </row>
    <row r="1607" spans="1:8" x14ac:dyDescent="0.35">
      <c r="A1607" s="2" t="s">
        <v>748</v>
      </c>
      <c r="B1607" s="2" t="s">
        <v>339</v>
      </c>
      <c r="C1607" s="2" t="s">
        <v>757</v>
      </c>
      <c r="D1607" s="2" t="s">
        <v>758</v>
      </c>
      <c r="E1607" s="2" t="s">
        <v>92</v>
      </c>
      <c r="F1607" s="3">
        <v>1018</v>
      </c>
      <c r="G1607" s="4">
        <v>36</v>
      </c>
      <c r="H1607" s="5">
        <v>0</v>
      </c>
    </row>
    <row r="1608" spans="1:8" x14ac:dyDescent="0.35">
      <c r="A1608" s="2" t="s">
        <v>748</v>
      </c>
      <c r="B1608" s="2" t="s">
        <v>339</v>
      </c>
      <c r="C1608" s="2" t="s">
        <v>759</v>
      </c>
      <c r="D1608" s="2" t="s">
        <v>760</v>
      </c>
      <c r="E1608" s="2" t="s">
        <v>46</v>
      </c>
      <c r="F1608" s="3">
        <v>1796.58</v>
      </c>
      <c r="G1608" s="4">
        <v>60</v>
      </c>
      <c r="H1608" s="5">
        <v>1.67E-2</v>
      </c>
    </row>
    <row r="1609" spans="1:8" x14ac:dyDescent="0.35">
      <c r="A1609" s="2" t="s">
        <v>748</v>
      </c>
      <c r="B1609" s="2" t="s">
        <v>339</v>
      </c>
      <c r="C1609" s="2" t="s">
        <v>761</v>
      </c>
      <c r="D1609" s="2" t="s">
        <v>762</v>
      </c>
      <c r="E1609" s="2" t="s">
        <v>92</v>
      </c>
      <c r="F1609" s="3">
        <v>1018</v>
      </c>
      <c r="G1609" s="4">
        <v>36</v>
      </c>
      <c r="H1609" s="5">
        <v>0</v>
      </c>
    </row>
    <row r="1610" spans="1:8" x14ac:dyDescent="0.35">
      <c r="A1610" s="2" t="s">
        <v>748</v>
      </c>
      <c r="B1610" s="2" t="s">
        <v>339</v>
      </c>
      <c r="C1610" s="2" t="s">
        <v>763</v>
      </c>
      <c r="D1610" s="2" t="s">
        <v>764</v>
      </c>
      <c r="E1610" s="2" t="s">
        <v>226</v>
      </c>
      <c r="F1610" s="3">
        <v>4690</v>
      </c>
      <c r="G1610" s="4">
        <v>60</v>
      </c>
      <c r="H1610" s="5">
        <v>1.67E-2</v>
      </c>
    </row>
    <row r="1611" spans="1:8" x14ac:dyDescent="0.35">
      <c r="A1611" s="2" t="s">
        <v>748</v>
      </c>
      <c r="B1611" s="2" t="s">
        <v>339</v>
      </c>
      <c r="C1611" s="2" t="s">
        <v>765</v>
      </c>
      <c r="D1611" s="2" t="s">
        <v>766</v>
      </c>
      <c r="E1611" s="2" t="s">
        <v>603</v>
      </c>
      <c r="F1611" s="3">
        <v>0.01</v>
      </c>
      <c r="G1611" s="4">
        <v>0</v>
      </c>
      <c r="H1611" s="5">
        <v>0</v>
      </c>
    </row>
    <row r="1612" spans="1:8" x14ac:dyDescent="0.35">
      <c r="A1612" s="2" t="s">
        <v>748</v>
      </c>
      <c r="B1612" s="2" t="s">
        <v>339</v>
      </c>
      <c r="C1612" s="2" t="s">
        <v>757</v>
      </c>
      <c r="D1612" s="2" t="s">
        <v>758</v>
      </c>
      <c r="E1612" s="2" t="s">
        <v>92</v>
      </c>
      <c r="F1612" s="3">
        <v>1018</v>
      </c>
      <c r="G1612" s="4">
        <v>36</v>
      </c>
      <c r="H1612" s="5">
        <v>0</v>
      </c>
    </row>
    <row r="1613" spans="1:8" x14ac:dyDescent="0.35">
      <c r="A1613" s="2" t="s">
        <v>748</v>
      </c>
      <c r="B1613" s="2" t="s">
        <v>339</v>
      </c>
      <c r="C1613" s="2" t="s">
        <v>767</v>
      </c>
      <c r="D1613" s="2" t="s">
        <v>768</v>
      </c>
      <c r="E1613" s="2" t="s">
        <v>147</v>
      </c>
      <c r="F1613" s="3">
        <v>1774.81</v>
      </c>
      <c r="G1613" s="4">
        <v>60</v>
      </c>
      <c r="H1613" s="5">
        <v>1.67E-2</v>
      </c>
    </row>
    <row r="1614" spans="1:8" x14ac:dyDescent="0.35">
      <c r="A1614" s="2" t="s">
        <v>748</v>
      </c>
      <c r="B1614" s="2" t="s">
        <v>339</v>
      </c>
      <c r="C1614" s="2" t="s">
        <v>769</v>
      </c>
      <c r="D1614" s="2" t="s">
        <v>770</v>
      </c>
      <c r="E1614" s="2" t="s">
        <v>260</v>
      </c>
      <c r="F1614" s="3">
        <v>880.38</v>
      </c>
      <c r="G1614" s="4">
        <v>1</v>
      </c>
      <c r="H1614" s="5">
        <v>0</v>
      </c>
    </row>
    <row r="1615" spans="1:8" x14ac:dyDescent="0.35">
      <c r="A1615" s="2" t="s">
        <v>748</v>
      </c>
      <c r="B1615" s="2" t="s">
        <v>339</v>
      </c>
      <c r="C1615" s="2" t="s">
        <v>761</v>
      </c>
      <c r="D1615" s="2" t="s">
        <v>762</v>
      </c>
      <c r="E1615" s="2" t="s">
        <v>92</v>
      </c>
      <c r="F1615" s="3">
        <v>1018</v>
      </c>
      <c r="G1615" s="4">
        <v>36</v>
      </c>
      <c r="H1615" s="5">
        <v>0</v>
      </c>
    </row>
    <row r="1616" spans="1:8" x14ac:dyDescent="0.35">
      <c r="A1616" s="2" t="s">
        <v>748</v>
      </c>
      <c r="B1616" s="2" t="s">
        <v>339</v>
      </c>
      <c r="C1616" s="2" t="s">
        <v>771</v>
      </c>
      <c r="D1616" s="2" t="s">
        <v>772</v>
      </c>
      <c r="E1616" s="2" t="s">
        <v>69</v>
      </c>
      <c r="F1616" s="3">
        <v>1801.8</v>
      </c>
      <c r="G1616" s="4">
        <v>60</v>
      </c>
      <c r="H1616" s="5">
        <v>1.67E-2</v>
      </c>
    </row>
    <row r="1617" spans="1:8" x14ac:dyDescent="0.35">
      <c r="A1617" s="2" t="s">
        <v>748</v>
      </c>
      <c r="B1617" s="2" t="s">
        <v>339</v>
      </c>
      <c r="C1617" s="2" t="s">
        <v>773</v>
      </c>
      <c r="D1617" s="2" t="s">
        <v>774</v>
      </c>
      <c r="E1617" s="2" t="s">
        <v>412</v>
      </c>
      <c r="F1617" s="3">
        <v>22620.28</v>
      </c>
      <c r="G1617" s="4">
        <v>60</v>
      </c>
      <c r="H1617" s="5">
        <v>1.67E-2</v>
      </c>
    </row>
    <row r="1618" spans="1:8" x14ac:dyDescent="0.35">
      <c r="A1618" s="2" t="s">
        <v>748</v>
      </c>
      <c r="B1618" s="2" t="s">
        <v>339</v>
      </c>
      <c r="C1618" s="2" t="s">
        <v>775</v>
      </c>
      <c r="D1618" s="2" t="s">
        <v>776</v>
      </c>
      <c r="E1618" s="2" t="s">
        <v>777</v>
      </c>
      <c r="F1618" s="3">
        <v>0.01</v>
      </c>
      <c r="G1618" s="4">
        <v>0</v>
      </c>
      <c r="H1618" s="5">
        <v>0</v>
      </c>
    </row>
    <row r="1619" spans="1:8" x14ac:dyDescent="0.35">
      <c r="A1619" s="2" t="s">
        <v>748</v>
      </c>
      <c r="B1619" s="2" t="s">
        <v>339</v>
      </c>
      <c r="C1619" s="2" t="s">
        <v>761</v>
      </c>
      <c r="D1619" s="2" t="s">
        <v>762</v>
      </c>
      <c r="E1619" s="2" t="s">
        <v>92</v>
      </c>
      <c r="F1619" s="3">
        <v>1018</v>
      </c>
      <c r="G1619" s="4">
        <v>36</v>
      </c>
      <c r="H1619" s="5">
        <v>0</v>
      </c>
    </row>
    <row r="1620" spans="1:8" x14ac:dyDescent="0.35">
      <c r="A1620" s="2" t="s">
        <v>748</v>
      </c>
      <c r="B1620" s="2" t="s">
        <v>339</v>
      </c>
      <c r="C1620" s="2" t="s">
        <v>778</v>
      </c>
      <c r="D1620" s="2" t="s">
        <v>779</v>
      </c>
      <c r="E1620" s="2" t="s">
        <v>780</v>
      </c>
      <c r="F1620" s="3">
        <v>0.01</v>
      </c>
      <c r="G1620" s="4">
        <v>0</v>
      </c>
      <c r="H1620" s="5">
        <v>0</v>
      </c>
    </row>
    <row r="1621" spans="1:8" x14ac:dyDescent="0.35">
      <c r="A1621" s="2" t="s">
        <v>748</v>
      </c>
      <c r="B1621" s="2" t="s">
        <v>339</v>
      </c>
      <c r="C1621" s="2" t="s">
        <v>781</v>
      </c>
      <c r="D1621" s="2" t="s">
        <v>782</v>
      </c>
      <c r="E1621" s="2" t="s">
        <v>92</v>
      </c>
      <c r="F1621" s="3">
        <v>1018</v>
      </c>
      <c r="G1621" s="4">
        <v>36</v>
      </c>
      <c r="H1621" s="5">
        <v>0</v>
      </c>
    </row>
    <row r="1622" spans="1:8" x14ac:dyDescent="0.35">
      <c r="A1622" s="2" t="s">
        <v>748</v>
      </c>
      <c r="B1622" s="2" t="s">
        <v>339</v>
      </c>
      <c r="C1622" s="2" t="s">
        <v>761</v>
      </c>
      <c r="D1622" s="2" t="s">
        <v>762</v>
      </c>
      <c r="E1622" s="2" t="s">
        <v>92</v>
      </c>
      <c r="F1622" s="3">
        <v>1018</v>
      </c>
      <c r="G1622" s="4">
        <v>36</v>
      </c>
      <c r="H1622" s="5">
        <v>0</v>
      </c>
    </row>
    <row r="1623" spans="1:8" x14ac:dyDescent="0.35">
      <c r="A1623" s="2" t="s">
        <v>748</v>
      </c>
      <c r="B1623" s="2" t="s">
        <v>339</v>
      </c>
      <c r="C1623" s="2" t="s">
        <v>783</v>
      </c>
      <c r="D1623" s="2" t="s">
        <v>784</v>
      </c>
      <c r="E1623" s="2" t="s">
        <v>260</v>
      </c>
      <c r="F1623" s="3">
        <v>835</v>
      </c>
      <c r="G1623" s="4">
        <v>1</v>
      </c>
      <c r="H1623" s="5">
        <v>0</v>
      </c>
    </row>
    <row r="1624" spans="1:8" x14ac:dyDescent="0.35">
      <c r="A1624" s="2" t="s">
        <v>748</v>
      </c>
      <c r="B1624" s="2" t="s">
        <v>509</v>
      </c>
      <c r="C1624" s="2" t="s">
        <v>750</v>
      </c>
      <c r="D1624" s="2" t="s">
        <v>751</v>
      </c>
      <c r="E1624" s="2" t="s">
        <v>434</v>
      </c>
      <c r="F1624" s="3">
        <v>3507.87</v>
      </c>
      <c r="G1624" s="4">
        <v>18</v>
      </c>
      <c r="H1624" s="5">
        <v>0.01</v>
      </c>
    </row>
    <row r="1625" spans="1:8" x14ac:dyDescent="0.35">
      <c r="A1625" s="2" t="s">
        <v>748</v>
      </c>
      <c r="B1625" s="2" t="s">
        <v>509</v>
      </c>
      <c r="C1625" s="2" t="s">
        <v>752</v>
      </c>
      <c r="D1625" s="2" t="s">
        <v>753</v>
      </c>
      <c r="E1625" s="2" t="s">
        <v>189</v>
      </c>
      <c r="F1625" s="3">
        <v>2110.06</v>
      </c>
      <c r="G1625" s="4">
        <v>1</v>
      </c>
      <c r="H1625" s="5">
        <v>0</v>
      </c>
    </row>
    <row r="1626" spans="1:8" x14ac:dyDescent="0.35">
      <c r="A1626" s="2" t="s">
        <v>748</v>
      </c>
      <c r="B1626" s="2" t="s">
        <v>509</v>
      </c>
      <c r="C1626" s="2" t="s">
        <v>754</v>
      </c>
      <c r="D1626" s="2" t="s">
        <v>755</v>
      </c>
      <c r="E1626" s="2" t="s">
        <v>756</v>
      </c>
      <c r="F1626" s="3">
        <v>473.49</v>
      </c>
      <c r="G1626" s="4">
        <v>36</v>
      </c>
      <c r="H1626" s="5">
        <v>0.01</v>
      </c>
    </row>
    <row r="1627" spans="1:8" x14ac:dyDescent="0.35">
      <c r="A1627" s="2" t="s">
        <v>748</v>
      </c>
      <c r="B1627" s="2" t="s">
        <v>509</v>
      </c>
      <c r="C1627" s="2" t="s">
        <v>757</v>
      </c>
      <c r="D1627" s="2" t="s">
        <v>758</v>
      </c>
      <c r="E1627" s="2" t="s">
        <v>92</v>
      </c>
      <c r="F1627" s="3">
        <v>1261.74</v>
      </c>
      <c r="G1627" s="4">
        <v>24</v>
      </c>
      <c r="H1627" s="5">
        <v>0.01</v>
      </c>
    </row>
    <row r="1628" spans="1:8" x14ac:dyDescent="0.35">
      <c r="A1628" s="2" t="s">
        <v>748</v>
      </c>
      <c r="B1628" s="2" t="s">
        <v>509</v>
      </c>
      <c r="C1628" s="2" t="s">
        <v>759</v>
      </c>
      <c r="D1628" s="2" t="s">
        <v>760</v>
      </c>
      <c r="E1628" s="2" t="s">
        <v>46</v>
      </c>
      <c r="F1628" s="3">
        <v>1912.38</v>
      </c>
      <c r="G1628" s="4">
        <v>24</v>
      </c>
      <c r="H1628" s="5">
        <v>0.01</v>
      </c>
    </row>
    <row r="1629" spans="1:8" x14ac:dyDescent="0.35">
      <c r="A1629" s="2" t="s">
        <v>748</v>
      </c>
      <c r="B1629" s="2" t="s">
        <v>509</v>
      </c>
      <c r="C1629" s="2" t="s">
        <v>761</v>
      </c>
      <c r="D1629" s="2" t="s">
        <v>762</v>
      </c>
      <c r="E1629" s="2" t="s">
        <v>92</v>
      </c>
      <c r="F1629" s="3">
        <v>1261.74</v>
      </c>
      <c r="G1629" s="4">
        <v>24</v>
      </c>
      <c r="H1629" s="5">
        <v>0.01</v>
      </c>
    </row>
    <row r="1630" spans="1:8" x14ac:dyDescent="0.35">
      <c r="A1630" s="2" t="s">
        <v>748</v>
      </c>
      <c r="B1630" s="2" t="s">
        <v>509</v>
      </c>
      <c r="C1630" s="2" t="s">
        <v>763</v>
      </c>
      <c r="D1630" s="2" t="s">
        <v>764</v>
      </c>
      <c r="E1630" s="2" t="s">
        <v>226</v>
      </c>
      <c r="F1630" s="3">
        <v>4100</v>
      </c>
      <c r="G1630" s="4">
        <v>12</v>
      </c>
      <c r="H1630" s="5">
        <v>7.4999999999999997E-3</v>
      </c>
    </row>
    <row r="1631" spans="1:8" x14ac:dyDescent="0.35">
      <c r="A1631" s="2" t="s">
        <v>748</v>
      </c>
      <c r="B1631" s="2" t="s">
        <v>509</v>
      </c>
      <c r="C1631" s="2" t="s">
        <v>765</v>
      </c>
      <c r="D1631" s="2" t="s">
        <v>766</v>
      </c>
      <c r="E1631" s="2" t="s">
        <v>603</v>
      </c>
      <c r="F1631" s="3">
        <v>2289</v>
      </c>
      <c r="G1631" s="4">
        <v>12</v>
      </c>
      <c r="H1631" s="5">
        <v>7.4999999999999997E-3</v>
      </c>
    </row>
    <row r="1632" spans="1:8" x14ac:dyDescent="0.35">
      <c r="A1632" s="2" t="s">
        <v>748</v>
      </c>
      <c r="B1632" s="2" t="s">
        <v>509</v>
      </c>
      <c r="C1632" s="2" t="s">
        <v>757</v>
      </c>
      <c r="D1632" s="2" t="s">
        <v>758</v>
      </c>
      <c r="E1632" s="2" t="s">
        <v>92</v>
      </c>
      <c r="F1632" s="3">
        <v>1261.74</v>
      </c>
      <c r="G1632" s="4">
        <v>24</v>
      </c>
      <c r="H1632" s="5">
        <v>0</v>
      </c>
    </row>
    <row r="1633" spans="1:8" x14ac:dyDescent="0.35">
      <c r="A1633" s="2" t="s">
        <v>748</v>
      </c>
      <c r="B1633" s="2" t="s">
        <v>509</v>
      </c>
      <c r="C1633" s="2" t="s">
        <v>767</v>
      </c>
      <c r="D1633" s="2" t="s">
        <v>768</v>
      </c>
      <c r="E1633" s="2" t="s">
        <v>147</v>
      </c>
      <c r="F1633" s="3">
        <v>1912.68</v>
      </c>
      <c r="G1633" s="4">
        <v>18</v>
      </c>
      <c r="H1633" s="5">
        <v>0.01</v>
      </c>
    </row>
    <row r="1634" spans="1:8" x14ac:dyDescent="0.35">
      <c r="A1634" s="2" t="s">
        <v>748</v>
      </c>
      <c r="B1634" s="2" t="s">
        <v>509</v>
      </c>
      <c r="C1634" s="2" t="s">
        <v>769</v>
      </c>
      <c r="D1634" s="2" t="s">
        <v>770</v>
      </c>
      <c r="E1634" s="2" t="s">
        <v>260</v>
      </c>
      <c r="F1634" s="3">
        <v>918.48</v>
      </c>
      <c r="G1634" s="4">
        <v>1</v>
      </c>
      <c r="H1634" s="5">
        <v>0</v>
      </c>
    </row>
    <row r="1635" spans="1:8" x14ac:dyDescent="0.35">
      <c r="A1635" s="2" t="s">
        <v>748</v>
      </c>
      <c r="B1635" s="2" t="s">
        <v>509</v>
      </c>
      <c r="C1635" s="2" t="s">
        <v>761</v>
      </c>
      <c r="D1635" s="2" t="s">
        <v>762</v>
      </c>
      <c r="E1635" s="2" t="s">
        <v>92</v>
      </c>
      <c r="F1635" s="3">
        <v>1261.74</v>
      </c>
      <c r="G1635" s="4">
        <v>24</v>
      </c>
      <c r="H1635" s="5">
        <v>0</v>
      </c>
    </row>
    <row r="1636" spans="1:8" x14ac:dyDescent="0.35">
      <c r="A1636" s="2" t="s">
        <v>748</v>
      </c>
      <c r="B1636" s="2" t="s">
        <v>509</v>
      </c>
      <c r="C1636" s="2" t="s">
        <v>771</v>
      </c>
      <c r="D1636" s="2" t="s">
        <v>772</v>
      </c>
      <c r="E1636" s="2" t="s">
        <v>69</v>
      </c>
      <c r="F1636" s="3">
        <v>500</v>
      </c>
      <c r="G1636" s="4">
        <v>10</v>
      </c>
      <c r="H1636" s="5">
        <v>0</v>
      </c>
    </row>
    <row r="1637" spans="1:8" x14ac:dyDescent="0.35">
      <c r="A1637" s="2" t="s">
        <v>748</v>
      </c>
      <c r="B1637" s="2" t="s">
        <v>509</v>
      </c>
      <c r="C1637" s="2" t="s">
        <v>773</v>
      </c>
      <c r="D1637" s="2" t="s">
        <v>774</v>
      </c>
      <c r="E1637" s="2" t="s">
        <v>412</v>
      </c>
      <c r="F1637" s="3">
        <v>292.54000000000002</v>
      </c>
      <c r="G1637" s="4">
        <v>1</v>
      </c>
      <c r="H1637" s="5">
        <v>0</v>
      </c>
    </row>
    <row r="1638" spans="1:8" x14ac:dyDescent="0.35">
      <c r="A1638" s="2" t="s">
        <v>748</v>
      </c>
      <c r="B1638" s="2" t="s">
        <v>509</v>
      </c>
      <c r="C1638" s="2" t="s">
        <v>775</v>
      </c>
      <c r="D1638" s="2" t="s">
        <v>776</v>
      </c>
      <c r="E1638" s="2" t="s">
        <v>777</v>
      </c>
      <c r="F1638" s="3">
        <v>3750</v>
      </c>
      <c r="G1638" s="4">
        <v>24</v>
      </c>
      <c r="H1638" s="5">
        <v>0.01</v>
      </c>
    </row>
    <row r="1639" spans="1:8" x14ac:dyDescent="0.35">
      <c r="A1639" s="2" t="s">
        <v>748</v>
      </c>
      <c r="B1639" s="2" t="s">
        <v>509</v>
      </c>
      <c r="C1639" s="2" t="s">
        <v>761</v>
      </c>
      <c r="D1639" s="2" t="s">
        <v>762</v>
      </c>
      <c r="E1639" s="2" t="s">
        <v>92</v>
      </c>
      <c r="F1639" s="3">
        <v>1261.74</v>
      </c>
      <c r="G1639" s="4">
        <v>24</v>
      </c>
      <c r="H1639" s="5">
        <v>0</v>
      </c>
    </row>
    <row r="1640" spans="1:8" x14ac:dyDescent="0.35">
      <c r="A1640" s="2" t="s">
        <v>748</v>
      </c>
      <c r="B1640" s="2" t="s">
        <v>509</v>
      </c>
      <c r="C1640" s="2" t="s">
        <v>778</v>
      </c>
      <c r="D1640" s="2" t="s">
        <v>779</v>
      </c>
      <c r="E1640" s="2" t="s">
        <v>780</v>
      </c>
      <c r="F1640" s="3">
        <v>2750</v>
      </c>
      <c r="G1640" s="4">
        <v>24</v>
      </c>
      <c r="H1640" s="5">
        <v>0.01</v>
      </c>
    </row>
    <row r="1641" spans="1:8" x14ac:dyDescent="0.35">
      <c r="A1641" s="2" t="s">
        <v>748</v>
      </c>
      <c r="B1641" s="2" t="s">
        <v>509</v>
      </c>
      <c r="C1641" s="2" t="s">
        <v>781</v>
      </c>
      <c r="D1641" s="2" t="s">
        <v>782</v>
      </c>
      <c r="E1641" s="2" t="s">
        <v>92</v>
      </c>
      <c r="F1641" s="3">
        <v>1261.74</v>
      </c>
      <c r="G1641" s="4">
        <v>24</v>
      </c>
      <c r="H1641" s="5">
        <v>0</v>
      </c>
    </row>
    <row r="1642" spans="1:8" x14ac:dyDescent="0.35">
      <c r="A1642" s="2" t="s">
        <v>748</v>
      </c>
      <c r="B1642" s="2" t="s">
        <v>509</v>
      </c>
      <c r="C1642" s="2" t="s">
        <v>761</v>
      </c>
      <c r="D1642" s="2" t="s">
        <v>762</v>
      </c>
      <c r="E1642" s="2" t="s">
        <v>92</v>
      </c>
      <c r="F1642" s="3">
        <v>1261.74</v>
      </c>
      <c r="G1642" s="4">
        <v>24</v>
      </c>
      <c r="H1642" s="5">
        <v>0</v>
      </c>
    </row>
    <row r="1643" spans="1:8" x14ac:dyDescent="0.35">
      <c r="A1643" s="2" t="s">
        <v>748</v>
      </c>
      <c r="B1643" s="2" t="s">
        <v>509</v>
      </c>
      <c r="C1643" s="2" t="s">
        <v>783</v>
      </c>
      <c r="D1643" s="2" t="s">
        <v>784</v>
      </c>
      <c r="E1643" s="2" t="s">
        <v>260</v>
      </c>
      <c r="F1643" s="3">
        <v>825.45</v>
      </c>
      <c r="G1643" s="4">
        <v>1</v>
      </c>
      <c r="H1643" s="5">
        <v>0</v>
      </c>
    </row>
    <row r="1644" spans="1:8" x14ac:dyDescent="0.35">
      <c r="A1644" s="2" t="s">
        <v>789</v>
      </c>
      <c r="B1644" s="2" t="s">
        <v>510</v>
      </c>
      <c r="C1644" s="2" t="s">
        <v>790</v>
      </c>
      <c r="D1644" s="2" t="s">
        <v>791</v>
      </c>
      <c r="E1644" s="2" t="s">
        <v>226</v>
      </c>
      <c r="F1644" s="3">
        <v>3392</v>
      </c>
      <c r="G1644" s="4">
        <v>24</v>
      </c>
      <c r="H1644" s="5">
        <v>0</v>
      </c>
    </row>
    <row r="1645" spans="1:8" x14ac:dyDescent="0.35">
      <c r="A1645" s="2" t="s">
        <v>789</v>
      </c>
      <c r="B1645" s="2" t="s">
        <v>510</v>
      </c>
      <c r="C1645" s="2" t="s">
        <v>792</v>
      </c>
      <c r="D1645" s="2" t="s">
        <v>793</v>
      </c>
      <c r="E1645" s="2" t="s">
        <v>35</v>
      </c>
      <c r="F1645" s="3">
        <v>1216</v>
      </c>
      <c r="G1645" s="4">
        <v>18</v>
      </c>
      <c r="H1645" s="5">
        <v>0</v>
      </c>
    </row>
    <row r="1646" spans="1:8" x14ac:dyDescent="0.35">
      <c r="A1646" s="2" t="s">
        <v>789</v>
      </c>
      <c r="B1646" s="2" t="s">
        <v>510</v>
      </c>
      <c r="C1646" s="2" t="s">
        <v>794</v>
      </c>
      <c r="D1646" s="2" t="s">
        <v>795</v>
      </c>
      <c r="E1646" s="2" t="s">
        <v>46</v>
      </c>
      <c r="F1646" s="3">
        <v>4480</v>
      </c>
      <c r="G1646" s="4">
        <v>24</v>
      </c>
      <c r="H1646" s="5">
        <v>0</v>
      </c>
    </row>
    <row r="1647" spans="1:8" x14ac:dyDescent="0.35">
      <c r="A1647" s="2" t="s">
        <v>789</v>
      </c>
      <c r="B1647" s="2" t="s">
        <v>510</v>
      </c>
      <c r="C1647" s="2" t="s">
        <v>737</v>
      </c>
      <c r="D1647" s="2" t="s">
        <v>738</v>
      </c>
      <c r="E1647" s="2" t="s">
        <v>48</v>
      </c>
      <c r="F1647" s="3">
        <v>192</v>
      </c>
      <c r="G1647" s="4">
        <v>12</v>
      </c>
      <c r="H1647" s="5">
        <v>0</v>
      </c>
    </row>
    <row r="1648" spans="1:8" x14ac:dyDescent="0.35">
      <c r="A1648" s="2" t="s">
        <v>789</v>
      </c>
      <c r="B1648" s="2" t="s">
        <v>510</v>
      </c>
      <c r="C1648" s="2" t="s">
        <v>796</v>
      </c>
      <c r="D1648" s="2" t="s">
        <v>797</v>
      </c>
      <c r="E1648" s="2" t="s">
        <v>71</v>
      </c>
      <c r="F1648" s="3">
        <v>576</v>
      </c>
      <c r="G1648" s="4">
        <v>24</v>
      </c>
      <c r="H1648" s="5">
        <v>0</v>
      </c>
    </row>
    <row r="1649" spans="1:8" x14ac:dyDescent="0.35">
      <c r="A1649" s="2" t="s">
        <v>789</v>
      </c>
      <c r="B1649" s="2" t="s">
        <v>510</v>
      </c>
      <c r="C1649" s="2" t="s">
        <v>798</v>
      </c>
      <c r="D1649" s="2" t="s">
        <v>799</v>
      </c>
      <c r="E1649" s="2" t="s">
        <v>92</v>
      </c>
      <c r="F1649" s="3">
        <v>1216</v>
      </c>
      <c r="G1649" s="4">
        <v>24</v>
      </c>
      <c r="H1649" s="5">
        <v>0</v>
      </c>
    </row>
    <row r="1650" spans="1:8" x14ac:dyDescent="0.35">
      <c r="A1650" s="2" t="s">
        <v>789</v>
      </c>
      <c r="B1650" s="2" t="s">
        <v>510</v>
      </c>
      <c r="C1650" s="2" t="s">
        <v>800</v>
      </c>
      <c r="D1650" s="2" t="s">
        <v>801</v>
      </c>
      <c r="E1650" s="2" t="s">
        <v>104</v>
      </c>
      <c r="F1650" s="3">
        <v>64</v>
      </c>
      <c r="G1650" s="4">
        <v>12</v>
      </c>
      <c r="H1650" s="5">
        <v>0</v>
      </c>
    </row>
    <row r="1651" spans="1:8" x14ac:dyDescent="0.35">
      <c r="A1651" s="2" t="s">
        <v>789</v>
      </c>
      <c r="B1651" s="2" t="s">
        <v>510</v>
      </c>
      <c r="C1651" s="2" t="s">
        <v>802</v>
      </c>
      <c r="D1651" s="2" t="s">
        <v>803</v>
      </c>
      <c r="E1651" s="2" t="s">
        <v>147</v>
      </c>
      <c r="F1651" s="3">
        <v>2432</v>
      </c>
      <c r="G1651" s="4">
        <v>36</v>
      </c>
      <c r="H1651" s="5">
        <v>0</v>
      </c>
    </row>
    <row r="1652" spans="1:8" x14ac:dyDescent="0.35">
      <c r="A1652" s="2" t="s">
        <v>789</v>
      </c>
      <c r="B1652" s="2" t="s">
        <v>510</v>
      </c>
      <c r="C1652" s="2" t="s">
        <v>804</v>
      </c>
      <c r="D1652" s="2" t="s">
        <v>805</v>
      </c>
      <c r="E1652" s="2" t="s">
        <v>180</v>
      </c>
      <c r="F1652" s="3">
        <v>640</v>
      </c>
      <c r="G1652" s="4">
        <v>21</v>
      </c>
      <c r="H1652" s="5">
        <v>0</v>
      </c>
    </row>
    <row r="1653" spans="1:8" x14ac:dyDescent="0.35">
      <c r="A1653" s="2" t="s">
        <v>789</v>
      </c>
      <c r="B1653" s="2" t="s">
        <v>510</v>
      </c>
      <c r="C1653" s="2" t="s">
        <v>806</v>
      </c>
      <c r="D1653" s="2" t="s">
        <v>807</v>
      </c>
      <c r="E1653" s="2" t="s">
        <v>115</v>
      </c>
      <c r="F1653" s="3">
        <v>102.4</v>
      </c>
      <c r="G1653" s="4">
        <v>24</v>
      </c>
      <c r="H1653" s="5">
        <v>0</v>
      </c>
    </row>
    <row r="1654" spans="1:8" x14ac:dyDescent="0.35">
      <c r="A1654" s="2" t="s">
        <v>789</v>
      </c>
      <c r="B1654" s="2" t="s">
        <v>510</v>
      </c>
      <c r="C1654" s="2" t="s">
        <v>808</v>
      </c>
      <c r="D1654" s="2" t="s">
        <v>809</v>
      </c>
      <c r="E1654" s="2" t="s">
        <v>204</v>
      </c>
      <c r="F1654" s="3">
        <v>192</v>
      </c>
      <c r="G1654" s="4">
        <v>24</v>
      </c>
      <c r="H1654" s="5">
        <v>0</v>
      </c>
    </row>
    <row r="1655" spans="1:8" x14ac:dyDescent="0.35">
      <c r="A1655" s="2" t="s">
        <v>789</v>
      </c>
      <c r="B1655" s="2" t="s">
        <v>510</v>
      </c>
      <c r="C1655" s="2" t="s">
        <v>810</v>
      </c>
      <c r="D1655" s="2" t="s">
        <v>811</v>
      </c>
      <c r="E1655" s="2" t="s">
        <v>248</v>
      </c>
      <c r="F1655" s="3">
        <v>1216</v>
      </c>
      <c r="G1655" s="4">
        <v>24</v>
      </c>
      <c r="H1655" s="5">
        <v>0</v>
      </c>
    </row>
    <row r="1656" spans="1:8" x14ac:dyDescent="0.35">
      <c r="A1656" s="2" t="s">
        <v>789</v>
      </c>
      <c r="B1656" s="2" t="s">
        <v>510</v>
      </c>
      <c r="C1656" s="2" t="s">
        <v>812</v>
      </c>
      <c r="D1656" s="2" t="s">
        <v>813</v>
      </c>
      <c r="E1656" s="2" t="s">
        <v>260</v>
      </c>
      <c r="F1656" s="3">
        <v>23040</v>
      </c>
      <c r="G1656" s="4">
        <v>36</v>
      </c>
      <c r="H1656" s="5">
        <v>0</v>
      </c>
    </row>
    <row r="1657" spans="1:8" x14ac:dyDescent="0.35">
      <c r="A1657" s="2" t="s">
        <v>789</v>
      </c>
      <c r="B1657" s="2" t="s">
        <v>510</v>
      </c>
      <c r="C1657" s="2" t="s">
        <v>814</v>
      </c>
      <c r="D1657" s="2" t="s">
        <v>815</v>
      </c>
      <c r="E1657" s="2" t="s">
        <v>260</v>
      </c>
      <c r="F1657" s="3">
        <v>37120</v>
      </c>
      <c r="G1657" s="4">
        <v>36</v>
      </c>
      <c r="H1657" s="5">
        <v>0</v>
      </c>
    </row>
    <row r="1658" spans="1:8" x14ac:dyDescent="0.35">
      <c r="A1658" s="2" t="s">
        <v>789</v>
      </c>
      <c r="B1658" s="2" t="s">
        <v>510</v>
      </c>
      <c r="C1658" s="2" t="s">
        <v>816</v>
      </c>
      <c r="D1658" s="2" t="s">
        <v>817</v>
      </c>
      <c r="E1658" s="2" t="s">
        <v>285</v>
      </c>
      <c r="F1658" s="3">
        <v>320</v>
      </c>
      <c r="G1658" s="4">
        <v>12</v>
      </c>
      <c r="H1658" s="5">
        <v>0</v>
      </c>
    </row>
    <row r="1659" spans="1:8" x14ac:dyDescent="0.35">
      <c r="A1659" s="2" t="s">
        <v>789</v>
      </c>
      <c r="B1659" s="2" t="s">
        <v>510</v>
      </c>
      <c r="C1659" s="2" t="s">
        <v>818</v>
      </c>
      <c r="D1659" s="2" t="s">
        <v>819</v>
      </c>
      <c r="E1659" s="2" t="s">
        <v>820</v>
      </c>
      <c r="F1659" s="3">
        <v>128</v>
      </c>
      <c r="G1659" s="4">
        <v>12</v>
      </c>
      <c r="H1659" s="5">
        <v>0</v>
      </c>
    </row>
    <row r="1660" spans="1:8" x14ac:dyDescent="0.35">
      <c r="A1660" s="2" t="s">
        <v>789</v>
      </c>
      <c r="B1660" s="2" t="s">
        <v>510</v>
      </c>
      <c r="C1660" s="2" t="s">
        <v>821</v>
      </c>
      <c r="D1660" s="2" t="s">
        <v>822</v>
      </c>
      <c r="E1660" s="2" t="s">
        <v>489</v>
      </c>
      <c r="F1660" s="3">
        <v>4480</v>
      </c>
      <c r="G1660" s="4">
        <v>24</v>
      </c>
      <c r="H1660" s="5">
        <v>0</v>
      </c>
    </row>
    <row r="1661" spans="1:8" x14ac:dyDescent="0.35">
      <c r="A1661" s="2" t="s">
        <v>789</v>
      </c>
      <c r="B1661" s="2" t="s">
        <v>510</v>
      </c>
      <c r="C1661" s="2" t="s">
        <v>823</v>
      </c>
      <c r="D1661" s="2" t="s">
        <v>824</v>
      </c>
      <c r="E1661" s="2" t="s">
        <v>315</v>
      </c>
      <c r="F1661" s="3">
        <v>192</v>
      </c>
      <c r="G1661" s="4">
        <v>24</v>
      </c>
      <c r="H1661" s="5">
        <v>0</v>
      </c>
    </row>
    <row r="1662" spans="1:8" x14ac:dyDescent="0.35">
      <c r="A1662" s="2" t="s">
        <v>789</v>
      </c>
      <c r="B1662" s="2" t="s">
        <v>510</v>
      </c>
      <c r="C1662" s="2" t="s">
        <v>825</v>
      </c>
      <c r="D1662" s="2" t="s">
        <v>826</v>
      </c>
      <c r="E1662" s="2" t="s">
        <v>303</v>
      </c>
      <c r="F1662" s="3">
        <v>76.8</v>
      </c>
      <c r="G1662" s="4">
        <v>6</v>
      </c>
      <c r="H1662" s="5">
        <v>0</v>
      </c>
    </row>
    <row r="1663" spans="1:8" x14ac:dyDescent="0.35">
      <c r="A1663" s="2" t="s">
        <v>789</v>
      </c>
      <c r="B1663" s="2" t="s">
        <v>510</v>
      </c>
      <c r="C1663" s="2" t="s">
        <v>827</v>
      </c>
      <c r="D1663" s="2" t="s">
        <v>828</v>
      </c>
      <c r="E1663" s="2" t="s">
        <v>102</v>
      </c>
      <c r="F1663" s="3">
        <v>148.78</v>
      </c>
      <c r="G1663" s="4">
        <v>1</v>
      </c>
      <c r="H1663" s="5">
        <v>0</v>
      </c>
    </row>
    <row r="1664" spans="1:8" x14ac:dyDescent="0.35">
      <c r="A1664" s="2" t="s">
        <v>789</v>
      </c>
      <c r="B1664" s="2" t="s">
        <v>510</v>
      </c>
      <c r="C1664" s="2" t="s">
        <v>829</v>
      </c>
      <c r="D1664" s="2" t="s">
        <v>632</v>
      </c>
      <c r="E1664" s="2" t="s">
        <v>322</v>
      </c>
      <c r="F1664" s="3">
        <v>64</v>
      </c>
      <c r="G1664" s="4">
        <v>12</v>
      </c>
      <c r="H1664" s="5">
        <v>0</v>
      </c>
    </row>
    <row r="1665" spans="1:8" x14ac:dyDescent="0.35">
      <c r="A1665" s="2" t="s">
        <v>789</v>
      </c>
      <c r="B1665" s="2" t="s">
        <v>510</v>
      </c>
      <c r="C1665" s="2" t="s">
        <v>830</v>
      </c>
      <c r="D1665" s="2" t="s">
        <v>831</v>
      </c>
      <c r="E1665" s="2" t="s">
        <v>443</v>
      </c>
      <c r="F1665" s="3">
        <v>25.6</v>
      </c>
      <c r="G1665" s="4">
        <v>1</v>
      </c>
      <c r="H1665" s="5">
        <v>0</v>
      </c>
    </row>
    <row r="1666" spans="1:8" x14ac:dyDescent="0.35">
      <c r="A1666" s="2" t="s">
        <v>789</v>
      </c>
      <c r="B1666" s="2" t="s">
        <v>510</v>
      </c>
      <c r="C1666" s="2" t="s">
        <v>832</v>
      </c>
      <c r="D1666" s="2" t="s">
        <v>833</v>
      </c>
      <c r="E1666" s="2" t="s">
        <v>300</v>
      </c>
      <c r="F1666" s="3">
        <v>64</v>
      </c>
      <c r="G1666" s="4">
        <v>12</v>
      </c>
      <c r="H1666" s="5">
        <v>0</v>
      </c>
    </row>
    <row r="1667" spans="1:8" x14ac:dyDescent="0.35">
      <c r="A1667" s="2" t="s">
        <v>789</v>
      </c>
      <c r="B1667" s="2" t="s">
        <v>510</v>
      </c>
      <c r="C1667" s="2" t="s">
        <v>834</v>
      </c>
      <c r="D1667" s="2" t="s">
        <v>835</v>
      </c>
      <c r="E1667" s="2" t="s">
        <v>836</v>
      </c>
      <c r="F1667" s="3">
        <v>448</v>
      </c>
      <c r="G1667" s="4">
        <v>24</v>
      </c>
      <c r="H1667" s="5">
        <v>0</v>
      </c>
    </row>
    <row r="1668" spans="1:8" x14ac:dyDescent="0.35">
      <c r="A1668" s="2" t="s">
        <v>789</v>
      </c>
      <c r="B1668" s="2" t="s">
        <v>510</v>
      </c>
      <c r="C1668" s="2" t="s">
        <v>837</v>
      </c>
      <c r="D1668" s="2" t="s">
        <v>838</v>
      </c>
      <c r="E1668" s="2" t="s">
        <v>452</v>
      </c>
      <c r="F1668" s="3">
        <v>89.6</v>
      </c>
      <c r="G1668" s="4">
        <v>1</v>
      </c>
      <c r="H1668" s="5">
        <v>0</v>
      </c>
    </row>
    <row r="1669" spans="1:8" x14ac:dyDescent="0.35">
      <c r="A1669" s="2" t="s">
        <v>789</v>
      </c>
      <c r="B1669" s="2" t="s">
        <v>339</v>
      </c>
      <c r="C1669" s="2" t="s">
        <v>790</v>
      </c>
      <c r="D1669" s="2" t="s">
        <v>791</v>
      </c>
      <c r="E1669" s="2" t="s">
        <v>226</v>
      </c>
      <c r="F1669" s="3">
        <v>2900</v>
      </c>
      <c r="G1669" s="4">
        <v>60</v>
      </c>
      <c r="H1669" s="5">
        <v>1.67E-2</v>
      </c>
    </row>
    <row r="1670" spans="1:8" x14ac:dyDescent="0.35">
      <c r="A1670" s="2" t="s">
        <v>789</v>
      </c>
      <c r="B1670" s="2" t="s">
        <v>339</v>
      </c>
      <c r="C1670" s="2" t="s">
        <v>792</v>
      </c>
      <c r="D1670" s="2" t="s">
        <v>793</v>
      </c>
      <c r="E1670" s="2" t="s">
        <v>35</v>
      </c>
      <c r="F1670" s="3">
        <v>1300</v>
      </c>
      <c r="G1670" s="4">
        <v>60</v>
      </c>
      <c r="H1670" s="5">
        <v>1.67E-2</v>
      </c>
    </row>
    <row r="1671" spans="1:8" x14ac:dyDescent="0.35">
      <c r="A1671" s="2" t="s">
        <v>789</v>
      </c>
      <c r="B1671" s="2" t="s">
        <v>339</v>
      </c>
      <c r="C1671" s="2" t="s">
        <v>794</v>
      </c>
      <c r="D1671" s="2" t="s">
        <v>795</v>
      </c>
      <c r="E1671" s="2" t="s">
        <v>46</v>
      </c>
      <c r="F1671" s="3">
        <v>412.79</v>
      </c>
      <c r="G1671" s="4">
        <v>60</v>
      </c>
      <c r="H1671" s="5">
        <v>1.67E-2</v>
      </c>
    </row>
    <row r="1672" spans="1:8" x14ac:dyDescent="0.35">
      <c r="A1672" s="2" t="s">
        <v>789</v>
      </c>
      <c r="B1672" s="2" t="s">
        <v>339</v>
      </c>
      <c r="C1672" s="2" t="s">
        <v>737</v>
      </c>
      <c r="D1672" s="2" t="s">
        <v>738</v>
      </c>
      <c r="E1672" s="2" t="s">
        <v>48</v>
      </c>
      <c r="F1672" s="3">
        <v>220</v>
      </c>
      <c r="G1672" s="4">
        <v>60</v>
      </c>
      <c r="H1672" s="5">
        <v>1.67E-2</v>
      </c>
    </row>
    <row r="1673" spans="1:8" x14ac:dyDescent="0.35">
      <c r="A1673" s="2" t="s">
        <v>789</v>
      </c>
      <c r="B1673" s="2" t="s">
        <v>339</v>
      </c>
      <c r="C1673" s="2" t="s">
        <v>796</v>
      </c>
      <c r="D1673" s="2" t="s">
        <v>797</v>
      </c>
      <c r="E1673" s="2" t="s">
        <v>71</v>
      </c>
      <c r="F1673" s="3">
        <v>459</v>
      </c>
      <c r="G1673" s="4">
        <v>60</v>
      </c>
      <c r="H1673" s="5">
        <v>1.67E-2</v>
      </c>
    </row>
    <row r="1674" spans="1:8" x14ac:dyDescent="0.35">
      <c r="A1674" s="2" t="s">
        <v>789</v>
      </c>
      <c r="B1674" s="2" t="s">
        <v>339</v>
      </c>
      <c r="C1674" s="2" t="s">
        <v>798</v>
      </c>
      <c r="D1674" s="2" t="s">
        <v>799</v>
      </c>
      <c r="E1674" s="2" t="s">
        <v>92</v>
      </c>
      <c r="F1674" s="3">
        <v>1018</v>
      </c>
      <c r="G1674" s="4">
        <v>36</v>
      </c>
      <c r="H1674" s="5">
        <v>0</v>
      </c>
    </row>
    <row r="1675" spans="1:8" x14ac:dyDescent="0.35">
      <c r="A1675" s="2" t="s">
        <v>789</v>
      </c>
      <c r="B1675" s="2" t="s">
        <v>339</v>
      </c>
      <c r="C1675" s="2" t="s">
        <v>800</v>
      </c>
      <c r="D1675" s="2" t="s">
        <v>801</v>
      </c>
      <c r="E1675" s="2" t="s">
        <v>104</v>
      </c>
      <c r="F1675" s="3">
        <v>19.899999999999999</v>
      </c>
      <c r="G1675" s="4">
        <v>60</v>
      </c>
      <c r="H1675" s="5">
        <v>1.67E-2</v>
      </c>
    </row>
    <row r="1676" spans="1:8" x14ac:dyDescent="0.35">
      <c r="A1676" s="2" t="s">
        <v>789</v>
      </c>
      <c r="B1676" s="2" t="s">
        <v>339</v>
      </c>
      <c r="C1676" s="2" t="s">
        <v>802</v>
      </c>
      <c r="D1676" s="2" t="s">
        <v>803</v>
      </c>
      <c r="E1676" s="2" t="s">
        <v>147</v>
      </c>
      <c r="F1676" s="3">
        <v>1774.81</v>
      </c>
      <c r="G1676" s="4">
        <v>60</v>
      </c>
      <c r="H1676" s="5">
        <v>1.67E-2</v>
      </c>
    </row>
    <row r="1677" spans="1:8" x14ac:dyDescent="0.35">
      <c r="A1677" s="2" t="s">
        <v>789</v>
      </c>
      <c r="B1677" s="2" t="s">
        <v>339</v>
      </c>
      <c r="C1677" s="2" t="s">
        <v>804</v>
      </c>
      <c r="D1677" s="2" t="s">
        <v>805</v>
      </c>
      <c r="E1677" s="2" t="s">
        <v>180</v>
      </c>
      <c r="F1677" s="3">
        <v>212.5</v>
      </c>
      <c r="G1677" s="4">
        <v>60</v>
      </c>
      <c r="H1677" s="5">
        <v>1.67E-2</v>
      </c>
    </row>
    <row r="1678" spans="1:8" x14ac:dyDescent="0.35">
      <c r="A1678" s="2" t="s">
        <v>789</v>
      </c>
      <c r="B1678" s="2" t="s">
        <v>339</v>
      </c>
      <c r="C1678" s="2" t="s">
        <v>806</v>
      </c>
      <c r="D1678" s="2" t="s">
        <v>807</v>
      </c>
      <c r="E1678" s="2" t="s">
        <v>115</v>
      </c>
      <c r="F1678" s="3">
        <v>29</v>
      </c>
      <c r="G1678" s="4">
        <v>60</v>
      </c>
      <c r="H1678" s="5">
        <v>1.67E-2</v>
      </c>
    </row>
    <row r="1679" spans="1:8" x14ac:dyDescent="0.35">
      <c r="A1679" s="2" t="s">
        <v>789</v>
      </c>
      <c r="B1679" s="2" t="s">
        <v>339</v>
      </c>
      <c r="C1679" s="2" t="s">
        <v>808</v>
      </c>
      <c r="D1679" s="2" t="s">
        <v>809</v>
      </c>
      <c r="E1679" s="2" t="s">
        <v>204</v>
      </c>
      <c r="F1679" s="3">
        <v>235.2</v>
      </c>
      <c r="G1679" s="4">
        <v>60</v>
      </c>
      <c r="H1679" s="5">
        <v>1.67E-2</v>
      </c>
    </row>
    <row r="1680" spans="1:8" x14ac:dyDescent="0.35">
      <c r="A1680" s="2" t="s">
        <v>789</v>
      </c>
      <c r="B1680" s="2" t="s">
        <v>339</v>
      </c>
      <c r="C1680" s="2" t="s">
        <v>810</v>
      </c>
      <c r="D1680" s="2" t="s">
        <v>811</v>
      </c>
      <c r="E1680" s="2" t="s">
        <v>248</v>
      </c>
      <c r="F1680" s="3">
        <v>68.5</v>
      </c>
      <c r="G1680" s="4">
        <v>60</v>
      </c>
      <c r="H1680" s="5">
        <v>1.67E-2</v>
      </c>
    </row>
    <row r="1681" spans="1:8" x14ac:dyDescent="0.35">
      <c r="A1681" s="2" t="s">
        <v>789</v>
      </c>
      <c r="B1681" s="2" t="s">
        <v>339</v>
      </c>
      <c r="C1681" s="2" t="s">
        <v>812</v>
      </c>
      <c r="D1681" s="2" t="s">
        <v>813</v>
      </c>
      <c r="E1681" s="2" t="s">
        <v>260</v>
      </c>
      <c r="F1681" s="3">
        <v>445</v>
      </c>
      <c r="G1681" s="4">
        <v>1</v>
      </c>
      <c r="H1681" s="5">
        <v>0</v>
      </c>
    </row>
    <row r="1682" spans="1:8" x14ac:dyDescent="0.35">
      <c r="A1682" s="2" t="s">
        <v>789</v>
      </c>
      <c r="B1682" s="2" t="s">
        <v>339</v>
      </c>
      <c r="C1682" s="2" t="s">
        <v>814</v>
      </c>
      <c r="D1682" s="2" t="s">
        <v>815</v>
      </c>
      <c r="E1682" s="2" t="s">
        <v>260</v>
      </c>
      <c r="F1682" s="3">
        <v>990.87</v>
      </c>
      <c r="G1682" s="4">
        <v>1</v>
      </c>
      <c r="H1682" s="5">
        <v>0</v>
      </c>
    </row>
    <row r="1683" spans="1:8" x14ac:dyDescent="0.35">
      <c r="A1683" s="2" t="s">
        <v>789</v>
      </c>
      <c r="B1683" s="2" t="s">
        <v>339</v>
      </c>
      <c r="C1683" s="2" t="s">
        <v>816</v>
      </c>
      <c r="D1683" s="2" t="s">
        <v>817</v>
      </c>
      <c r="E1683" s="2" t="s">
        <v>285</v>
      </c>
      <c r="F1683" s="3">
        <v>500</v>
      </c>
      <c r="G1683" s="4">
        <v>60</v>
      </c>
      <c r="H1683" s="5">
        <v>1.67E-2</v>
      </c>
    </row>
    <row r="1684" spans="1:8" x14ac:dyDescent="0.35">
      <c r="A1684" s="2" t="s">
        <v>789</v>
      </c>
      <c r="B1684" s="2" t="s">
        <v>339</v>
      </c>
      <c r="C1684" s="2" t="s">
        <v>818</v>
      </c>
      <c r="D1684" s="2" t="s">
        <v>819</v>
      </c>
      <c r="E1684" s="2" t="s">
        <v>820</v>
      </c>
      <c r="F1684" s="3">
        <v>88.3</v>
      </c>
      <c r="G1684" s="4">
        <v>60</v>
      </c>
      <c r="H1684" s="5">
        <v>1.67E-2</v>
      </c>
    </row>
    <row r="1685" spans="1:8" x14ac:dyDescent="0.35">
      <c r="A1685" s="2" t="s">
        <v>789</v>
      </c>
      <c r="B1685" s="2" t="s">
        <v>339</v>
      </c>
      <c r="C1685" s="2" t="s">
        <v>821</v>
      </c>
      <c r="D1685" s="2" t="s">
        <v>822</v>
      </c>
      <c r="E1685" s="2" t="s">
        <v>489</v>
      </c>
      <c r="F1685" s="3">
        <v>2700</v>
      </c>
      <c r="G1685" s="4">
        <v>60</v>
      </c>
      <c r="H1685" s="5">
        <v>1.67E-2</v>
      </c>
    </row>
    <row r="1686" spans="1:8" x14ac:dyDescent="0.35">
      <c r="A1686" s="2" t="s">
        <v>789</v>
      </c>
      <c r="B1686" s="2" t="s">
        <v>339</v>
      </c>
      <c r="C1686" s="2" t="s">
        <v>823</v>
      </c>
      <c r="D1686" s="2" t="s">
        <v>824</v>
      </c>
      <c r="E1686" s="2" t="s">
        <v>315</v>
      </c>
      <c r="F1686" s="3">
        <v>54.2</v>
      </c>
      <c r="G1686" s="4">
        <v>60</v>
      </c>
      <c r="H1686" s="5">
        <v>1.67E-2</v>
      </c>
    </row>
    <row r="1687" spans="1:8" x14ac:dyDescent="0.35">
      <c r="A1687" s="2" t="s">
        <v>789</v>
      </c>
      <c r="B1687" s="2" t="s">
        <v>339</v>
      </c>
      <c r="C1687" s="2" t="s">
        <v>825</v>
      </c>
      <c r="D1687" s="2" t="s">
        <v>826</v>
      </c>
      <c r="E1687" s="2" t="s">
        <v>303</v>
      </c>
      <c r="F1687" s="3">
        <v>21.01</v>
      </c>
      <c r="G1687" s="4">
        <v>60</v>
      </c>
      <c r="H1687" s="5">
        <v>1.67E-2</v>
      </c>
    </row>
    <row r="1688" spans="1:8" x14ac:dyDescent="0.35">
      <c r="A1688" s="2" t="s">
        <v>789</v>
      </c>
      <c r="B1688" s="2" t="s">
        <v>339</v>
      </c>
      <c r="C1688" s="2" t="s">
        <v>827</v>
      </c>
      <c r="D1688" s="2" t="s">
        <v>828</v>
      </c>
      <c r="E1688" s="2" t="s">
        <v>102</v>
      </c>
      <c r="F1688" s="3">
        <v>80.17</v>
      </c>
      <c r="G1688" s="4">
        <v>1</v>
      </c>
      <c r="H1688" s="5">
        <v>0</v>
      </c>
    </row>
    <row r="1689" spans="1:8" x14ac:dyDescent="0.35">
      <c r="A1689" s="2" t="s">
        <v>789</v>
      </c>
      <c r="B1689" s="2" t="s">
        <v>339</v>
      </c>
      <c r="C1689" s="2" t="s">
        <v>829</v>
      </c>
      <c r="D1689" s="2" t="s">
        <v>632</v>
      </c>
      <c r="E1689" s="2" t="s">
        <v>322</v>
      </c>
      <c r="F1689" s="3">
        <v>20.45</v>
      </c>
      <c r="G1689" s="4">
        <v>60</v>
      </c>
      <c r="H1689" s="5">
        <v>1.67E-2</v>
      </c>
    </row>
    <row r="1690" spans="1:8" x14ac:dyDescent="0.35">
      <c r="A1690" s="2" t="s">
        <v>789</v>
      </c>
      <c r="B1690" s="2" t="s">
        <v>339</v>
      </c>
      <c r="C1690" s="2" t="s">
        <v>830</v>
      </c>
      <c r="D1690" s="2" t="s">
        <v>831</v>
      </c>
      <c r="E1690" s="2" t="s">
        <v>443</v>
      </c>
      <c r="F1690" s="3">
        <v>0.01</v>
      </c>
      <c r="G1690" s="4">
        <v>0</v>
      </c>
      <c r="H1690" s="5">
        <v>0</v>
      </c>
    </row>
    <row r="1691" spans="1:8" x14ac:dyDescent="0.35">
      <c r="A1691" s="2" t="s">
        <v>789</v>
      </c>
      <c r="B1691" s="2" t="s">
        <v>339</v>
      </c>
      <c r="C1691" s="2" t="s">
        <v>832</v>
      </c>
      <c r="D1691" s="2" t="s">
        <v>833</v>
      </c>
      <c r="E1691" s="2" t="s">
        <v>300</v>
      </c>
      <c r="F1691" s="3">
        <v>21.5</v>
      </c>
      <c r="G1691" s="4">
        <v>60</v>
      </c>
      <c r="H1691" s="5">
        <v>1.67E-2</v>
      </c>
    </row>
    <row r="1692" spans="1:8" x14ac:dyDescent="0.35">
      <c r="A1692" s="2" t="s">
        <v>789</v>
      </c>
      <c r="B1692" s="2" t="s">
        <v>339</v>
      </c>
      <c r="C1692" s="2" t="s">
        <v>834</v>
      </c>
      <c r="D1692" s="2" t="s">
        <v>835</v>
      </c>
      <c r="E1692" s="2" t="s">
        <v>836</v>
      </c>
      <c r="F1692" s="3">
        <v>32.799999999999997</v>
      </c>
      <c r="G1692" s="4">
        <v>60</v>
      </c>
      <c r="H1692" s="5">
        <v>1.67E-2</v>
      </c>
    </row>
    <row r="1693" spans="1:8" x14ac:dyDescent="0.35">
      <c r="A1693" s="2" t="s">
        <v>789</v>
      </c>
      <c r="B1693" s="2" t="s">
        <v>339</v>
      </c>
      <c r="C1693" s="2" t="s">
        <v>837</v>
      </c>
      <c r="D1693" s="2" t="s">
        <v>838</v>
      </c>
      <c r="E1693" s="2" t="s">
        <v>452</v>
      </c>
      <c r="F1693" s="3">
        <v>90</v>
      </c>
      <c r="G1693" s="4">
        <v>1</v>
      </c>
      <c r="H1693" s="5">
        <v>0</v>
      </c>
    </row>
    <row r="1694" spans="1:8" x14ac:dyDescent="0.35">
      <c r="A1694" s="2" t="s">
        <v>789</v>
      </c>
      <c r="B1694" s="2" t="s">
        <v>749</v>
      </c>
      <c r="C1694" s="2" t="s">
        <v>790</v>
      </c>
      <c r="D1694" s="2" t="s">
        <v>791</v>
      </c>
      <c r="E1694" s="2" t="s">
        <v>226</v>
      </c>
      <c r="F1694" s="3">
        <v>3000</v>
      </c>
      <c r="G1694" s="4">
        <v>12</v>
      </c>
      <c r="H1694" s="5">
        <v>2.5000000000000001E-2</v>
      </c>
    </row>
    <row r="1695" spans="1:8" x14ac:dyDescent="0.35">
      <c r="A1695" s="2" t="s">
        <v>789</v>
      </c>
      <c r="B1695" s="2" t="s">
        <v>749</v>
      </c>
      <c r="C1695" s="2" t="s">
        <v>792</v>
      </c>
      <c r="D1695" s="2" t="s">
        <v>793</v>
      </c>
      <c r="E1695" s="2" t="s">
        <v>35</v>
      </c>
      <c r="F1695" s="3">
        <v>1201.98</v>
      </c>
      <c r="G1695" s="4">
        <v>12</v>
      </c>
      <c r="H1695" s="5">
        <v>0</v>
      </c>
    </row>
    <row r="1696" spans="1:8" x14ac:dyDescent="0.35">
      <c r="A1696" s="2" t="s">
        <v>789</v>
      </c>
      <c r="B1696" s="2" t="s">
        <v>749</v>
      </c>
      <c r="C1696" s="2" t="s">
        <v>794</v>
      </c>
      <c r="D1696" s="2" t="s">
        <v>795</v>
      </c>
      <c r="E1696" s="2" t="s">
        <v>46</v>
      </c>
      <c r="F1696" s="3">
        <v>843.18</v>
      </c>
      <c r="G1696" s="4">
        <v>12</v>
      </c>
      <c r="H1696" s="5">
        <v>2.5000000000000001E-2</v>
      </c>
    </row>
    <row r="1697" spans="1:8" x14ac:dyDescent="0.35">
      <c r="A1697" s="2" t="s">
        <v>789</v>
      </c>
      <c r="B1697" s="2" t="s">
        <v>749</v>
      </c>
      <c r="C1697" s="2" t="s">
        <v>737</v>
      </c>
      <c r="D1697" s="2" t="s">
        <v>738</v>
      </c>
      <c r="E1697" s="2" t="s">
        <v>48</v>
      </c>
      <c r="F1697" s="3">
        <v>695.18</v>
      </c>
      <c r="G1697" s="4">
        <v>12</v>
      </c>
      <c r="H1697" s="5">
        <v>0</v>
      </c>
    </row>
    <row r="1698" spans="1:8" x14ac:dyDescent="0.35">
      <c r="A1698" s="2" t="s">
        <v>789</v>
      </c>
      <c r="B1698" s="2" t="s">
        <v>749</v>
      </c>
      <c r="C1698" s="2" t="s">
        <v>796</v>
      </c>
      <c r="D1698" s="2" t="s">
        <v>797</v>
      </c>
      <c r="E1698" s="2" t="s">
        <v>71</v>
      </c>
      <c r="F1698" s="3">
        <v>583.04999999999995</v>
      </c>
      <c r="G1698" s="4">
        <v>12</v>
      </c>
      <c r="H1698" s="5">
        <v>0</v>
      </c>
    </row>
    <row r="1699" spans="1:8" x14ac:dyDescent="0.35">
      <c r="A1699" s="2" t="s">
        <v>789</v>
      </c>
      <c r="B1699" s="2" t="s">
        <v>749</v>
      </c>
      <c r="C1699" s="2" t="s">
        <v>798</v>
      </c>
      <c r="D1699" s="2" t="s">
        <v>799</v>
      </c>
      <c r="E1699" s="2" t="s">
        <v>92</v>
      </c>
      <c r="F1699" s="3">
        <v>2466.75</v>
      </c>
      <c r="G1699" s="4">
        <v>12</v>
      </c>
      <c r="H1699" s="5">
        <v>0</v>
      </c>
    </row>
    <row r="1700" spans="1:8" x14ac:dyDescent="0.35">
      <c r="A1700" s="2" t="s">
        <v>789</v>
      </c>
      <c r="B1700" s="2" t="s">
        <v>749</v>
      </c>
      <c r="C1700" s="2" t="s">
        <v>800</v>
      </c>
      <c r="D1700" s="2" t="s">
        <v>801</v>
      </c>
      <c r="E1700" s="2" t="s">
        <v>104</v>
      </c>
      <c r="F1700" s="3">
        <v>58.31</v>
      </c>
      <c r="G1700" s="4">
        <v>12</v>
      </c>
      <c r="H1700" s="5">
        <v>0</v>
      </c>
    </row>
    <row r="1701" spans="1:8" x14ac:dyDescent="0.35">
      <c r="A1701" s="2" t="s">
        <v>789</v>
      </c>
      <c r="B1701" s="2" t="s">
        <v>749</v>
      </c>
      <c r="C1701" s="2" t="s">
        <v>802</v>
      </c>
      <c r="D1701" s="2" t="s">
        <v>803</v>
      </c>
      <c r="E1701" s="2" t="s">
        <v>147</v>
      </c>
      <c r="F1701" s="3">
        <v>3400</v>
      </c>
      <c r="G1701" s="4">
        <v>12</v>
      </c>
      <c r="H1701" s="5">
        <v>2.5000000000000001E-2</v>
      </c>
    </row>
    <row r="1702" spans="1:8" x14ac:dyDescent="0.35">
      <c r="A1702" s="2" t="s">
        <v>789</v>
      </c>
      <c r="B1702" s="2" t="s">
        <v>749</v>
      </c>
      <c r="C1702" s="2" t="s">
        <v>804</v>
      </c>
      <c r="D1702" s="2" t="s">
        <v>805</v>
      </c>
      <c r="E1702" s="2" t="s">
        <v>180</v>
      </c>
      <c r="F1702" s="3">
        <v>403.65</v>
      </c>
      <c r="G1702" s="4">
        <v>12</v>
      </c>
      <c r="H1702" s="5">
        <v>0</v>
      </c>
    </row>
    <row r="1703" spans="1:8" x14ac:dyDescent="0.35">
      <c r="A1703" s="2" t="s">
        <v>789</v>
      </c>
      <c r="B1703" s="2" t="s">
        <v>749</v>
      </c>
      <c r="C1703" s="2" t="s">
        <v>806</v>
      </c>
      <c r="D1703" s="2" t="s">
        <v>807</v>
      </c>
      <c r="E1703" s="2" t="s">
        <v>115</v>
      </c>
      <c r="F1703" s="3">
        <v>112.13</v>
      </c>
      <c r="G1703" s="4">
        <v>12</v>
      </c>
      <c r="H1703" s="5">
        <v>0</v>
      </c>
    </row>
    <row r="1704" spans="1:8" x14ac:dyDescent="0.35">
      <c r="A1704" s="2" t="s">
        <v>789</v>
      </c>
      <c r="B1704" s="2" t="s">
        <v>749</v>
      </c>
      <c r="C1704" s="2" t="s">
        <v>808</v>
      </c>
      <c r="D1704" s="2" t="s">
        <v>809</v>
      </c>
      <c r="E1704" s="2" t="s">
        <v>204</v>
      </c>
      <c r="F1704" s="3">
        <v>235.46</v>
      </c>
      <c r="G1704" s="4">
        <v>12</v>
      </c>
      <c r="H1704" s="5">
        <v>0</v>
      </c>
    </row>
    <row r="1705" spans="1:8" x14ac:dyDescent="0.35">
      <c r="A1705" s="2" t="s">
        <v>789</v>
      </c>
      <c r="B1705" s="2" t="s">
        <v>749</v>
      </c>
      <c r="C1705" s="2" t="s">
        <v>810</v>
      </c>
      <c r="D1705" s="2" t="s">
        <v>811</v>
      </c>
      <c r="E1705" s="2" t="s">
        <v>248</v>
      </c>
      <c r="F1705" s="3">
        <v>798.33</v>
      </c>
      <c r="G1705" s="4">
        <v>12</v>
      </c>
      <c r="H1705" s="5">
        <v>0</v>
      </c>
    </row>
    <row r="1706" spans="1:8" x14ac:dyDescent="0.35">
      <c r="A1706" s="2" t="s">
        <v>789</v>
      </c>
      <c r="B1706" s="2" t="s">
        <v>749</v>
      </c>
      <c r="C1706" s="2" t="s">
        <v>812</v>
      </c>
      <c r="D1706" s="2" t="s">
        <v>813</v>
      </c>
      <c r="E1706" s="2" t="s">
        <v>260</v>
      </c>
      <c r="F1706" s="3">
        <v>21752.25</v>
      </c>
      <c r="G1706" s="4">
        <v>12</v>
      </c>
      <c r="H1706" s="5">
        <v>2.5000000000000001E-2</v>
      </c>
    </row>
    <row r="1707" spans="1:8" x14ac:dyDescent="0.35">
      <c r="A1707" s="2" t="s">
        <v>789</v>
      </c>
      <c r="B1707" s="2" t="s">
        <v>749</v>
      </c>
      <c r="C1707" s="2" t="s">
        <v>814</v>
      </c>
      <c r="D1707" s="2" t="s">
        <v>815</v>
      </c>
      <c r="E1707" s="2" t="s">
        <v>260</v>
      </c>
      <c r="F1707" s="3">
        <v>38000</v>
      </c>
      <c r="G1707" s="4">
        <v>12</v>
      </c>
      <c r="H1707" s="5">
        <v>2.5000000000000001E-2</v>
      </c>
    </row>
    <row r="1708" spans="1:8" x14ac:dyDescent="0.35">
      <c r="A1708" s="2" t="s">
        <v>789</v>
      </c>
      <c r="B1708" s="2" t="s">
        <v>749</v>
      </c>
      <c r="C1708" s="2" t="s">
        <v>816</v>
      </c>
      <c r="D1708" s="2" t="s">
        <v>817</v>
      </c>
      <c r="E1708" s="2" t="s">
        <v>285</v>
      </c>
      <c r="F1708" s="3">
        <v>403.65</v>
      </c>
      <c r="G1708" s="4">
        <v>12</v>
      </c>
      <c r="H1708" s="5">
        <v>0</v>
      </c>
    </row>
    <row r="1709" spans="1:8" x14ac:dyDescent="0.35">
      <c r="A1709" s="2" t="s">
        <v>789</v>
      </c>
      <c r="B1709" s="2" t="s">
        <v>749</v>
      </c>
      <c r="C1709" s="2" t="s">
        <v>818</v>
      </c>
      <c r="D1709" s="2" t="s">
        <v>819</v>
      </c>
      <c r="E1709" s="2" t="s">
        <v>820</v>
      </c>
      <c r="F1709" s="3">
        <v>80</v>
      </c>
      <c r="G1709" s="4">
        <v>12</v>
      </c>
      <c r="H1709" s="5">
        <v>0</v>
      </c>
    </row>
    <row r="1710" spans="1:8" x14ac:dyDescent="0.35">
      <c r="A1710" s="2" t="s">
        <v>789</v>
      </c>
      <c r="B1710" s="2" t="s">
        <v>749</v>
      </c>
      <c r="C1710" s="2" t="s">
        <v>821</v>
      </c>
      <c r="D1710" s="2" t="s">
        <v>822</v>
      </c>
      <c r="E1710" s="2" t="s">
        <v>489</v>
      </c>
      <c r="F1710" s="3">
        <v>1500</v>
      </c>
      <c r="G1710" s="4">
        <v>12</v>
      </c>
      <c r="H1710" s="5">
        <v>7.4999999999999997E-3</v>
      </c>
    </row>
    <row r="1711" spans="1:8" x14ac:dyDescent="0.35">
      <c r="A1711" s="2" t="s">
        <v>789</v>
      </c>
      <c r="B1711" s="2" t="s">
        <v>749</v>
      </c>
      <c r="C1711" s="2" t="s">
        <v>823</v>
      </c>
      <c r="D1711" s="2" t="s">
        <v>824</v>
      </c>
      <c r="E1711" s="2" t="s">
        <v>315</v>
      </c>
      <c r="F1711" s="3">
        <v>60</v>
      </c>
      <c r="G1711" s="4">
        <v>12</v>
      </c>
      <c r="H1711" s="5">
        <v>0</v>
      </c>
    </row>
    <row r="1712" spans="1:8" x14ac:dyDescent="0.35">
      <c r="A1712" s="2" t="s">
        <v>789</v>
      </c>
      <c r="B1712" s="2" t="s">
        <v>749</v>
      </c>
      <c r="C1712" s="2" t="s">
        <v>825</v>
      </c>
      <c r="D1712" s="2" t="s">
        <v>826</v>
      </c>
      <c r="E1712" s="2" t="s">
        <v>303</v>
      </c>
      <c r="F1712" s="3">
        <v>120</v>
      </c>
      <c r="G1712" s="4">
        <v>12</v>
      </c>
      <c r="H1712" s="5">
        <v>0</v>
      </c>
    </row>
    <row r="1713" spans="1:8" x14ac:dyDescent="0.35">
      <c r="A1713" s="2" t="s">
        <v>789</v>
      </c>
      <c r="B1713" s="2" t="s">
        <v>749</v>
      </c>
      <c r="C1713" s="2" t="s">
        <v>827</v>
      </c>
      <c r="D1713" s="2" t="s">
        <v>828</v>
      </c>
      <c r="E1713" s="2" t="s">
        <v>102</v>
      </c>
      <c r="F1713" s="3">
        <v>70</v>
      </c>
      <c r="G1713" s="4">
        <v>12</v>
      </c>
      <c r="H1713" s="5">
        <v>0</v>
      </c>
    </row>
    <row r="1714" spans="1:8" x14ac:dyDescent="0.35">
      <c r="A1714" s="2" t="s">
        <v>789</v>
      </c>
      <c r="B1714" s="2" t="s">
        <v>749</v>
      </c>
      <c r="C1714" s="2" t="s">
        <v>829</v>
      </c>
      <c r="D1714" s="2" t="s">
        <v>632</v>
      </c>
      <c r="E1714" s="2" t="s">
        <v>322</v>
      </c>
      <c r="F1714" s="3">
        <v>32</v>
      </c>
      <c r="G1714" s="4">
        <v>12</v>
      </c>
      <c r="H1714" s="5">
        <v>0</v>
      </c>
    </row>
    <row r="1715" spans="1:8" x14ac:dyDescent="0.35">
      <c r="A1715" s="2" t="s">
        <v>789</v>
      </c>
      <c r="B1715" s="2" t="s">
        <v>749</v>
      </c>
      <c r="C1715" s="2" t="s">
        <v>830</v>
      </c>
      <c r="D1715" s="2" t="s">
        <v>831</v>
      </c>
      <c r="E1715" s="2" t="s">
        <v>443</v>
      </c>
      <c r="F1715" s="3">
        <v>4</v>
      </c>
      <c r="G1715" s="4">
        <v>12</v>
      </c>
      <c r="H1715" s="5">
        <v>0</v>
      </c>
    </row>
    <row r="1716" spans="1:8" x14ac:dyDescent="0.35">
      <c r="A1716" s="2" t="s">
        <v>789</v>
      </c>
      <c r="B1716" s="2" t="s">
        <v>749</v>
      </c>
      <c r="C1716" s="2" t="s">
        <v>832</v>
      </c>
      <c r="D1716" s="2" t="s">
        <v>833</v>
      </c>
      <c r="E1716" s="2" t="s">
        <v>300</v>
      </c>
      <c r="F1716" s="3">
        <v>35</v>
      </c>
      <c r="G1716" s="4">
        <v>12</v>
      </c>
      <c r="H1716" s="5">
        <v>0</v>
      </c>
    </row>
    <row r="1717" spans="1:8" x14ac:dyDescent="0.35">
      <c r="A1717" s="2" t="s">
        <v>789</v>
      </c>
      <c r="B1717" s="2" t="s">
        <v>749</v>
      </c>
      <c r="C1717" s="2" t="s">
        <v>834</v>
      </c>
      <c r="D1717" s="2" t="s">
        <v>835</v>
      </c>
      <c r="E1717" s="2" t="s">
        <v>836</v>
      </c>
      <c r="F1717" s="3">
        <v>65</v>
      </c>
      <c r="G1717" s="4">
        <v>12</v>
      </c>
      <c r="H1717" s="5">
        <v>0</v>
      </c>
    </row>
    <row r="1718" spans="1:8" x14ac:dyDescent="0.35">
      <c r="A1718" s="2" t="s">
        <v>789</v>
      </c>
      <c r="B1718" s="2" t="s">
        <v>749</v>
      </c>
      <c r="C1718" s="2" t="s">
        <v>837</v>
      </c>
      <c r="D1718" s="2" t="s">
        <v>838</v>
      </c>
      <c r="E1718" s="2" t="s">
        <v>452</v>
      </c>
      <c r="F1718" s="3">
        <v>50</v>
      </c>
      <c r="G1718" s="4">
        <v>12</v>
      </c>
      <c r="H1718" s="5">
        <v>0</v>
      </c>
    </row>
    <row r="1719" spans="1:8" x14ac:dyDescent="0.35">
      <c r="A1719" s="2" t="s">
        <v>789</v>
      </c>
      <c r="B1719" s="2" t="s">
        <v>291</v>
      </c>
      <c r="C1719" s="2" t="s">
        <v>790</v>
      </c>
      <c r="D1719" s="2" t="s">
        <v>791</v>
      </c>
      <c r="E1719" s="2" t="s">
        <v>226</v>
      </c>
      <c r="F1719" s="3">
        <v>2100</v>
      </c>
      <c r="G1719" s="4">
        <v>12</v>
      </c>
      <c r="H1719" s="5">
        <v>7.4999999999999997E-3</v>
      </c>
    </row>
    <row r="1720" spans="1:8" x14ac:dyDescent="0.35">
      <c r="A1720" s="2" t="s">
        <v>789</v>
      </c>
      <c r="B1720" s="2" t="s">
        <v>291</v>
      </c>
      <c r="C1720" s="2" t="s">
        <v>792</v>
      </c>
      <c r="D1720" s="2" t="s">
        <v>793</v>
      </c>
      <c r="E1720" s="2" t="s">
        <v>35</v>
      </c>
      <c r="F1720" s="3">
        <v>536</v>
      </c>
      <c r="G1720" s="4">
        <v>12</v>
      </c>
      <c r="H1720" s="5">
        <v>0</v>
      </c>
    </row>
    <row r="1721" spans="1:8" x14ac:dyDescent="0.35">
      <c r="A1721" s="2" t="s">
        <v>789</v>
      </c>
      <c r="B1721" s="2" t="s">
        <v>291</v>
      </c>
      <c r="C1721" s="2" t="s">
        <v>794</v>
      </c>
      <c r="D1721" s="2" t="s">
        <v>795</v>
      </c>
      <c r="E1721" s="2" t="s">
        <v>46</v>
      </c>
      <c r="F1721" s="3">
        <v>376</v>
      </c>
      <c r="G1721" s="4">
        <v>12</v>
      </c>
      <c r="H1721" s="5">
        <v>7.4999999999999997E-3</v>
      </c>
    </row>
    <row r="1722" spans="1:8" x14ac:dyDescent="0.35">
      <c r="A1722" s="2" t="s">
        <v>789</v>
      </c>
      <c r="B1722" s="2" t="s">
        <v>291</v>
      </c>
      <c r="C1722" s="2" t="s">
        <v>737</v>
      </c>
      <c r="D1722" s="2" t="s">
        <v>738</v>
      </c>
      <c r="E1722" s="2" t="s">
        <v>48</v>
      </c>
      <c r="F1722" s="3">
        <v>310</v>
      </c>
      <c r="G1722" s="4">
        <v>48</v>
      </c>
      <c r="H1722" s="5">
        <v>0</v>
      </c>
    </row>
    <row r="1723" spans="1:8" x14ac:dyDescent="0.35">
      <c r="A1723" s="2" t="s">
        <v>789</v>
      </c>
      <c r="B1723" s="2" t="s">
        <v>291</v>
      </c>
      <c r="C1723" s="2" t="s">
        <v>796</v>
      </c>
      <c r="D1723" s="2" t="s">
        <v>797</v>
      </c>
      <c r="E1723" s="2" t="s">
        <v>71</v>
      </c>
      <c r="F1723" s="3">
        <v>260</v>
      </c>
      <c r="G1723" s="4">
        <v>48</v>
      </c>
      <c r="H1723" s="5">
        <v>0</v>
      </c>
    </row>
    <row r="1724" spans="1:8" x14ac:dyDescent="0.35">
      <c r="A1724" s="2" t="s">
        <v>789</v>
      </c>
      <c r="B1724" s="2" t="s">
        <v>291</v>
      </c>
      <c r="C1724" s="2" t="s">
        <v>798</v>
      </c>
      <c r="D1724" s="2" t="s">
        <v>799</v>
      </c>
      <c r="E1724" s="2" t="s">
        <v>92</v>
      </c>
      <c r="F1724" s="3">
        <v>1100</v>
      </c>
      <c r="G1724" s="4">
        <v>12</v>
      </c>
      <c r="H1724" s="5">
        <v>0</v>
      </c>
    </row>
    <row r="1725" spans="1:8" x14ac:dyDescent="0.35">
      <c r="A1725" s="2" t="s">
        <v>789</v>
      </c>
      <c r="B1725" s="2" t="s">
        <v>291</v>
      </c>
      <c r="C1725" s="2" t="s">
        <v>800</v>
      </c>
      <c r="D1725" s="2" t="s">
        <v>801</v>
      </c>
      <c r="E1725" s="2" t="s">
        <v>104</v>
      </c>
      <c r="F1725" s="3">
        <v>26</v>
      </c>
      <c r="G1725" s="4">
        <v>12</v>
      </c>
      <c r="H1725" s="5">
        <v>0</v>
      </c>
    </row>
    <row r="1726" spans="1:8" x14ac:dyDescent="0.35">
      <c r="A1726" s="2" t="s">
        <v>789</v>
      </c>
      <c r="B1726" s="2" t="s">
        <v>291</v>
      </c>
      <c r="C1726" s="2" t="s">
        <v>802</v>
      </c>
      <c r="D1726" s="2" t="s">
        <v>803</v>
      </c>
      <c r="E1726" s="2" t="s">
        <v>147</v>
      </c>
      <c r="F1726" s="3">
        <v>1420</v>
      </c>
      <c r="G1726" s="4">
        <v>12</v>
      </c>
      <c r="H1726" s="5">
        <v>7.4999999999999997E-3</v>
      </c>
    </row>
    <row r="1727" spans="1:8" x14ac:dyDescent="0.35">
      <c r="A1727" s="2" t="s">
        <v>789</v>
      </c>
      <c r="B1727" s="2" t="s">
        <v>291</v>
      </c>
      <c r="C1727" s="2" t="s">
        <v>804</v>
      </c>
      <c r="D1727" s="2" t="s">
        <v>805</v>
      </c>
      <c r="E1727" s="2" t="s">
        <v>180</v>
      </c>
      <c r="F1727" s="3">
        <v>180</v>
      </c>
      <c r="G1727" s="4">
        <v>60</v>
      </c>
      <c r="H1727" s="5">
        <v>0</v>
      </c>
    </row>
    <row r="1728" spans="1:8" x14ac:dyDescent="0.35">
      <c r="A1728" s="2" t="s">
        <v>789</v>
      </c>
      <c r="B1728" s="2" t="s">
        <v>291</v>
      </c>
      <c r="C1728" s="2" t="s">
        <v>806</v>
      </c>
      <c r="D1728" s="2" t="s">
        <v>807</v>
      </c>
      <c r="E1728" s="2" t="s">
        <v>115</v>
      </c>
      <c r="F1728" s="3">
        <v>50</v>
      </c>
      <c r="G1728" s="4">
        <v>36</v>
      </c>
      <c r="H1728" s="5">
        <v>0</v>
      </c>
    </row>
    <row r="1729" spans="1:8" x14ac:dyDescent="0.35">
      <c r="A1729" s="2" t="s">
        <v>789</v>
      </c>
      <c r="B1729" s="2" t="s">
        <v>291</v>
      </c>
      <c r="C1729" s="2" t="s">
        <v>808</v>
      </c>
      <c r="D1729" s="2" t="s">
        <v>809</v>
      </c>
      <c r="E1729" s="2" t="s">
        <v>204</v>
      </c>
      <c r="F1729" s="3">
        <v>105</v>
      </c>
      <c r="G1729" s="4">
        <v>24</v>
      </c>
      <c r="H1729" s="5">
        <v>0</v>
      </c>
    </row>
    <row r="1730" spans="1:8" x14ac:dyDescent="0.35">
      <c r="A1730" s="2" t="s">
        <v>789</v>
      </c>
      <c r="B1730" s="2" t="s">
        <v>291</v>
      </c>
      <c r="C1730" s="2" t="s">
        <v>810</v>
      </c>
      <c r="D1730" s="2" t="s">
        <v>811</v>
      </c>
      <c r="E1730" s="2" t="s">
        <v>248</v>
      </c>
      <c r="F1730" s="3">
        <v>356</v>
      </c>
      <c r="G1730" s="4">
        <v>36</v>
      </c>
      <c r="H1730" s="5">
        <v>0</v>
      </c>
    </row>
    <row r="1731" spans="1:8" x14ac:dyDescent="0.35">
      <c r="A1731" s="2" t="s">
        <v>789</v>
      </c>
      <c r="B1731" s="2" t="s">
        <v>291</v>
      </c>
      <c r="C1731" s="2" t="s">
        <v>812</v>
      </c>
      <c r="D1731" s="2" t="s">
        <v>813</v>
      </c>
      <c r="E1731" s="2" t="s">
        <v>260</v>
      </c>
      <c r="F1731" s="3">
        <v>9700</v>
      </c>
      <c r="G1731" s="4">
        <v>12</v>
      </c>
      <c r="H1731" s="5">
        <v>7.4999999999999997E-3</v>
      </c>
    </row>
    <row r="1732" spans="1:8" x14ac:dyDescent="0.35">
      <c r="A1732" s="2" t="s">
        <v>789</v>
      </c>
      <c r="B1732" s="2" t="s">
        <v>291</v>
      </c>
      <c r="C1732" s="2" t="s">
        <v>814</v>
      </c>
      <c r="D1732" s="2" t="s">
        <v>815</v>
      </c>
      <c r="E1732" s="2" t="s">
        <v>260</v>
      </c>
      <c r="F1732" s="3">
        <v>18500</v>
      </c>
      <c r="G1732" s="4">
        <v>12</v>
      </c>
      <c r="H1732" s="5">
        <v>7.4999999999999997E-3</v>
      </c>
    </row>
    <row r="1733" spans="1:8" x14ac:dyDescent="0.35">
      <c r="A1733" s="2" t="s">
        <v>789</v>
      </c>
      <c r="B1733" s="2" t="s">
        <v>291</v>
      </c>
      <c r="C1733" s="2" t="s">
        <v>816</v>
      </c>
      <c r="D1733" s="2" t="s">
        <v>817</v>
      </c>
      <c r="E1733" s="2" t="s">
        <v>285</v>
      </c>
      <c r="F1733" s="3">
        <v>180</v>
      </c>
      <c r="G1733" s="4">
        <v>60</v>
      </c>
      <c r="H1733" s="5">
        <v>0</v>
      </c>
    </row>
    <row r="1734" spans="1:8" x14ac:dyDescent="0.35">
      <c r="A1734" s="2" t="s">
        <v>789</v>
      </c>
      <c r="B1734" s="2" t="s">
        <v>291</v>
      </c>
      <c r="C1734" s="2" t="s">
        <v>818</v>
      </c>
      <c r="D1734" s="2" t="s">
        <v>819</v>
      </c>
      <c r="E1734" s="2" t="s">
        <v>820</v>
      </c>
      <c r="F1734" s="3">
        <v>80</v>
      </c>
      <c r="G1734" s="4">
        <v>60</v>
      </c>
      <c r="H1734" s="5">
        <v>0</v>
      </c>
    </row>
    <row r="1735" spans="1:8" x14ac:dyDescent="0.35">
      <c r="A1735" s="2" t="s">
        <v>789</v>
      </c>
      <c r="B1735" s="2" t="s">
        <v>291</v>
      </c>
      <c r="C1735" s="2" t="s">
        <v>821</v>
      </c>
      <c r="D1735" s="2" t="s">
        <v>822</v>
      </c>
      <c r="E1735" s="2" t="s">
        <v>489</v>
      </c>
      <c r="F1735" s="3">
        <v>1500</v>
      </c>
      <c r="G1735" s="4">
        <v>12</v>
      </c>
      <c r="H1735" s="5">
        <v>7.4999999999999997E-3</v>
      </c>
    </row>
    <row r="1736" spans="1:8" x14ac:dyDescent="0.35">
      <c r="A1736" s="2" t="s">
        <v>789</v>
      </c>
      <c r="B1736" s="2" t="s">
        <v>291</v>
      </c>
      <c r="C1736" s="2" t="s">
        <v>823</v>
      </c>
      <c r="D1736" s="2" t="s">
        <v>824</v>
      </c>
      <c r="E1736" s="2" t="s">
        <v>315</v>
      </c>
      <c r="F1736" s="3">
        <v>60</v>
      </c>
      <c r="G1736" s="4">
        <v>12</v>
      </c>
      <c r="H1736" s="5">
        <v>0</v>
      </c>
    </row>
    <row r="1737" spans="1:8" x14ac:dyDescent="0.35">
      <c r="A1737" s="2" t="s">
        <v>789</v>
      </c>
      <c r="B1737" s="2" t="s">
        <v>291</v>
      </c>
      <c r="C1737" s="2" t="s">
        <v>825</v>
      </c>
      <c r="D1737" s="2" t="s">
        <v>826</v>
      </c>
      <c r="E1737" s="2" t="s">
        <v>303</v>
      </c>
      <c r="F1737" s="3">
        <v>120</v>
      </c>
      <c r="G1737" s="4">
        <v>36</v>
      </c>
      <c r="H1737" s="5">
        <v>0</v>
      </c>
    </row>
    <row r="1738" spans="1:8" x14ac:dyDescent="0.35">
      <c r="A1738" s="2" t="s">
        <v>789</v>
      </c>
      <c r="B1738" s="2" t="s">
        <v>291</v>
      </c>
      <c r="C1738" s="2" t="s">
        <v>827</v>
      </c>
      <c r="D1738" s="2" t="s">
        <v>828</v>
      </c>
      <c r="E1738" s="2" t="s">
        <v>102</v>
      </c>
      <c r="F1738" s="3">
        <v>70</v>
      </c>
      <c r="G1738" s="4">
        <v>1</v>
      </c>
      <c r="H1738" s="5">
        <v>0</v>
      </c>
    </row>
    <row r="1739" spans="1:8" x14ac:dyDescent="0.35">
      <c r="A1739" s="2" t="s">
        <v>789</v>
      </c>
      <c r="B1739" s="2" t="s">
        <v>291</v>
      </c>
      <c r="C1739" s="2" t="s">
        <v>829</v>
      </c>
      <c r="D1739" s="2" t="s">
        <v>632</v>
      </c>
      <c r="E1739" s="2" t="s">
        <v>322</v>
      </c>
      <c r="F1739" s="3">
        <v>32</v>
      </c>
      <c r="G1739" s="4">
        <v>60</v>
      </c>
      <c r="H1739" s="5">
        <v>0</v>
      </c>
    </row>
    <row r="1740" spans="1:8" x14ac:dyDescent="0.35">
      <c r="A1740" s="2" t="s">
        <v>789</v>
      </c>
      <c r="B1740" s="2" t="s">
        <v>291</v>
      </c>
      <c r="C1740" s="2" t="s">
        <v>830</v>
      </c>
      <c r="D1740" s="2" t="s">
        <v>831</v>
      </c>
      <c r="E1740" s="2" t="s">
        <v>443</v>
      </c>
      <c r="F1740" s="3">
        <v>4</v>
      </c>
      <c r="G1740" s="4">
        <v>1</v>
      </c>
      <c r="H1740" s="5">
        <v>0</v>
      </c>
    </row>
    <row r="1741" spans="1:8" x14ac:dyDescent="0.35">
      <c r="A1741" s="2" t="s">
        <v>789</v>
      </c>
      <c r="B1741" s="2" t="s">
        <v>291</v>
      </c>
      <c r="C1741" s="2" t="s">
        <v>832</v>
      </c>
      <c r="D1741" s="2" t="s">
        <v>833</v>
      </c>
      <c r="E1741" s="2" t="s">
        <v>300</v>
      </c>
      <c r="F1741" s="3">
        <v>35</v>
      </c>
      <c r="G1741" s="4">
        <v>12</v>
      </c>
      <c r="H1741" s="5">
        <v>0</v>
      </c>
    </row>
    <row r="1742" spans="1:8" x14ac:dyDescent="0.35">
      <c r="A1742" s="2" t="s">
        <v>789</v>
      </c>
      <c r="B1742" s="2" t="s">
        <v>291</v>
      </c>
      <c r="C1742" s="2" t="s">
        <v>834</v>
      </c>
      <c r="D1742" s="2" t="s">
        <v>835</v>
      </c>
      <c r="E1742" s="2" t="s">
        <v>836</v>
      </c>
      <c r="F1742" s="3">
        <v>65</v>
      </c>
      <c r="G1742" s="4">
        <v>12</v>
      </c>
      <c r="H1742" s="5">
        <v>0</v>
      </c>
    </row>
    <row r="1743" spans="1:8" x14ac:dyDescent="0.35">
      <c r="A1743" s="2" t="s">
        <v>789</v>
      </c>
      <c r="B1743" s="2" t="s">
        <v>291</v>
      </c>
      <c r="C1743" s="2" t="s">
        <v>837</v>
      </c>
      <c r="D1743" s="2" t="s">
        <v>838</v>
      </c>
      <c r="E1743" s="2" t="s">
        <v>452</v>
      </c>
      <c r="F1743" s="3">
        <v>50</v>
      </c>
      <c r="G1743" s="4">
        <v>1</v>
      </c>
      <c r="H1743" s="5">
        <v>0</v>
      </c>
    </row>
    <row r="1744" spans="1:8" x14ac:dyDescent="0.35">
      <c r="A1744" s="2" t="s">
        <v>789</v>
      </c>
      <c r="B1744" s="2" t="s">
        <v>785</v>
      </c>
      <c r="C1744" s="2" t="s">
        <v>790</v>
      </c>
      <c r="D1744" s="2" t="s">
        <v>791</v>
      </c>
      <c r="E1744" s="2" t="s">
        <v>226</v>
      </c>
      <c r="F1744" s="3">
        <v>2549</v>
      </c>
      <c r="G1744" s="4">
        <v>12</v>
      </c>
      <c r="H1744" s="5">
        <v>0.01</v>
      </c>
    </row>
    <row r="1745" spans="1:8" x14ac:dyDescent="0.35">
      <c r="A1745" s="2" t="s">
        <v>789</v>
      </c>
      <c r="B1745" s="2" t="s">
        <v>785</v>
      </c>
      <c r="C1745" s="2" t="s">
        <v>792</v>
      </c>
      <c r="D1745" s="2" t="s">
        <v>793</v>
      </c>
      <c r="E1745" s="2" t="s">
        <v>35</v>
      </c>
      <c r="F1745" s="3">
        <v>536</v>
      </c>
      <c r="G1745" s="4">
        <v>12</v>
      </c>
      <c r="H1745" s="5">
        <v>0</v>
      </c>
    </row>
    <row r="1746" spans="1:8" x14ac:dyDescent="0.35">
      <c r="A1746" s="2" t="s">
        <v>789</v>
      </c>
      <c r="B1746" s="2" t="s">
        <v>785</v>
      </c>
      <c r="C1746" s="2" t="s">
        <v>794</v>
      </c>
      <c r="D1746" s="2" t="s">
        <v>795</v>
      </c>
      <c r="E1746" s="2" t="s">
        <v>46</v>
      </c>
      <c r="F1746" s="3">
        <v>376</v>
      </c>
      <c r="G1746" s="4">
        <v>12</v>
      </c>
      <c r="H1746" s="5">
        <v>0.01</v>
      </c>
    </row>
    <row r="1747" spans="1:8" x14ac:dyDescent="0.35">
      <c r="A1747" s="2" t="s">
        <v>789</v>
      </c>
      <c r="B1747" s="2" t="s">
        <v>785</v>
      </c>
      <c r="C1747" s="2" t="s">
        <v>737</v>
      </c>
      <c r="D1747" s="2" t="s">
        <v>738</v>
      </c>
      <c r="E1747" s="2" t="s">
        <v>48</v>
      </c>
      <c r="F1747" s="3">
        <v>310</v>
      </c>
      <c r="G1747" s="4">
        <v>12</v>
      </c>
      <c r="H1747" s="5">
        <v>0</v>
      </c>
    </row>
    <row r="1748" spans="1:8" x14ac:dyDescent="0.35">
      <c r="A1748" s="2" t="s">
        <v>789</v>
      </c>
      <c r="B1748" s="2" t="s">
        <v>785</v>
      </c>
      <c r="C1748" s="2" t="s">
        <v>796</v>
      </c>
      <c r="D1748" s="2" t="s">
        <v>797</v>
      </c>
      <c r="E1748" s="2" t="s">
        <v>71</v>
      </c>
      <c r="F1748" s="3">
        <v>260</v>
      </c>
      <c r="G1748" s="4">
        <v>12</v>
      </c>
      <c r="H1748" s="5">
        <v>0</v>
      </c>
    </row>
    <row r="1749" spans="1:8" x14ac:dyDescent="0.35">
      <c r="A1749" s="2" t="s">
        <v>789</v>
      </c>
      <c r="B1749" s="2" t="s">
        <v>785</v>
      </c>
      <c r="C1749" s="2" t="s">
        <v>798</v>
      </c>
      <c r="D1749" s="2" t="s">
        <v>799</v>
      </c>
      <c r="E1749" s="2" t="s">
        <v>92</v>
      </c>
      <c r="F1749" s="3">
        <v>1100</v>
      </c>
      <c r="G1749" s="4">
        <v>12</v>
      </c>
      <c r="H1749" s="5">
        <v>0</v>
      </c>
    </row>
    <row r="1750" spans="1:8" x14ac:dyDescent="0.35">
      <c r="A1750" s="2" t="s">
        <v>789</v>
      </c>
      <c r="B1750" s="2" t="s">
        <v>785</v>
      </c>
      <c r="C1750" s="2" t="s">
        <v>800</v>
      </c>
      <c r="D1750" s="2" t="s">
        <v>801</v>
      </c>
      <c r="E1750" s="2" t="s">
        <v>104</v>
      </c>
      <c r="F1750" s="3">
        <v>26</v>
      </c>
      <c r="G1750" s="4">
        <v>12</v>
      </c>
      <c r="H1750" s="5">
        <v>0</v>
      </c>
    </row>
    <row r="1751" spans="1:8" x14ac:dyDescent="0.35">
      <c r="A1751" s="2" t="s">
        <v>789</v>
      </c>
      <c r="B1751" s="2" t="s">
        <v>785</v>
      </c>
      <c r="C1751" s="2" t="s">
        <v>802</v>
      </c>
      <c r="D1751" s="2" t="s">
        <v>803</v>
      </c>
      <c r="E1751" s="2" t="s">
        <v>147</v>
      </c>
      <c r="F1751" s="3">
        <v>1420</v>
      </c>
      <c r="G1751" s="4">
        <v>12</v>
      </c>
      <c r="H1751" s="5">
        <v>0.01</v>
      </c>
    </row>
    <row r="1752" spans="1:8" x14ac:dyDescent="0.35">
      <c r="A1752" s="2" t="s">
        <v>789</v>
      </c>
      <c r="B1752" s="2" t="s">
        <v>785</v>
      </c>
      <c r="C1752" s="2" t="s">
        <v>804</v>
      </c>
      <c r="D1752" s="2" t="s">
        <v>805</v>
      </c>
      <c r="E1752" s="2" t="s">
        <v>180</v>
      </c>
      <c r="F1752" s="3">
        <v>180</v>
      </c>
      <c r="G1752" s="4">
        <v>12</v>
      </c>
      <c r="H1752" s="5">
        <v>0</v>
      </c>
    </row>
    <row r="1753" spans="1:8" x14ac:dyDescent="0.35">
      <c r="A1753" s="2" t="s">
        <v>789</v>
      </c>
      <c r="B1753" s="2" t="s">
        <v>785</v>
      </c>
      <c r="C1753" s="2" t="s">
        <v>806</v>
      </c>
      <c r="D1753" s="2" t="s">
        <v>807</v>
      </c>
      <c r="E1753" s="2" t="s">
        <v>115</v>
      </c>
      <c r="F1753" s="3">
        <v>50</v>
      </c>
      <c r="G1753" s="4">
        <v>12</v>
      </c>
      <c r="H1753" s="5">
        <v>0</v>
      </c>
    </row>
    <row r="1754" spans="1:8" x14ac:dyDescent="0.35">
      <c r="A1754" s="2" t="s">
        <v>789</v>
      </c>
      <c r="B1754" s="2" t="s">
        <v>785</v>
      </c>
      <c r="C1754" s="2" t="s">
        <v>808</v>
      </c>
      <c r="D1754" s="2" t="s">
        <v>809</v>
      </c>
      <c r="E1754" s="2" t="s">
        <v>204</v>
      </c>
      <c r="F1754" s="3">
        <v>105</v>
      </c>
      <c r="G1754" s="4">
        <v>12</v>
      </c>
      <c r="H1754" s="5">
        <v>0</v>
      </c>
    </row>
    <row r="1755" spans="1:8" x14ac:dyDescent="0.35">
      <c r="A1755" s="2" t="s">
        <v>789</v>
      </c>
      <c r="B1755" s="2" t="s">
        <v>785</v>
      </c>
      <c r="C1755" s="2" t="s">
        <v>810</v>
      </c>
      <c r="D1755" s="2" t="s">
        <v>811</v>
      </c>
      <c r="E1755" s="2" t="s">
        <v>248</v>
      </c>
      <c r="F1755" s="3">
        <v>356</v>
      </c>
      <c r="G1755" s="4">
        <v>12</v>
      </c>
      <c r="H1755" s="5">
        <v>0</v>
      </c>
    </row>
    <row r="1756" spans="1:8" x14ac:dyDescent="0.35">
      <c r="A1756" s="2" t="s">
        <v>789</v>
      </c>
      <c r="B1756" s="2" t="s">
        <v>785</v>
      </c>
      <c r="C1756" s="2" t="s">
        <v>812</v>
      </c>
      <c r="D1756" s="2" t="s">
        <v>813</v>
      </c>
      <c r="E1756" s="2" t="s">
        <v>260</v>
      </c>
      <c r="F1756" s="3">
        <v>14000</v>
      </c>
      <c r="G1756" s="4">
        <v>12</v>
      </c>
      <c r="H1756" s="5">
        <v>0.01</v>
      </c>
    </row>
    <row r="1757" spans="1:8" x14ac:dyDescent="0.35">
      <c r="A1757" s="2" t="s">
        <v>789</v>
      </c>
      <c r="B1757" s="2" t="s">
        <v>785</v>
      </c>
      <c r="C1757" s="2" t="s">
        <v>814</v>
      </c>
      <c r="D1757" s="2" t="s">
        <v>815</v>
      </c>
      <c r="E1757" s="2" t="s">
        <v>260</v>
      </c>
      <c r="F1757" s="3">
        <v>20000</v>
      </c>
      <c r="G1757" s="4">
        <v>12</v>
      </c>
      <c r="H1757" s="5">
        <v>7.4999999999999997E-3</v>
      </c>
    </row>
    <row r="1758" spans="1:8" x14ac:dyDescent="0.35">
      <c r="A1758" s="2" t="s">
        <v>789</v>
      </c>
      <c r="B1758" s="2" t="s">
        <v>785</v>
      </c>
      <c r="C1758" s="2" t="s">
        <v>816</v>
      </c>
      <c r="D1758" s="2" t="s">
        <v>817</v>
      </c>
      <c r="E1758" s="2" t="s">
        <v>285</v>
      </c>
      <c r="F1758" s="3">
        <v>180</v>
      </c>
      <c r="G1758" s="4">
        <v>12</v>
      </c>
      <c r="H1758" s="5">
        <v>0</v>
      </c>
    </row>
    <row r="1759" spans="1:8" x14ac:dyDescent="0.35">
      <c r="A1759" s="2" t="s">
        <v>789</v>
      </c>
      <c r="B1759" s="2" t="s">
        <v>785</v>
      </c>
      <c r="C1759" s="2" t="s">
        <v>818</v>
      </c>
      <c r="D1759" s="2" t="s">
        <v>819</v>
      </c>
      <c r="E1759" s="2" t="s">
        <v>820</v>
      </c>
      <c r="F1759" s="3">
        <v>80</v>
      </c>
      <c r="G1759" s="4">
        <v>12</v>
      </c>
      <c r="H1759" s="5">
        <v>0</v>
      </c>
    </row>
    <row r="1760" spans="1:8" x14ac:dyDescent="0.35">
      <c r="A1760" s="2" t="s">
        <v>789</v>
      </c>
      <c r="B1760" s="2" t="s">
        <v>785</v>
      </c>
      <c r="C1760" s="2" t="s">
        <v>821</v>
      </c>
      <c r="D1760" s="2" t="s">
        <v>822</v>
      </c>
      <c r="E1760" s="2" t="s">
        <v>489</v>
      </c>
      <c r="F1760" s="3">
        <v>190</v>
      </c>
      <c r="G1760" s="4">
        <v>12</v>
      </c>
      <c r="H1760" s="5">
        <v>7.4999999999999997E-3</v>
      </c>
    </row>
    <row r="1761" spans="1:8" x14ac:dyDescent="0.35">
      <c r="A1761" s="2" t="s">
        <v>789</v>
      </c>
      <c r="B1761" s="2" t="s">
        <v>785</v>
      </c>
      <c r="C1761" s="2" t="s">
        <v>823</v>
      </c>
      <c r="D1761" s="2" t="s">
        <v>824</v>
      </c>
      <c r="E1761" s="2" t="s">
        <v>315</v>
      </c>
      <c r="F1761" s="3">
        <v>60</v>
      </c>
      <c r="G1761" s="4">
        <v>12</v>
      </c>
      <c r="H1761" s="5">
        <v>0</v>
      </c>
    </row>
    <row r="1762" spans="1:8" x14ac:dyDescent="0.35">
      <c r="A1762" s="2" t="s">
        <v>789</v>
      </c>
      <c r="B1762" s="2" t="s">
        <v>785</v>
      </c>
      <c r="C1762" s="2" t="s">
        <v>825</v>
      </c>
      <c r="D1762" s="2" t="s">
        <v>826</v>
      </c>
      <c r="E1762" s="2" t="s">
        <v>303</v>
      </c>
      <c r="F1762" s="3">
        <v>120</v>
      </c>
      <c r="G1762" s="4">
        <v>12</v>
      </c>
      <c r="H1762" s="5">
        <v>0</v>
      </c>
    </row>
    <row r="1763" spans="1:8" x14ac:dyDescent="0.35">
      <c r="A1763" s="2" t="s">
        <v>789</v>
      </c>
      <c r="B1763" s="2" t="s">
        <v>785</v>
      </c>
      <c r="C1763" s="2" t="s">
        <v>827</v>
      </c>
      <c r="D1763" s="2" t="s">
        <v>828</v>
      </c>
      <c r="E1763" s="2" t="s">
        <v>102</v>
      </c>
      <c r="F1763" s="3">
        <v>70</v>
      </c>
      <c r="G1763" s="4">
        <v>1</v>
      </c>
      <c r="H1763" s="5">
        <v>0</v>
      </c>
    </row>
    <row r="1764" spans="1:8" x14ac:dyDescent="0.35">
      <c r="A1764" s="2" t="s">
        <v>789</v>
      </c>
      <c r="B1764" s="2" t="s">
        <v>785</v>
      </c>
      <c r="C1764" s="2" t="s">
        <v>829</v>
      </c>
      <c r="D1764" s="2" t="s">
        <v>632</v>
      </c>
      <c r="E1764" s="2" t="s">
        <v>322</v>
      </c>
      <c r="F1764" s="3">
        <v>32</v>
      </c>
      <c r="G1764" s="4">
        <v>12</v>
      </c>
      <c r="H1764" s="5">
        <v>0</v>
      </c>
    </row>
    <row r="1765" spans="1:8" x14ac:dyDescent="0.35">
      <c r="A1765" s="2" t="s">
        <v>789</v>
      </c>
      <c r="B1765" s="2" t="s">
        <v>785</v>
      </c>
      <c r="C1765" s="2" t="s">
        <v>830</v>
      </c>
      <c r="D1765" s="2" t="s">
        <v>831</v>
      </c>
      <c r="E1765" s="2" t="s">
        <v>443</v>
      </c>
      <c r="F1765" s="3">
        <v>30</v>
      </c>
      <c r="G1765" s="4">
        <v>1</v>
      </c>
      <c r="H1765" s="5">
        <v>0</v>
      </c>
    </row>
    <row r="1766" spans="1:8" x14ac:dyDescent="0.35">
      <c r="A1766" s="2" t="s">
        <v>789</v>
      </c>
      <c r="B1766" s="2" t="s">
        <v>785</v>
      </c>
      <c r="C1766" s="2" t="s">
        <v>832</v>
      </c>
      <c r="D1766" s="2" t="s">
        <v>833</v>
      </c>
      <c r="E1766" s="2" t="s">
        <v>300</v>
      </c>
      <c r="F1766" s="3">
        <v>35</v>
      </c>
      <c r="G1766" s="4">
        <v>12</v>
      </c>
      <c r="H1766" s="5">
        <v>0</v>
      </c>
    </row>
    <row r="1767" spans="1:8" x14ac:dyDescent="0.35">
      <c r="A1767" s="2" t="s">
        <v>789</v>
      </c>
      <c r="B1767" s="2" t="s">
        <v>785</v>
      </c>
      <c r="C1767" s="2" t="s">
        <v>834</v>
      </c>
      <c r="D1767" s="2" t="s">
        <v>835</v>
      </c>
      <c r="E1767" s="2" t="s">
        <v>836</v>
      </c>
      <c r="F1767" s="3">
        <v>65</v>
      </c>
      <c r="G1767" s="4">
        <v>12</v>
      </c>
      <c r="H1767" s="5">
        <v>0</v>
      </c>
    </row>
    <row r="1768" spans="1:8" x14ac:dyDescent="0.35">
      <c r="A1768" s="2" t="s">
        <v>789</v>
      </c>
      <c r="B1768" s="2" t="s">
        <v>785</v>
      </c>
      <c r="C1768" s="2" t="s">
        <v>837</v>
      </c>
      <c r="D1768" s="2" t="s">
        <v>838</v>
      </c>
      <c r="E1768" s="2" t="s">
        <v>452</v>
      </c>
      <c r="F1768" s="3">
        <v>80</v>
      </c>
      <c r="G1768" s="4">
        <v>1</v>
      </c>
      <c r="H1768" s="5">
        <v>0</v>
      </c>
    </row>
    <row r="1769" spans="1:8" x14ac:dyDescent="0.35">
      <c r="A1769" s="2" t="s">
        <v>789</v>
      </c>
      <c r="B1769" s="2" t="s">
        <v>788</v>
      </c>
      <c r="C1769" s="2" t="s">
        <v>790</v>
      </c>
      <c r="D1769" s="2" t="s">
        <v>791</v>
      </c>
      <c r="E1769" s="2" t="s">
        <v>226</v>
      </c>
      <c r="F1769" s="3">
        <v>2100</v>
      </c>
      <c r="G1769" s="4">
        <v>60</v>
      </c>
      <c r="H1769" s="5">
        <v>1.0200000000000001E-2</v>
      </c>
    </row>
    <row r="1770" spans="1:8" x14ac:dyDescent="0.35">
      <c r="A1770" s="2" t="s">
        <v>789</v>
      </c>
      <c r="B1770" s="2" t="s">
        <v>788</v>
      </c>
      <c r="C1770" s="2" t="s">
        <v>792</v>
      </c>
      <c r="D1770" s="2" t="s">
        <v>793</v>
      </c>
      <c r="E1770" s="2" t="s">
        <v>35</v>
      </c>
      <c r="F1770" s="3">
        <v>536</v>
      </c>
      <c r="G1770" s="4">
        <v>60</v>
      </c>
      <c r="H1770" s="5">
        <v>0</v>
      </c>
    </row>
    <row r="1771" spans="1:8" x14ac:dyDescent="0.35">
      <c r="A1771" s="2" t="s">
        <v>789</v>
      </c>
      <c r="B1771" s="2" t="s">
        <v>788</v>
      </c>
      <c r="C1771" s="2" t="s">
        <v>794</v>
      </c>
      <c r="D1771" s="2" t="s">
        <v>795</v>
      </c>
      <c r="E1771" s="2" t="s">
        <v>46</v>
      </c>
      <c r="F1771" s="3">
        <v>376</v>
      </c>
      <c r="G1771" s="4">
        <v>60</v>
      </c>
      <c r="H1771" s="5">
        <v>1.0500000000000001E-2</v>
      </c>
    </row>
    <row r="1772" spans="1:8" x14ac:dyDescent="0.35">
      <c r="A1772" s="2" t="s">
        <v>789</v>
      </c>
      <c r="B1772" s="2" t="s">
        <v>788</v>
      </c>
      <c r="C1772" s="2" t="s">
        <v>737</v>
      </c>
      <c r="D1772" s="2" t="s">
        <v>738</v>
      </c>
      <c r="E1772" s="2" t="s">
        <v>48</v>
      </c>
      <c r="F1772" s="3">
        <v>310</v>
      </c>
      <c r="G1772" s="4">
        <v>48</v>
      </c>
      <c r="H1772" s="5">
        <v>0</v>
      </c>
    </row>
    <row r="1773" spans="1:8" x14ac:dyDescent="0.35">
      <c r="A1773" s="2" t="s">
        <v>789</v>
      </c>
      <c r="B1773" s="2" t="s">
        <v>788</v>
      </c>
      <c r="C1773" s="2" t="s">
        <v>796</v>
      </c>
      <c r="D1773" s="2" t="s">
        <v>797</v>
      </c>
      <c r="E1773" s="2" t="s">
        <v>71</v>
      </c>
      <c r="F1773" s="3">
        <v>260</v>
      </c>
      <c r="G1773" s="4">
        <v>48</v>
      </c>
      <c r="H1773" s="5">
        <v>0</v>
      </c>
    </row>
    <row r="1774" spans="1:8" x14ac:dyDescent="0.35">
      <c r="A1774" s="2" t="s">
        <v>789</v>
      </c>
      <c r="B1774" s="2" t="s">
        <v>788</v>
      </c>
      <c r="C1774" s="2" t="s">
        <v>798</v>
      </c>
      <c r="D1774" s="2" t="s">
        <v>799</v>
      </c>
      <c r="E1774" s="2" t="s">
        <v>92</v>
      </c>
      <c r="F1774" s="3">
        <v>1100</v>
      </c>
      <c r="G1774" s="4">
        <v>60</v>
      </c>
      <c r="H1774" s="5">
        <v>0</v>
      </c>
    </row>
    <row r="1775" spans="1:8" x14ac:dyDescent="0.35">
      <c r="A1775" s="2" t="s">
        <v>789</v>
      </c>
      <c r="B1775" s="2" t="s">
        <v>788</v>
      </c>
      <c r="C1775" s="2" t="s">
        <v>800</v>
      </c>
      <c r="D1775" s="2" t="s">
        <v>801</v>
      </c>
      <c r="E1775" s="2" t="s">
        <v>104</v>
      </c>
      <c r="F1775" s="3">
        <v>26</v>
      </c>
      <c r="G1775" s="4">
        <v>12</v>
      </c>
      <c r="H1775" s="5">
        <v>0</v>
      </c>
    </row>
    <row r="1776" spans="1:8" x14ac:dyDescent="0.35">
      <c r="A1776" s="2" t="s">
        <v>789</v>
      </c>
      <c r="B1776" s="2" t="s">
        <v>788</v>
      </c>
      <c r="C1776" s="2" t="s">
        <v>802</v>
      </c>
      <c r="D1776" s="2" t="s">
        <v>803</v>
      </c>
      <c r="E1776" s="2" t="s">
        <v>147</v>
      </c>
      <c r="F1776" s="3">
        <v>1420</v>
      </c>
      <c r="G1776" s="4">
        <v>60</v>
      </c>
      <c r="H1776" s="5">
        <v>9.9000000000000008E-3</v>
      </c>
    </row>
    <row r="1777" spans="1:8" x14ac:dyDescent="0.35">
      <c r="A1777" s="2" t="s">
        <v>789</v>
      </c>
      <c r="B1777" s="2" t="s">
        <v>788</v>
      </c>
      <c r="C1777" s="2" t="s">
        <v>804</v>
      </c>
      <c r="D1777" s="2" t="s">
        <v>805</v>
      </c>
      <c r="E1777" s="2" t="s">
        <v>180</v>
      </c>
      <c r="F1777" s="3">
        <v>180</v>
      </c>
      <c r="G1777" s="4">
        <v>60</v>
      </c>
      <c r="H1777" s="5">
        <v>0</v>
      </c>
    </row>
    <row r="1778" spans="1:8" x14ac:dyDescent="0.35">
      <c r="A1778" s="2" t="s">
        <v>789</v>
      </c>
      <c r="B1778" s="2" t="s">
        <v>788</v>
      </c>
      <c r="C1778" s="2" t="s">
        <v>806</v>
      </c>
      <c r="D1778" s="2" t="s">
        <v>807</v>
      </c>
      <c r="E1778" s="2" t="s">
        <v>115</v>
      </c>
      <c r="F1778" s="3">
        <v>50</v>
      </c>
      <c r="G1778" s="4">
        <v>36</v>
      </c>
      <c r="H1778" s="5">
        <v>0</v>
      </c>
    </row>
    <row r="1779" spans="1:8" x14ac:dyDescent="0.35">
      <c r="A1779" s="2" t="s">
        <v>789</v>
      </c>
      <c r="B1779" s="2" t="s">
        <v>788</v>
      </c>
      <c r="C1779" s="2" t="s">
        <v>808</v>
      </c>
      <c r="D1779" s="2" t="s">
        <v>809</v>
      </c>
      <c r="E1779" s="2" t="s">
        <v>204</v>
      </c>
      <c r="F1779" s="3">
        <v>105</v>
      </c>
      <c r="G1779" s="4">
        <v>24</v>
      </c>
      <c r="H1779" s="5">
        <v>0</v>
      </c>
    </row>
    <row r="1780" spans="1:8" x14ac:dyDescent="0.35">
      <c r="A1780" s="2" t="s">
        <v>789</v>
      </c>
      <c r="B1780" s="2" t="s">
        <v>788</v>
      </c>
      <c r="C1780" s="2" t="s">
        <v>810</v>
      </c>
      <c r="D1780" s="2" t="s">
        <v>811</v>
      </c>
      <c r="E1780" s="2" t="s">
        <v>248</v>
      </c>
      <c r="F1780" s="3">
        <v>356</v>
      </c>
      <c r="G1780" s="4">
        <v>36</v>
      </c>
      <c r="H1780" s="5">
        <v>0</v>
      </c>
    </row>
    <row r="1781" spans="1:8" x14ac:dyDescent="0.35">
      <c r="A1781" s="2" t="s">
        <v>789</v>
      </c>
      <c r="B1781" s="2" t="s">
        <v>788</v>
      </c>
      <c r="C1781" s="2" t="s">
        <v>812</v>
      </c>
      <c r="D1781" s="2" t="s">
        <v>813</v>
      </c>
      <c r="E1781" s="2" t="s">
        <v>260</v>
      </c>
      <c r="F1781" s="3">
        <v>9700</v>
      </c>
      <c r="G1781" s="4">
        <v>60</v>
      </c>
      <c r="H1781" s="5">
        <v>7.4999999999999997E-3</v>
      </c>
    </row>
    <row r="1782" spans="1:8" x14ac:dyDescent="0.35">
      <c r="A1782" s="2" t="s">
        <v>789</v>
      </c>
      <c r="B1782" s="2" t="s">
        <v>788</v>
      </c>
      <c r="C1782" s="2" t="s">
        <v>814</v>
      </c>
      <c r="D1782" s="2" t="s">
        <v>815</v>
      </c>
      <c r="E1782" s="2" t="s">
        <v>260</v>
      </c>
      <c r="F1782" s="3">
        <v>18500</v>
      </c>
      <c r="G1782" s="4">
        <v>60</v>
      </c>
      <c r="H1782" s="5">
        <v>7.4999999999999997E-3</v>
      </c>
    </row>
    <row r="1783" spans="1:8" x14ac:dyDescent="0.35">
      <c r="A1783" s="2" t="s">
        <v>789</v>
      </c>
      <c r="B1783" s="2" t="s">
        <v>788</v>
      </c>
      <c r="C1783" s="2" t="s">
        <v>816</v>
      </c>
      <c r="D1783" s="2" t="s">
        <v>817</v>
      </c>
      <c r="E1783" s="2" t="s">
        <v>285</v>
      </c>
      <c r="F1783" s="3">
        <v>180</v>
      </c>
      <c r="G1783" s="4">
        <v>60</v>
      </c>
      <c r="H1783" s="5">
        <v>0</v>
      </c>
    </row>
    <row r="1784" spans="1:8" x14ac:dyDescent="0.35">
      <c r="A1784" s="2" t="s">
        <v>789</v>
      </c>
      <c r="B1784" s="2" t="s">
        <v>788</v>
      </c>
      <c r="C1784" s="2" t="s">
        <v>818</v>
      </c>
      <c r="D1784" s="2" t="s">
        <v>819</v>
      </c>
      <c r="E1784" s="2" t="s">
        <v>820</v>
      </c>
      <c r="F1784" s="3">
        <v>80</v>
      </c>
      <c r="G1784" s="4">
        <v>60</v>
      </c>
      <c r="H1784" s="5">
        <v>0</v>
      </c>
    </row>
    <row r="1785" spans="1:8" x14ac:dyDescent="0.35">
      <c r="A1785" s="2" t="s">
        <v>789</v>
      </c>
      <c r="B1785" s="2" t="s">
        <v>788</v>
      </c>
      <c r="C1785" s="2" t="s">
        <v>821</v>
      </c>
      <c r="D1785" s="2" t="s">
        <v>822</v>
      </c>
      <c r="E1785" s="2" t="s">
        <v>489</v>
      </c>
      <c r="F1785" s="3">
        <v>1500</v>
      </c>
      <c r="G1785" s="4">
        <v>60</v>
      </c>
      <c r="H1785" s="5">
        <v>7.4999999999999997E-3</v>
      </c>
    </row>
    <row r="1786" spans="1:8" x14ac:dyDescent="0.35">
      <c r="A1786" s="2" t="s">
        <v>789</v>
      </c>
      <c r="B1786" s="2" t="s">
        <v>788</v>
      </c>
      <c r="C1786" s="2" t="s">
        <v>823</v>
      </c>
      <c r="D1786" s="2" t="s">
        <v>824</v>
      </c>
      <c r="E1786" s="2" t="s">
        <v>315</v>
      </c>
      <c r="F1786" s="3">
        <v>60</v>
      </c>
      <c r="G1786" s="4">
        <v>12</v>
      </c>
      <c r="H1786" s="5">
        <v>0</v>
      </c>
    </row>
    <row r="1787" spans="1:8" x14ac:dyDescent="0.35">
      <c r="A1787" s="2" t="s">
        <v>789</v>
      </c>
      <c r="B1787" s="2" t="s">
        <v>788</v>
      </c>
      <c r="C1787" s="2" t="s">
        <v>825</v>
      </c>
      <c r="D1787" s="2" t="s">
        <v>826</v>
      </c>
      <c r="E1787" s="2" t="s">
        <v>303</v>
      </c>
      <c r="F1787" s="3">
        <v>120</v>
      </c>
      <c r="G1787" s="4">
        <v>36</v>
      </c>
      <c r="H1787" s="5">
        <v>0</v>
      </c>
    </row>
    <row r="1788" spans="1:8" x14ac:dyDescent="0.35">
      <c r="A1788" s="2" t="s">
        <v>789</v>
      </c>
      <c r="B1788" s="2" t="s">
        <v>788</v>
      </c>
      <c r="C1788" s="2" t="s">
        <v>827</v>
      </c>
      <c r="D1788" s="2" t="s">
        <v>828</v>
      </c>
      <c r="E1788" s="2" t="s">
        <v>102</v>
      </c>
      <c r="F1788" s="3">
        <v>70</v>
      </c>
      <c r="G1788" s="4">
        <v>1</v>
      </c>
      <c r="H1788" s="5">
        <v>0</v>
      </c>
    </row>
    <row r="1789" spans="1:8" x14ac:dyDescent="0.35">
      <c r="A1789" s="2" t="s">
        <v>789</v>
      </c>
      <c r="B1789" s="2" t="s">
        <v>788</v>
      </c>
      <c r="C1789" s="2" t="s">
        <v>829</v>
      </c>
      <c r="D1789" s="2" t="s">
        <v>632</v>
      </c>
      <c r="E1789" s="2" t="s">
        <v>322</v>
      </c>
      <c r="F1789" s="3">
        <v>32</v>
      </c>
      <c r="G1789" s="4">
        <v>60</v>
      </c>
      <c r="H1789" s="5">
        <v>0</v>
      </c>
    </row>
    <row r="1790" spans="1:8" x14ac:dyDescent="0.35">
      <c r="A1790" s="2" t="s">
        <v>789</v>
      </c>
      <c r="B1790" s="2" t="s">
        <v>788</v>
      </c>
      <c r="C1790" s="2" t="s">
        <v>830</v>
      </c>
      <c r="D1790" s="2" t="s">
        <v>831</v>
      </c>
      <c r="E1790" s="2" t="s">
        <v>443</v>
      </c>
      <c r="F1790" s="3">
        <v>4</v>
      </c>
      <c r="G1790" s="4">
        <v>1</v>
      </c>
      <c r="H1790" s="5">
        <v>0</v>
      </c>
    </row>
    <row r="1791" spans="1:8" x14ac:dyDescent="0.35">
      <c r="A1791" s="2" t="s">
        <v>789</v>
      </c>
      <c r="B1791" s="2" t="s">
        <v>788</v>
      </c>
      <c r="C1791" s="2" t="s">
        <v>832</v>
      </c>
      <c r="D1791" s="2" t="s">
        <v>833</v>
      </c>
      <c r="E1791" s="2" t="s">
        <v>300</v>
      </c>
      <c r="F1791" s="3">
        <v>35</v>
      </c>
      <c r="G1791" s="4">
        <v>12</v>
      </c>
      <c r="H1791" s="5">
        <v>0</v>
      </c>
    </row>
    <row r="1792" spans="1:8" x14ac:dyDescent="0.35">
      <c r="A1792" s="2" t="s">
        <v>789</v>
      </c>
      <c r="B1792" s="2" t="s">
        <v>788</v>
      </c>
      <c r="C1792" s="2" t="s">
        <v>834</v>
      </c>
      <c r="D1792" s="2" t="s">
        <v>835</v>
      </c>
      <c r="E1792" s="2" t="s">
        <v>836</v>
      </c>
      <c r="F1792" s="3">
        <v>65</v>
      </c>
      <c r="G1792" s="4">
        <v>12</v>
      </c>
      <c r="H1792" s="5">
        <v>0</v>
      </c>
    </row>
    <row r="1793" spans="1:8" x14ac:dyDescent="0.35">
      <c r="A1793" s="2" t="s">
        <v>789</v>
      </c>
      <c r="B1793" s="2" t="s">
        <v>788</v>
      </c>
      <c r="C1793" s="2" t="s">
        <v>837</v>
      </c>
      <c r="D1793" s="2" t="s">
        <v>838</v>
      </c>
      <c r="E1793" s="2" t="s">
        <v>452</v>
      </c>
      <c r="F1793" s="3">
        <v>50</v>
      </c>
      <c r="G1793" s="4">
        <v>1</v>
      </c>
      <c r="H1793" s="5">
        <v>0</v>
      </c>
    </row>
    <row r="1794" spans="1:8" x14ac:dyDescent="0.35">
      <c r="A1794" s="2" t="s">
        <v>789</v>
      </c>
      <c r="B1794" s="2" t="s">
        <v>787</v>
      </c>
      <c r="C1794" s="2" t="s">
        <v>790</v>
      </c>
      <c r="D1794" s="2" t="s">
        <v>791</v>
      </c>
      <c r="E1794" s="2" t="s">
        <v>226</v>
      </c>
      <c r="F1794" s="3">
        <v>2121.21</v>
      </c>
      <c r="G1794" s="4">
        <v>60</v>
      </c>
      <c r="H1794" s="5">
        <v>7.4999999999999997E-3</v>
      </c>
    </row>
    <row r="1795" spans="1:8" x14ac:dyDescent="0.35">
      <c r="A1795" s="2" t="s">
        <v>789</v>
      </c>
      <c r="B1795" s="2" t="s">
        <v>787</v>
      </c>
      <c r="C1795" s="2" t="s">
        <v>792</v>
      </c>
      <c r="D1795" s="2" t="s">
        <v>793</v>
      </c>
      <c r="E1795" s="2" t="s">
        <v>35</v>
      </c>
      <c r="F1795" s="3">
        <v>541.41</v>
      </c>
      <c r="G1795" s="4">
        <v>60</v>
      </c>
      <c r="H1795" s="5">
        <v>0</v>
      </c>
    </row>
    <row r="1796" spans="1:8" x14ac:dyDescent="0.35">
      <c r="A1796" s="2" t="s">
        <v>789</v>
      </c>
      <c r="B1796" s="2" t="s">
        <v>787</v>
      </c>
      <c r="C1796" s="2" t="s">
        <v>794</v>
      </c>
      <c r="D1796" s="2" t="s">
        <v>795</v>
      </c>
      <c r="E1796" s="2" t="s">
        <v>46</v>
      </c>
      <c r="F1796" s="3">
        <v>379.8</v>
      </c>
      <c r="G1796" s="4">
        <v>60</v>
      </c>
      <c r="H1796" s="5">
        <v>7.4999999999999997E-3</v>
      </c>
    </row>
    <row r="1797" spans="1:8" x14ac:dyDescent="0.35">
      <c r="A1797" s="2" t="s">
        <v>789</v>
      </c>
      <c r="B1797" s="2" t="s">
        <v>787</v>
      </c>
      <c r="C1797" s="2" t="s">
        <v>737</v>
      </c>
      <c r="D1797" s="2" t="s">
        <v>738</v>
      </c>
      <c r="E1797" s="2" t="s">
        <v>48</v>
      </c>
      <c r="F1797" s="3">
        <v>313.13</v>
      </c>
      <c r="G1797" s="4">
        <v>48</v>
      </c>
      <c r="H1797" s="5">
        <v>0</v>
      </c>
    </row>
    <row r="1798" spans="1:8" x14ac:dyDescent="0.35">
      <c r="A1798" s="2" t="s">
        <v>789</v>
      </c>
      <c r="B1798" s="2" t="s">
        <v>787</v>
      </c>
      <c r="C1798" s="2" t="s">
        <v>796</v>
      </c>
      <c r="D1798" s="2" t="s">
        <v>797</v>
      </c>
      <c r="E1798" s="2" t="s">
        <v>71</v>
      </c>
      <c r="F1798" s="3">
        <v>262.63</v>
      </c>
      <c r="G1798" s="4">
        <v>48</v>
      </c>
      <c r="H1798" s="5">
        <v>0</v>
      </c>
    </row>
    <row r="1799" spans="1:8" x14ac:dyDescent="0.35">
      <c r="A1799" s="2" t="s">
        <v>789</v>
      </c>
      <c r="B1799" s="2" t="s">
        <v>787</v>
      </c>
      <c r="C1799" s="2" t="s">
        <v>798</v>
      </c>
      <c r="D1799" s="2" t="s">
        <v>799</v>
      </c>
      <c r="E1799" s="2" t="s">
        <v>92</v>
      </c>
      <c r="F1799" s="3">
        <v>1111.1099999999999</v>
      </c>
      <c r="G1799" s="4">
        <v>60</v>
      </c>
      <c r="H1799" s="5">
        <v>0</v>
      </c>
    </row>
    <row r="1800" spans="1:8" x14ac:dyDescent="0.35">
      <c r="A1800" s="2" t="s">
        <v>789</v>
      </c>
      <c r="B1800" s="2" t="s">
        <v>787</v>
      </c>
      <c r="C1800" s="2" t="s">
        <v>800</v>
      </c>
      <c r="D1800" s="2" t="s">
        <v>801</v>
      </c>
      <c r="E1800" s="2" t="s">
        <v>104</v>
      </c>
      <c r="F1800" s="3">
        <v>26.26</v>
      </c>
      <c r="G1800" s="4">
        <v>12</v>
      </c>
      <c r="H1800" s="5">
        <v>0</v>
      </c>
    </row>
    <row r="1801" spans="1:8" x14ac:dyDescent="0.35">
      <c r="A1801" s="2" t="s">
        <v>789</v>
      </c>
      <c r="B1801" s="2" t="s">
        <v>787</v>
      </c>
      <c r="C1801" s="2" t="s">
        <v>802</v>
      </c>
      <c r="D1801" s="2" t="s">
        <v>803</v>
      </c>
      <c r="E1801" s="2" t="s">
        <v>147</v>
      </c>
      <c r="F1801" s="3">
        <v>1434.34</v>
      </c>
      <c r="G1801" s="4">
        <v>60</v>
      </c>
      <c r="H1801" s="5">
        <v>7.4999999999999997E-3</v>
      </c>
    </row>
    <row r="1802" spans="1:8" x14ac:dyDescent="0.35">
      <c r="A1802" s="2" t="s">
        <v>789</v>
      </c>
      <c r="B1802" s="2" t="s">
        <v>787</v>
      </c>
      <c r="C1802" s="2" t="s">
        <v>804</v>
      </c>
      <c r="D1802" s="2" t="s">
        <v>805</v>
      </c>
      <c r="E1802" s="2" t="s">
        <v>180</v>
      </c>
      <c r="F1802" s="3">
        <v>181.8</v>
      </c>
      <c r="G1802" s="4">
        <v>60</v>
      </c>
      <c r="H1802" s="5">
        <v>0</v>
      </c>
    </row>
    <row r="1803" spans="1:8" x14ac:dyDescent="0.35">
      <c r="A1803" s="2" t="s">
        <v>789</v>
      </c>
      <c r="B1803" s="2" t="s">
        <v>787</v>
      </c>
      <c r="C1803" s="2" t="s">
        <v>806</v>
      </c>
      <c r="D1803" s="2" t="s">
        <v>807</v>
      </c>
      <c r="E1803" s="2" t="s">
        <v>115</v>
      </c>
      <c r="F1803" s="3">
        <v>50</v>
      </c>
      <c r="G1803" s="4">
        <v>36</v>
      </c>
      <c r="H1803" s="5">
        <v>0</v>
      </c>
    </row>
    <row r="1804" spans="1:8" x14ac:dyDescent="0.35">
      <c r="A1804" s="2" t="s">
        <v>789</v>
      </c>
      <c r="B1804" s="2" t="s">
        <v>787</v>
      </c>
      <c r="C1804" s="2" t="s">
        <v>808</v>
      </c>
      <c r="D1804" s="2" t="s">
        <v>809</v>
      </c>
      <c r="E1804" s="2" t="s">
        <v>204</v>
      </c>
      <c r="F1804" s="3">
        <v>105</v>
      </c>
      <c r="G1804" s="4">
        <v>24</v>
      </c>
      <c r="H1804" s="5">
        <v>0</v>
      </c>
    </row>
    <row r="1805" spans="1:8" x14ac:dyDescent="0.35">
      <c r="A1805" s="2" t="s">
        <v>789</v>
      </c>
      <c r="B1805" s="2" t="s">
        <v>787</v>
      </c>
      <c r="C1805" s="2" t="s">
        <v>810</v>
      </c>
      <c r="D1805" s="2" t="s">
        <v>811</v>
      </c>
      <c r="E1805" s="2" t="s">
        <v>248</v>
      </c>
      <c r="F1805" s="3">
        <v>356</v>
      </c>
      <c r="G1805" s="4">
        <v>36</v>
      </c>
      <c r="H1805" s="5">
        <v>0</v>
      </c>
    </row>
    <row r="1806" spans="1:8" x14ac:dyDescent="0.35">
      <c r="A1806" s="2" t="s">
        <v>789</v>
      </c>
      <c r="B1806" s="2" t="s">
        <v>787</v>
      </c>
      <c r="C1806" s="2" t="s">
        <v>812</v>
      </c>
      <c r="D1806" s="2" t="s">
        <v>813</v>
      </c>
      <c r="E1806" s="2" t="s">
        <v>260</v>
      </c>
      <c r="F1806" s="3">
        <v>9700</v>
      </c>
      <c r="G1806" s="4">
        <v>60</v>
      </c>
      <c r="H1806" s="5">
        <v>7.4999999999999997E-3</v>
      </c>
    </row>
    <row r="1807" spans="1:8" x14ac:dyDescent="0.35">
      <c r="A1807" s="2" t="s">
        <v>789</v>
      </c>
      <c r="B1807" s="2" t="s">
        <v>787</v>
      </c>
      <c r="C1807" s="2" t="s">
        <v>814</v>
      </c>
      <c r="D1807" s="2" t="s">
        <v>815</v>
      </c>
      <c r="E1807" s="2" t="s">
        <v>260</v>
      </c>
      <c r="F1807" s="3">
        <v>18500</v>
      </c>
      <c r="G1807" s="4">
        <v>60</v>
      </c>
      <c r="H1807" s="5">
        <v>7.4999999999999997E-3</v>
      </c>
    </row>
    <row r="1808" spans="1:8" x14ac:dyDescent="0.35">
      <c r="A1808" s="2" t="s">
        <v>789</v>
      </c>
      <c r="B1808" s="2" t="s">
        <v>787</v>
      </c>
      <c r="C1808" s="2" t="s">
        <v>816</v>
      </c>
      <c r="D1808" s="2" t="s">
        <v>817</v>
      </c>
      <c r="E1808" s="2" t="s">
        <v>285</v>
      </c>
      <c r="F1808" s="3">
        <v>180</v>
      </c>
      <c r="G1808" s="4">
        <v>60</v>
      </c>
      <c r="H1808" s="5">
        <v>0</v>
      </c>
    </row>
    <row r="1809" spans="1:8" x14ac:dyDescent="0.35">
      <c r="A1809" s="2" t="s">
        <v>789</v>
      </c>
      <c r="B1809" s="2" t="s">
        <v>787</v>
      </c>
      <c r="C1809" s="2" t="s">
        <v>818</v>
      </c>
      <c r="D1809" s="2" t="s">
        <v>819</v>
      </c>
      <c r="E1809" s="2" t="s">
        <v>820</v>
      </c>
      <c r="F1809" s="3">
        <v>80</v>
      </c>
      <c r="G1809" s="4">
        <v>60</v>
      </c>
      <c r="H1809" s="5">
        <v>0</v>
      </c>
    </row>
    <row r="1810" spans="1:8" x14ac:dyDescent="0.35">
      <c r="A1810" s="2" t="s">
        <v>789</v>
      </c>
      <c r="B1810" s="2" t="s">
        <v>787</v>
      </c>
      <c r="C1810" s="2" t="s">
        <v>821</v>
      </c>
      <c r="D1810" s="2" t="s">
        <v>822</v>
      </c>
      <c r="E1810" s="2" t="s">
        <v>489</v>
      </c>
      <c r="F1810" s="3">
        <v>1500</v>
      </c>
      <c r="G1810" s="4">
        <v>60</v>
      </c>
      <c r="H1810" s="5">
        <v>7.4999999999999997E-3</v>
      </c>
    </row>
    <row r="1811" spans="1:8" x14ac:dyDescent="0.35">
      <c r="A1811" s="2" t="s">
        <v>789</v>
      </c>
      <c r="B1811" s="2" t="s">
        <v>787</v>
      </c>
      <c r="C1811" s="2" t="s">
        <v>823</v>
      </c>
      <c r="D1811" s="2" t="s">
        <v>824</v>
      </c>
      <c r="E1811" s="2" t="s">
        <v>315</v>
      </c>
      <c r="F1811" s="3">
        <v>60</v>
      </c>
      <c r="G1811" s="4">
        <v>12</v>
      </c>
      <c r="H1811" s="5">
        <v>0</v>
      </c>
    </row>
    <row r="1812" spans="1:8" x14ac:dyDescent="0.35">
      <c r="A1812" s="2" t="s">
        <v>789</v>
      </c>
      <c r="B1812" s="2" t="s">
        <v>787</v>
      </c>
      <c r="C1812" s="2" t="s">
        <v>825</v>
      </c>
      <c r="D1812" s="2" t="s">
        <v>826</v>
      </c>
      <c r="E1812" s="2" t="s">
        <v>303</v>
      </c>
      <c r="F1812" s="3">
        <v>120</v>
      </c>
      <c r="G1812" s="4">
        <v>36</v>
      </c>
      <c r="H1812" s="5">
        <v>0</v>
      </c>
    </row>
    <row r="1813" spans="1:8" x14ac:dyDescent="0.35">
      <c r="A1813" s="2" t="s">
        <v>789</v>
      </c>
      <c r="B1813" s="2" t="s">
        <v>787</v>
      </c>
      <c r="C1813" s="2" t="s">
        <v>827</v>
      </c>
      <c r="D1813" s="2" t="s">
        <v>828</v>
      </c>
      <c r="E1813" s="2" t="s">
        <v>102</v>
      </c>
      <c r="F1813" s="3">
        <v>70</v>
      </c>
      <c r="G1813" s="4">
        <v>1</v>
      </c>
      <c r="H1813" s="5">
        <v>0</v>
      </c>
    </row>
    <row r="1814" spans="1:8" x14ac:dyDescent="0.35">
      <c r="A1814" s="2" t="s">
        <v>789</v>
      </c>
      <c r="B1814" s="2" t="s">
        <v>787</v>
      </c>
      <c r="C1814" s="2" t="s">
        <v>829</v>
      </c>
      <c r="D1814" s="2" t="s">
        <v>632</v>
      </c>
      <c r="E1814" s="2" t="s">
        <v>322</v>
      </c>
      <c r="F1814" s="3">
        <v>32</v>
      </c>
      <c r="G1814" s="4">
        <v>60</v>
      </c>
      <c r="H1814" s="5">
        <v>0</v>
      </c>
    </row>
    <row r="1815" spans="1:8" x14ac:dyDescent="0.35">
      <c r="A1815" s="2" t="s">
        <v>789</v>
      </c>
      <c r="B1815" s="2" t="s">
        <v>787</v>
      </c>
      <c r="C1815" s="2" t="s">
        <v>830</v>
      </c>
      <c r="D1815" s="2" t="s">
        <v>831</v>
      </c>
      <c r="E1815" s="2" t="s">
        <v>443</v>
      </c>
      <c r="F1815" s="3">
        <v>4</v>
      </c>
      <c r="G1815" s="4">
        <v>1</v>
      </c>
      <c r="H1815" s="5">
        <v>0</v>
      </c>
    </row>
    <row r="1816" spans="1:8" x14ac:dyDescent="0.35">
      <c r="A1816" s="2" t="s">
        <v>789</v>
      </c>
      <c r="B1816" s="2" t="s">
        <v>787</v>
      </c>
      <c r="C1816" s="2" t="s">
        <v>832</v>
      </c>
      <c r="D1816" s="2" t="s">
        <v>833</v>
      </c>
      <c r="E1816" s="2" t="s">
        <v>300</v>
      </c>
      <c r="F1816" s="3">
        <v>35</v>
      </c>
      <c r="G1816" s="4">
        <v>12</v>
      </c>
      <c r="H1816" s="5">
        <v>0</v>
      </c>
    </row>
    <row r="1817" spans="1:8" x14ac:dyDescent="0.35">
      <c r="A1817" s="2" t="s">
        <v>789</v>
      </c>
      <c r="B1817" s="2" t="s">
        <v>787</v>
      </c>
      <c r="C1817" s="2" t="s">
        <v>834</v>
      </c>
      <c r="D1817" s="2" t="s">
        <v>835</v>
      </c>
      <c r="E1817" s="2" t="s">
        <v>836</v>
      </c>
      <c r="F1817" s="3">
        <v>65</v>
      </c>
      <c r="G1817" s="4">
        <v>12</v>
      </c>
      <c r="H1817" s="5">
        <v>0</v>
      </c>
    </row>
    <row r="1818" spans="1:8" x14ac:dyDescent="0.35">
      <c r="A1818" s="2" t="s">
        <v>789</v>
      </c>
      <c r="B1818" s="2" t="s">
        <v>787</v>
      </c>
      <c r="C1818" s="2" t="s">
        <v>837</v>
      </c>
      <c r="D1818" s="2" t="s">
        <v>838</v>
      </c>
      <c r="E1818" s="2" t="s">
        <v>452</v>
      </c>
      <c r="F1818" s="3">
        <v>50</v>
      </c>
      <c r="G1818" s="4">
        <v>1</v>
      </c>
      <c r="H1818" s="5">
        <v>0</v>
      </c>
    </row>
    <row r="1819" spans="1:8" x14ac:dyDescent="0.35">
      <c r="A1819" s="2" t="s">
        <v>789</v>
      </c>
      <c r="B1819" s="2" t="s">
        <v>447</v>
      </c>
      <c r="C1819" s="2" t="s">
        <v>790</v>
      </c>
      <c r="D1819" s="2" t="s">
        <v>791</v>
      </c>
      <c r="E1819" s="2" t="s">
        <v>226</v>
      </c>
      <c r="F1819" s="3">
        <v>2100</v>
      </c>
      <c r="G1819" s="4">
        <v>60</v>
      </c>
      <c r="H1819" s="5">
        <v>7.4999999999999997E-3</v>
      </c>
    </row>
    <row r="1820" spans="1:8" x14ac:dyDescent="0.35">
      <c r="A1820" s="2" t="s">
        <v>789</v>
      </c>
      <c r="B1820" s="2" t="s">
        <v>447</v>
      </c>
      <c r="C1820" s="2" t="s">
        <v>792</v>
      </c>
      <c r="D1820" s="2" t="s">
        <v>793</v>
      </c>
      <c r="E1820" s="2" t="s">
        <v>35</v>
      </c>
      <c r="F1820" s="3">
        <v>536</v>
      </c>
      <c r="G1820" s="4">
        <v>60</v>
      </c>
      <c r="H1820" s="5">
        <v>0</v>
      </c>
    </row>
    <row r="1821" spans="1:8" x14ac:dyDescent="0.35">
      <c r="A1821" s="2" t="s">
        <v>789</v>
      </c>
      <c r="B1821" s="2" t="s">
        <v>447</v>
      </c>
      <c r="C1821" s="2" t="s">
        <v>794</v>
      </c>
      <c r="D1821" s="2" t="s">
        <v>795</v>
      </c>
      <c r="E1821" s="2" t="s">
        <v>46</v>
      </c>
      <c r="F1821" s="3">
        <v>376</v>
      </c>
      <c r="G1821" s="4">
        <v>60</v>
      </c>
      <c r="H1821" s="5">
        <v>7.4999999999999997E-3</v>
      </c>
    </row>
    <row r="1822" spans="1:8" x14ac:dyDescent="0.35">
      <c r="A1822" s="2" t="s">
        <v>789</v>
      </c>
      <c r="B1822" s="2" t="s">
        <v>447</v>
      </c>
      <c r="C1822" s="2" t="s">
        <v>737</v>
      </c>
      <c r="D1822" s="2" t="s">
        <v>738</v>
      </c>
      <c r="E1822" s="2" t="s">
        <v>48</v>
      </c>
      <c r="F1822" s="3">
        <v>310</v>
      </c>
      <c r="G1822" s="4">
        <v>48</v>
      </c>
      <c r="H1822" s="5">
        <v>0</v>
      </c>
    </row>
    <row r="1823" spans="1:8" x14ac:dyDescent="0.35">
      <c r="A1823" s="2" t="s">
        <v>789</v>
      </c>
      <c r="B1823" s="2" t="s">
        <v>447</v>
      </c>
      <c r="C1823" s="2" t="s">
        <v>796</v>
      </c>
      <c r="D1823" s="2" t="s">
        <v>797</v>
      </c>
      <c r="E1823" s="2" t="s">
        <v>71</v>
      </c>
      <c r="F1823" s="3">
        <v>260</v>
      </c>
      <c r="G1823" s="4">
        <v>48</v>
      </c>
      <c r="H1823" s="5">
        <v>0</v>
      </c>
    </row>
    <row r="1824" spans="1:8" x14ac:dyDescent="0.35">
      <c r="A1824" s="2" t="s">
        <v>789</v>
      </c>
      <c r="B1824" s="2" t="s">
        <v>447</v>
      </c>
      <c r="C1824" s="2" t="s">
        <v>798</v>
      </c>
      <c r="D1824" s="2" t="s">
        <v>799</v>
      </c>
      <c r="E1824" s="2" t="s">
        <v>92</v>
      </c>
      <c r="F1824" s="3">
        <v>1100</v>
      </c>
      <c r="G1824" s="4">
        <v>60</v>
      </c>
      <c r="H1824" s="5">
        <v>0</v>
      </c>
    </row>
    <row r="1825" spans="1:8" x14ac:dyDescent="0.35">
      <c r="A1825" s="2" t="s">
        <v>789</v>
      </c>
      <c r="B1825" s="2" t="s">
        <v>447</v>
      </c>
      <c r="C1825" s="2" t="s">
        <v>800</v>
      </c>
      <c r="D1825" s="2" t="s">
        <v>801</v>
      </c>
      <c r="E1825" s="2" t="s">
        <v>104</v>
      </c>
      <c r="F1825" s="3">
        <v>26</v>
      </c>
      <c r="G1825" s="4">
        <v>12</v>
      </c>
      <c r="H1825" s="5">
        <v>0</v>
      </c>
    </row>
    <row r="1826" spans="1:8" x14ac:dyDescent="0.35">
      <c r="A1826" s="2" t="s">
        <v>789</v>
      </c>
      <c r="B1826" s="2" t="s">
        <v>447</v>
      </c>
      <c r="C1826" s="2" t="s">
        <v>802</v>
      </c>
      <c r="D1826" s="2" t="s">
        <v>803</v>
      </c>
      <c r="E1826" s="2" t="s">
        <v>147</v>
      </c>
      <c r="F1826" s="3">
        <v>1420</v>
      </c>
      <c r="G1826" s="4">
        <v>60</v>
      </c>
      <c r="H1826" s="5">
        <v>7.4999999999999997E-3</v>
      </c>
    </row>
    <row r="1827" spans="1:8" x14ac:dyDescent="0.35">
      <c r="A1827" s="2" t="s">
        <v>789</v>
      </c>
      <c r="B1827" s="2" t="s">
        <v>447</v>
      </c>
      <c r="C1827" s="2" t="s">
        <v>804</v>
      </c>
      <c r="D1827" s="2" t="s">
        <v>805</v>
      </c>
      <c r="E1827" s="2" t="s">
        <v>180</v>
      </c>
      <c r="F1827" s="3">
        <v>180</v>
      </c>
      <c r="G1827" s="4">
        <v>60</v>
      </c>
      <c r="H1827" s="5">
        <v>0</v>
      </c>
    </row>
    <row r="1828" spans="1:8" x14ac:dyDescent="0.35">
      <c r="A1828" s="2" t="s">
        <v>789</v>
      </c>
      <c r="B1828" s="2" t="s">
        <v>447</v>
      </c>
      <c r="C1828" s="2" t="s">
        <v>806</v>
      </c>
      <c r="D1828" s="2" t="s">
        <v>807</v>
      </c>
      <c r="E1828" s="2" t="s">
        <v>115</v>
      </c>
      <c r="F1828" s="3">
        <v>50</v>
      </c>
      <c r="G1828" s="4">
        <v>36</v>
      </c>
      <c r="H1828" s="5">
        <v>0</v>
      </c>
    </row>
    <row r="1829" spans="1:8" x14ac:dyDescent="0.35">
      <c r="A1829" s="2" t="s">
        <v>789</v>
      </c>
      <c r="B1829" s="2" t="s">
        <v>447</v>
      </c>
      <c r="C1829" s="2" t="s">
        <v>808</v>
      </c>
      <c r="D1829" s="2" t="s">
        <v>809</v>
      </c>
      <c r="E1829" s="2" t="s">
        <v>204</v>
      </c>
      <c r="F1829" s="3">
        <v>105</v>
      </c>
      <c r="G1829" s="4">
        <v>24</v>
      </c>
      <c r="H1829" s="5">
        <v>0</v>
      </c>
    </row>
    <row r="1830" spans="1:8" x14ac:dyDescent="0.35">
      <c r="A1830" s="2" t="s">
        <v>789</v>
      </c>
      <c r="B1830" s="2" t="s">
        <v>447</v>
      </c>
      <c r="C1830" s="2" t="s">
        <v>810</v>
      </c>
      <c r="D1830" s="2" t="s">
        <v>811</v>
      </c>
      <c r="E1830" s="2" t="s">
        <v>248</v>
      </c>
      <c r="F1830" s="3">
        <v>356</v>
      </c>
      <c r="G1830" s="4">
        <v>36</v>
      </c>
      <c r="H1830" s="5">
        <v>0</v>
      </c>
    </row>
    <row r="1831" spans="1:8" x14ac:dyDescent="0.35">
      <c r="A1831" s="2" t="s">
        <v>789</v>
      </c>
      <c r="B1831" s="2" t="s">
        <v>447</v>
      </c>
      <c r="C1831" s="2" t="s">
        <v>812</v>
      </c>
      <c r="D1831" s="2" t="s">
        <v>813</v>
      </c>
      <c r="E1831" s="2" t="s">
        <v>260</v>
      </c>
      <c r="F1831" s="3">
        <v>9700</v>
      </c>
      <c r="G1831" s="4">
        <v>60</v>
      </c>
      <c r="H1831" s="5">
        <v>7.4999999999999997E-3</v>
      </c>
    </row>
    <row r="1832" spans="1:8" x14ac:dyDescent="0.35">
      <c r="A1832" s="2" t="s">
        <v>789</v>
      </c>
      <c r="B1832" s="2" t="s">
        <v>447</v>
      </c>
      <c r="C1832" s="2" t="s">
        <v>814</v>
      </c>
      <c r="D1832" s="2" t="s">
        <v>815</v>
      </c>
      <c r="E1832" s="2" t="s">
        <v>260</v>
      </c>
      <c r="F1832" s="3">
        <v>18500</v>
      </c>
      <c r="G1832" s="4">
        <v>60</v>
      </c>
      <c r="H1832" s="5">
        <v>7.4999999999999997E-3</v>
      </c>
    </row>
    <row r="1833" spans="1:8" x14ac:dyDescent="0.35">
      <c r="A1833" s="2" t="s">
        <v>789</v>
      </c>
      <c r="B1833" s="2" t="s">
        <v>447</v>
      </c>
      <c r="C1833" s="2" t="s">
        <v>816</v>
      </c>
      <c r="D1833" s="2" t="s">
        <v>817</v>
      </c>
      <c r="E1833" s="2" t="s">
        <v>285</v>
      </c>
      <c r="F1833" s="3">
        <v>180</v>
      </c>
      <c r="G1833" s="4">
        <v>60</v>
      </c>
      <c r="H1833" s="5">
        <v>0</v>
      </c>
    </row>
    <row r="1834" spans="1:8" x14ac:dyDescent="0.35">
      <c r="A1834" s="2" t="s">
        <v>789</v>
      </c>
      <c r="B1834" s="2" t="s">
        <v>447</v>
      </c>
      <c r="C1834" s="2" t="s">
        <v>818</v>
      </c>
      <c r="D1834" s="2" t="s">
        <v>819</v>
      </c>
      <c r="E1834" s="2" t="s">
        <v>820</v>
      </c>
      <c r="F1834" s="3">
        <v>80</v>
      </c>
      <c r="G1834" s="4">
        <v>60</v>
      </c>
      <c r="H1834" s="5">
        <v>0</v>
      </c>
    </row>
    <row r="1835" spans="1:8" x14ac:dyDescent="0.35">
      <c r="A1835" s="2" t="s">
        <v>789</v>
      </c>
      <c r="B1835" s="2" t="s">
        <v>447</v>
      </c>
      <c r="C1835" s="2" t="s">
        <v>821</v>
      </c>
      <c r="D1835" s="2" t="s">
        <v>822</v>
      </c>
      <c r="E1835" s="2" t="s">
        <v>489</v>
      </c>
      <c r="F1835" s="3">
        <v>1500</v>
      </c>
      <c r="G1835" s="4">
        <v>60</v>
      </c>
      <c r="H1835" s="5">
        <v>7.4999999999999997E-3</v>
      </c>
    </row>
    <row r="1836" spans="1:8" x14ac:dyDescent="0.35">
      <c r="A1836" s="2" t="s">
        <v>789</v>
      </c>
      <c r="B1836" s="2" t="s">
        <v>447</v>
      </c>
      <c r="C1836" s="2" t="s">
        <v>823</v>
      </c>
      <c r="D1836" s="2" t="s">
        <v>824</v>
      </c>
      <c r="E1836" s="2" t="s">
        <v>315</v>
      </c>
      <c r="F1836" s="3">
        <v>60</v>
      </c>
      <c r="G1836" s="4">
        <v>12</v>
      </c>
      <c r="H1836" s="5">
        <v>0</v>
      </c>
    </row>
    <row r="1837" spans="1:8" x14ac:dyDescent="0.35">
      <c r="A1837" s="2" t="s">
        <v>789</v>
      </c>
      <c r="B1837" s="2" t="s">
        <v>447</v>
      </c>
      <c r="C1837" s="2" t="s">
        <v>825</v>
      </c>
      <c r="D1837" s="2" t="s">
        <v>826</v>
      </c>
      <c r="E1837" s="2" t="s">
        <v>303</v>
      </c>
      <c r="F1837" s="3">
        <v>120</v>
      </c>
      <c r="G1837" s="4">
        <v>36</v>
      </c>
      <c r="H1837" s="5">
        <v>0</v>
      </c>
    </row>
    <row r="1838" spans="1:8" x14ac:dyDescent="0.35">
      <c r="A1838" s="2" t="s">
        <v>789</v>
      </c>
      <c r="B1838" s="2" t="s">
        <v>447</v>
      </c>
      <c r="C1838" s="2" t="s">
        <v>827</v>
      </c>
      <c r="D1838" s="2" t="s">
        <v>828</v>
      </c>
      <c r="E1838" s="2" t="s">
        <v>102</v>
      </c>
      <c r="F1838" s="3">
        <v>70</v>
      </c>
      <c r="G1838" s="4">
        <v>1</v>
      </c>
      <c r="H1838" s="5">
        <v>0</v>
      </c>
    </row>
    <row r="1839" spans="1:8" x14ac:dyDescent="0.35">
      <c r="A1839" s="2" t="s">
        <v>789</v>
      </c>
      <c r="B1839" s="2" t="s">
        <v>447</v>
      </c>
      <c r="C1839" s="2" t="s">
        <v>829</v>
      </c>
      <c r="D1839" s="2" t="s">
        <v>632</v>
      </c>
      <c r="E1839" s="2" t="s">
        <v>322</v>
      </c>
      <c r="F1839" s="3">
        <v>32</v>
      </c>
      <c r="G1839" s="4">
        <v>60</v>
      </c>
      <c r="H1839" s="5">
        <v>0</v>
      </c>
    </row>
    <row r="1840" spans="1:8" x14ac:dyDescent="0.35">
      <c r="A1840" s="2" t="s">
        <v>789</v>
      </c>
      <c r="B1840" s="2" t="s">
        <v>447</v>
      </c>
      <c r="C1840" s="2" t="s">
        <v>830</v>
      </c>
      <c r="D1840" s="2" t="s">
        <v>831</v>
      </c>
      <c r="E1840" s="2" t="s">
        <v>443</v>
      </c>
      <c r="F1840" s="3">
        <v>4</v>
      </c>
      <c r="G1840" s="4">
        <v>1</v>
      </c>
      <c r="H1840" s="5">
        <v>0</v>
      </c>
    </row>
    <row r="1841" spans="1:8" x14ac:dyDescent="0.35">
      <c r="A1841" s="2" t="s">
        <v>789</v>
      </c>
      <c r="B1841" s="2" t="s">
        <v>447</v>
      </c>
      <c r="C1841" s="2" t="s">
        <v>832</v>
      </c>
      <c r="D1841" s="2" t="s">
        <v>833</v>
      </c>
      <c r="E1841" s="2" t="s">
        <v>300</v>
      </c>
      <c r="F1841" s="3">
        <v>35</v>
      </c>
      <c r="G1841" s="4">
        <v>12</v>
      </c>
      <c r="H1841" s="5">
        <v>0</v>
      </c>
    </row>
    <row r="1842" spans="1:8" x14ac:dyDescent="0.35">
      <c r="A1842" s="2" t="s">
        <v>789</v>
      </c>
      <c r="B1842" s="2" t="s">
        <v>447</v>
      </c>
      <c r="C1842" s="2" t="s">
        <v>834</v>
      </c>
      <c r="D1842" s="2" t="s">
        <v>835</v>
      </c>
      <c r="E1842" s="2" t="s">
        <v>836</v>
      </c>
      <c r="F1842" s="3">
        <v>65</v>
      </c>
      <c r="G1842" s="4">
        <v>12</v>
      </c>
      <c r="H1842" s="5">
        <v>0</v>
      </c>
    </row>
    <row r="1843" spans="1:8" x14ac:dyDescent="0.35">
      <c r="A1843" s="2" t="s">
        <v>789</v>
      </c>
      <c r="B1843" s="2" t="s">
        <v>447</v>
      </c>
      <c r="C1843" s="2" t="s">
        <v>837</v>
      </c>
      <c r="D1843" s="2" t="s">
        <v>838</v>
      </c>
      <c r="E1843" s="2" t="s">
        <v>452</v>
      </c>
      <c r="F1843" s="3">
        <v>50</v>
      </c>
      <c r="G1843" s="4">
        <v>1</v>
      </c>
      <c r="H1843" s="5">
        <v>0</v>
      </c>
    </row>
    <row r="1844" spans="1:8" x14ac:dyDescent="0.35">
      <c r="A1844" s="2" t="s">
        <v>789</v>
      </c>
      <c r="B1844" s="2" t="s">
        <v>786</v>
      </c>
      <c r="C1844" s="2" t="s">
        <v>790</v>
      </c>
      <c r="D1844" s="2" t="s">
        <v>791</v>
      </c>
      <c r="E1844" s="2" t="s">
        <v>226</v>
      </c>
      <c r="F1844" s="3">
        <v>2400</v>
      </c>
      <c r="G1844" s="4">
        <v>24</v>
      </c>
      <c r="H1844" s="5">
        <v>0</v>
      </c>
    </row>
    <row r="1845" spans="1:8" x14ac:dyDescent="0.35">
      <c r="A1845" s="2" t="s">
        <v>789</v>
      </c>
      <c r="B1845" s="2" t="s">
        <v>786</v>
      </c>
      <c r="C1845" s="2" t="s">
        <v>792</v>
      </c>
      <c r="D1845" s="2" t="s">
        <v>793</v>
      </c>
      <c r="E1845" s="2" t="s">
        <v>35</v>
      </c>
      <c r="F1845" s="3">
        <v>702.53</v>
      </c>
      <c r="G1845" s="4">
        <v>36</v>
      </c>
      <c r="H1845" s="5">
        <v>0</v>
      </c>
    </row>
    <row r="1846" spans="1:8" x14ac:dyDescent="0.35">
      <c r="A1846" s="2" t="s">
        <v>789</v>
      </c>
      <c r="B1846" s="2" t="s">
        <v>786</v>
      </c>
      <c r="C1846" s="2" t="s">
        <v>794</v>
      </c>
      <c r="D1846" s="2" t="s">
        <v>795</v>
      </c>
      <c r="E1846" s="2" t="s">
        <v>46</v>
      </c>
      <c r="F1846" s="3">
        <v>750</v>
      </c>
      <c r="G1846" s="4">
        <v>36</v>
      </c>
      <c r="H1846" s="5">
        <v>0</v>
      </c>
    </row>
    <row r="1847" spans="1:8" x14ac:dyDescent="0.35">
      <c r="A1847" s="2" t="s">
        <v>789</v>
      </c>
      <c r="B1847" s="2" t="s">
        <v>786</v>
      </c>
      <c r="C1847" s="2" t="s">
        <v>737</v>
      </c>
      <c r="D1847" s="2" t="s">
        <v>738</v>
      </c>
      <c r="E1847" s="2" t="s">
        <v>48</v>
      </c>
      <c r="F1847" s="3">
        <v>437.06</v>
      </c>
      <c r="G1847" s="4">
        <v>36</v>
      </c>
      <c r="H1847" s="5">
        <v>0</v>
      </c>
    </row>
    <row r="1848" spans="1:8" x14ac:dyDescent="0.35">
      <c r="A1848" s="2" t="s">
        <v>789</v>
      </c>
      <c r="B1848" s="2" t="s">
        <v>786</v>
      </c>
      <c r="C1848" s="2" t="s">
        <v>796</v>
      </c>
      <c r="D1848" s="2" t="s">
        <v>797</v>
      </c>
      <c r="E1848" s="2" t="s">
        <v>71</v>
      </c>
      <c r="F1848" s="3">
        <v>333.71</v>
      </c>
      <c r="G1848" s="4">
        <v>60</v>
      </c>
      <c r="H1848" s="5">
        <v>0</v>
      </c>
    </row>
    <row r="1849" spans="1:8" x14ac:dyDescent="0.35">
      <c r="A1849" s="2" t="s">
        <v>789</v>
      </c>
      <c r="B1849" s="2" t="s">
        <v>786</v>
      </c>
      <c r="C1849" s="2" t="s">
        <v>798</v>
      </c>
      <c r="D1849" s="2" t="s">
        <v>799</v>
      </c>
      <c r="E1849" s="2" t="s">
        <v>92</v>
      </c>
      <c r="F1849" s="3">
        <v>1940.8</v>
      </c>
      <c r="G1849" s="4">
        <v>24</v>
      </c>
      <c r="H1849" s="5">
        <v>0</v>
      </c>
    </row>
    <row r="1850" spans="1:8" x14ac:dyDescent="0.35">
      <c r="A1850" s="2" t="s">
        <v>789</v>
      </c>
      <c r="B1850" s="2" t="s">
        <v>786</v>
      </c>
      <c r="C1850" s="2" t="s">
        <v>800</v>
      </c>
      <c r="D1850" s="2" t="s">
        <v>801</v>
      </c>
      <c r="E1850" s="2" t="s">
        <v>104</v>
      </c>
      <c r="F1850" s="3">
        <v>34.75</v>
      </c>
      <c r="G1850" s="4">
        <v>36</v>
      </c>
      <c r="H1850" s="5">
        <v>0</v>
      </c>
    </row>
    <row r="1851" spans="1:8" x14ac:dyDescent="0.35">
      <c r="A1851" s="2" t="s">
        <v>789</v>
      </c>
      <c r="B1851" s="2" t="s">
        <v>786</v>
      </c>
      <c r="C1851" s="2" t="s">
        <v>802</v>
      </c>
      <c r="D1851" s="2" t="s">
        <v>803</v>
      </c>
      <c r="E1851" s="2" t="s">
        <v>147</v>
      </c>
      <c r="F1851" s="3">
        <v>2510</v>
      </c>
      <c r="G1851" s="4">
        <v>24</v>
      </c>
      <c r="H1851" s="5">
        <v>0</v>
      </c>
    </row>
    <row r="1852" spans="1:8" x14ac:dyDescent="0.35">
      <c r="A1852" s="2" t="s">
        <v>789</v>
      </c>
      <c r="B1852" s="2" t="s">
        <v>786</v>
      </c>
      <c r="C1852" s="2" t="s">
        <v>804</v>
      </c>
      <c r="D1852" s="2" t="s">
        <v>805</v>
      </c>
      <c r="E1852" s="2" t="s">
        <v>180</v>
      </c>
      <c r="F1852" s="3">
        <v>328.45</v>
      </c>
      <c r="G1852" s="4">
        <v>36</v>
      </c>
      <c r="H1852" s="5">
        <v>0</v>
      </c>
    </row>
    <row r="1853" spans="1:8" x14ac:dyDescent="0.35">
      <c r="A1853" s="2" t="s">
        <v>789</v>
      </c>
      <c r="B1853" s="2" t="s">
        <v>786</v>
      </c>
      <c r="C1853" s="2" t="s">
        <v>806</v>
      </c>
      <c r="D1853" s="2" t="s">
        <v>807</v>
      </c>
      <c r="E1853" s="2" t="s">
        <v>115</v>
      </c>
      <c r="F1853" s="3">
        <v>88.86</v>
      </c>
      <c r="G1853" s="4">
        <v>36</v>
      </c>
      <c r="H1853" s="5">
        <v>0</v>
      </c>
    </row>
    <row r="1854" spans="1:8" x14ac:dyDescent="0.35">
      <c r="A1854" s="2" t="s">
        <v>789</v>
      </c>
      <c r="B1854" s="2" t="s">
        <v>786</v>
      </c>
      <c r="C1854" s="2" t="s">
        <v>808</v>
      </c>
      <c r="D1854" s="2" t="s">
        <v>809</v>
      </c>
      <c r="E1854" s="2" t="s">
        <v>204</v>
      </c>
      <c r="F1854" s="3">
        <v>142.13999999999999</v>
      </c>
      <c r="G1854" s="4">
        <v>36</v>
      </c>
      <c r="H1854" s="5">
        <v>0</v>
      </c>
    </row>
    <row r="1855" spans="1:8" x14ac:dyDescent="0.35">
      <c r="A1855" s="2" t="s">
        <v>789</v>
      </c>
      <c r="B1855" s="2" t="s">
        <v>786</v>
      </c>
      <c r="C1855" s="2" t="s">
        <v>810</v>
      </c>
      <c r="D1855" s="2" t="s">
        <v>811</v>
      </c>
      <c r="E1855" s="2" t="s">
        <v>248</v>
      </c>
      <c r="F1855" s="3">
        <v>485.19</v>
      </c>
      <c r="G1855" s="4">
        <v>36</v>
      </c>
      <c r="H1855" s="5">
        <v>0</v>
      </c>
    </row>
    <row r="1856" spans="1:8" x14ac:dyDescent="0.35">
      <c r="A1856" s="2" t="s">
        <v>789</v>
      </c>
      <c r="B1856" s="2" t="s">
        <v>786</v>
      </c>
      <c r="C1856" s="2" t="s">
        <v>812</v>
      </c>
      <c r="D1856" s="2" t="s">
        <v>813</v>
      </c>
      <c r="E1856" s="2" t="s">
        <v>260</v>
      </c>
      <c r="F1856" s="3">
        <v>16000</v>
      </c>
      <c r="G1856" s="4">
        <v>24</v>
      </c>
      <c r="H1856" s="5">
        <v>0</v>
      </c>
    </row>
    <row r="1857" spans="1:8" x14ac:dyDescent="0.35">
      <c r="A1857" s="2" t="s">
        <v>789</v>
      </c>
      <c r="B1857" s="2" t="s">
        <v>786</v>
      </c>
      <c r="C1857" s="2" t="s">
        <v>814</v>
      </c>
      <c r="D1857" s="2" t="s">
        <v>815</v>
      </c>
      <c r="E1857" s="2" t="s">
        <v>260</v>
      </c>
      <c r="F1857" s="3">
        <v>21000</v>
      </c>
      <c r="G1857" s="4">
        <v>24</v>
      </c>
      <c r="H1857" s="5">
        <v>0</v>
      </c>
    </row>
    <row r="1858" spans="1:8" x14ac:dyDescent="0.35">
      <c r="A1858" s="2" t="s">
        <v>789</v>
      </c>
      <c r="B1858" s="2" t="s">
        <v>786</v>
      </c>
      <c r="C1858" s="2" t="s">
        <v>816</v>
      </c>
      <c r="D1858" s="2" t="s">
        <v>817</v>
      </c>
      <c r="E1858" s="2" t="s">
        <v>285</v>
      </c>
      <c r="F1858" s="3">
        <v>250.5</v>
      </c>
      <c r="G1858" s="4">
        <v>36</v>
      </c>
      <c r="H1858" s="5">
        <v>0</v>
      </c>
    </row>
    <row r="1859" spans="1:8" x14ac:dyDescent="0.35">
      <c r="A1859" s="2" t="s">
        <v>789</v>
      </c>
      <c r="B1859" s="2" t="s">
        <v>786</v>
      </c>
      <c r="C1859" s="2" t="s">
        <v>818</v>
      </c>
      <c r="D1859" s="2" t="s">
        <v>819</v>
      </c>
      <c r="E1859" s="2" t="s">
        <v>820</v>
      </c>
      <c r="F1859" s="3">
        <v>100</v>
      </c>
      <c r="G1859" s="4">
        <v>60</v>
      </c>
      <c r="H1859" s="5">
        <v>0</v>
      </c>
    </row>
    <row r="1860" spans="1:8" x14ac:dyDescent="0.35">
      <c r="A1860" s="2" t="s">
        <v>789</v>
      </c>
      <c r="B1860" s="2" t="s">
        <v>786</v>
      </c>
      <c r="C1860" s="2" t="s">
        <v>821</v>
      </c>
      <c r="D1860" s="2" t="s">
        <v>822</v>
      </c>
      <c r="E1860" s="2" t="s">
        <v>489</v>
      </c>
      <c r="F1860" s="3">
        <v>4500</v>
      </c>
      <c r="G1860" s="4">
        <v>48</v>
      </c>
      <c r="H1860" s="5">
        <v>0</v>
      </c>
    </row>
    <row r="1861" spans="1:8" x14ac:dyDescent="0.35">
      <c r="A1861" s="2" t="s">
        <v>789</v>
      </c>
      <c r="B1861" s="2" t="s">
        <v>786</v>
      </c>
      <c r="C1861" s="2" t="s">
        <v>823</v>
      </c>
      <c r="D1861" s="2" t="s">
        <v>824</v>
      </c>
      <c r="E1861" s="2" t="s">
        <v>315</v>
      </c>
      <c r="F1861" s="3">
        <v>45</v>
      </c>
      <c r="G1861" s="4">
        <v>60</v>
      </c>
      <c r="H1861" s="5">
        <v>0</v>
      </c>
    </row>
    <row r="1862" spans="1:8" x14ac:dyDescent="0.35">
      <c r="A1862" s="2" t="s">
        <v>789</v>
      </c>
      <c r="B1862" s="2" t="s">
        <v>786</v>
      </c>
      <c r="C1862" s="2" t="s">
        <v>825</v>
      </c>
      <c r="D1862" s="2" t="s">
        <v>826</v>
      </c>
      <c r="E1862" s="2" t="s">
        <v>303</v>
      </c>
      <c r="F1862" s="3">
        <v>74</v>
      </c>
      <c r="G1862" s="4">
        <v>60</v>
      </c>
      <c r="H1862" s="5">
        <v>0</v>
      </c>
    </row>
    <row r="1863" spans="1:8" x14ac:dyDescent="0.35">
      <c r="A1863" s="2" t="s">
        <v>789</v>
      </c>
      <c r="B1863" s="2" t="s">
        <v>786</v>
      </c>
      <c r="C1863" s="2" t="s">
        <v>827</v>
      </c>
      <c r="D1863" s="2" t="s">
        <v>828</v>
      </c>
      <c r="E1863" s="2" t="s">
        <v>102</v>
      </c>
      <c r="F1863" s="3">
        <v>66</v>
      </c>
      <c r="G1863" s="4">
        <v>12</v>
      </c>
      <c r="H1863" s="5">
        <v>0</v>
      </c>
    </row>
    <row r="1864" spans="1:8" x14ac:dyDescent="0.35">
      <c r="A1864" s="2" t="s">
        <v>789</v>
      </c>
      <c r="B1864" s="2" t="s">
        <v>786</v>
      </c>
      <c r="C1864" s="2" t="s">
        <v>829</v>
      </c>
      <c r="D1864" s="2" t="s">
        <v>632</v>
      </c>
      <c r="E1864" s="2" t="s">
        <v>322</v>
      </c>
      <c r="F1864" s="3">
        <v>52.32</v>
      </c>
      <c r="G1864" s="4">
        <v>12</v>
      </c>
      <c r="H1864" s="5">
        <v>0</v>
      </c>
    </row>
    <row r="1865" spans="1:8" x14ac:dyDescent="0.35">
      <c r="A1865" s="2" t="s">
        <v>789</v>
      </c>
      <c r="B1865" s="2" t="s">
        <v>786</v>
      </c>
      <c r="C1865" s="2" t="s">
        <v>830</v>
      </c>
      <c r="D1865" s="2" t="s">
        <v>831</v>
      </c>
      <c r="E1865" s="2" t="s">
        <v>443</v>
      </c>
      <c r="F1865" s="3">
        <v>158.34</v>
      </c>
      <c r="G1865" s="4">
        <v>12</v>
      </c>
      <c r="H1865" s="5">
        <v>0</v>
      </c>
    </row>
    <row r="1866" spans="1:8" x14ac:dyDescent="0.35">
      <c r="A1866" s="2" t="s">
        <v>789</v>
      </c>
      <c r="B1866" s="2" t="s">
        <v>786</v>
      </c>
      <c r="C1866" s="2" t="s">
        <v>832</v>
      </c>
      <c r="D1866" s="2" t="s">
        <v>833</v>
      </c>
      <c r="E1866" s="2" t="s">
        <v>300</v>
      </c>
      <c r="F1866" s="3">
        <v>23.52</v>
      </c>
      <c r="G1866" s="4">
        <v>60</v>
      </c>
      <c r="H1866" s="5">
        <v>0</v>
      </c>
    </row>
    <row r="1867" spans="1:8" x14ac:dyDescent="0.35">
      <c r="A1867" s="2" t="s">
        <v>789</v>
      </c>
      <c r="B1867" s="2" t="s">
        <v>786</v>
      </c>
      <c r="C1867" s="2" t="s">
        <v>834</v>
      </c>
      <c r="D1867" s="2" t="s">
        <v>835</v>
      </c>
      <c r="E1867" s="2" t="s">
        <v>836</v>
      </c>
      <c r="F1867" s="3">
        <v>40</v>
      </c>
      <c r="G1867" s="4">
        <v>60</v>
      </c>
      <c r="H1867" s="5">
        <v>0</v>
      </c>
    </row>
    <row r="1868" spans="1:8" x14ac:dyDescent="0.35">
      <c r="A1868" s="2" t="s">
        <v>789</v>
      </c>
      <c r="B1868" s="2" t="s">
        <v>786</v>
      </c>
      <c r="C1868" s="2" t="s">
        <v>837</v>
      </c>
      <c r="D1868" s="2" t="s">
        <v>838</v>
      </c>
      <c r="E1868" s="2" t="s">
        <v>452</v>
      </c>
      <c r="F1868" s="3">
        <v>95</v>
      </c>
      <c r="G1868" s="4">
        <v>24</v>
      </c>
      <c r="H1868" s="5">
        <v>0</v>
      </c>
    </row>
    <row r="1869" spans="1:8" x14ac:dyDescent="0.35">
      <c r="A1869" s="2" t="s">
        <v>789</v>
      </c>
      <c r="B1869" s="2" t="s">
        <v>509</v>
      </c>
      <c r="C1869" s="2" t="s">
        <v>790</v>
      </c>
      <c r="D1869" s="2" t="s">
        <v>791</v>
      </c>
      <c r="E1869" s="2" t="s">
        <v>226</v>
      </c>
      <c r="F1869" s="3">
        <v>2100</v>
      </c>
      <c r="G1869" s="4">
        <v>60</v>
      </c>
      <c r="H1869" s="5">
        <v>0.75</v>
      </c>
    </row>
    <row r="1870" spans="1:8" x14ac:dyDescent="0.35">
      <c r="A1870" s="2" t="s">
        <v>789</v>
      </c>
      <c r="B1870" s="2" t="s">
        <v>509</v>
      </c>
      <c r="C1870" s="2" t="s">
        <v>792</v>
      </c>
      <c r="D1870" s="2" t="s">
        <v>793</v>
      </c>
      <c r="E1870" s="2" t="s">
        <v>35</v>
      </c>
      <c r="F1870" s="3">
        <v>536</v>
      </c>
      <c r="G1870" s="4">
        <v>60</v>
      </c>
      <c r="H1870" s="5">
        <v>0</v>
      </c>
    </row>
    <row r="1871" spans="1:8" x14ac:dyDescent="0.35">
      <c r="A1871" s="2" t="s">
        <v>789</v>
      </c>
      <c r="B1871" s="2" t="s">
        <v>509</v>
      </c>
      <c r="C1871" s="2" t="s">
        <v>794</v>
      </c>
      <c r="D1871" s="2" t="s">
        <v>795</v>
      </c>
      <c r="E1871" s="2" t="s">
        <v>46</v>
      </c>
      <c r="F1871" s="3">
        <v>376</v>
      </c>
      <c r="G1871" s="4">
        <v>60</v>
      </c>
      <c r="H1871" s="5">
        <v>0.75</v>
      </c>
    </row>
    <row r="1872" spans="1:8" x14ac:dyDescent="0.35">
      <c r="A1872" s="2" t="s">
        <v>789</v>
      </c>
      <c r="B1872" s="2" t="s">
        <v>509</v>
      </c>
      <c r="C1872" s="2" t="s">
        <v>737</v>
      </c>
      <c r="D1872" s="2" t="s">
        <v>738</v>
      </c>
      <c r="E1872" s="2" t="s">
        <v>48</v>
      </c>
      <c r="F1872" s="3">
        <v>310</v>
      </c>
      <c r="G1872" s="4">
        <v>48</v>
      </c>
      <c r="H1872" s="5">
        <v>0</v>
      </c>
    </row>
    <row r="1873" spans="1:8" x14ac:dyDescent="0.35">
      <c r="A1873" s="2" t="s">
        <v>789</v>
      </c>
      <c r="B1873" s="2" t="s">
        <v>509</v>
      </c>
      <c r="C1873" s="2" t="s">
        <v>796</v>
      </c>
      <c r="D1873" s="2" t="s">
        <v>797</v>
      </c>
      <c r="E1873" s="2" t="s">
        <v>71</v>
      </c>
      <c r="F1873" s="3">
        <v>260</v>
      </c>
      <c r="G1873" s="4">
        <v>48</v>
      </c>
      <c r="H1873" s="5">
        <v>0</v>
      </c>
    </row>
    <row r="1874" spans="1:8" x14ac:dyDescent="0.35">
      <c r="A1874" s="2" t="s">
        <v>789</v>
      </c>
      <c r="B1874" s="2" t="s">
        <v>509</v>
      </c>
      <c r="C1874" s="2" t="s">
        <v>798</v>
      </c>
      <c r="D1874" s="2" t="s">
        <v>799</v>
      </c>
      <c r="E1874" s="2" t="s">
        <v>92</v>
      </c>
      <c r="F1874" s="3">
        <v>1285</v>
      </c>
      <c r="G1874" s="4">
        <v>60</v>
      </c>
      <c r="H1874" s="5">
        <v>0</v>
      </c>
    </row>
    <row r="1875" spans="1:8" x14ac:dyDescent="0.35">
      <c r="A1875" s="2" t="s">
        <v>789</v>
      </c>
      <c r="B1875" s="2" t="s">
        <v>509</v>
      </c>
      <c r="C1875" s="2" t="s">
        <v>800</v>
      </c>
      <c r="D1875" s="2" t="s">
        <v>801</v>
      </c>
      <c r="E1875" s="2" t="s">
        <v>104</v>
      </c>
      <c r="F1875" s="3">
        <v>32.42</v>
      </c>
      <c r="G1875" s="4">
        <v>12</v>
      </c>
      <c r="H1875" s="5">
        <v>0</v>
      </c>
    </row>
    <row r="1876" spans="1:8" x14ac:dyDescent="0.35">
      <c r="A1876" s="2" t="s">
        <v>789</v>
      </c>
      <c r="B1876" s="2" t="s">
        <v>509</v>
      </c>
      <c r="C1876" s="2" t="s">
        <v>802</v>
      </c>
      <c r="D1876" s="2" t="s">
        <v>803</v>
      </c>
      <c r="E1876" s="2" t="s">
        <v>147</v>
      </c>
      <c r="F1876" s="3">
        <v>1420</v>
      </c>
      <c r="G1876" s="4">
        <v>60</v>
      </c>
      <c r="H1876" s="5">
        <v>0.75</v>
      </c>
    </row>
    <row r="1877" spans="1:8" x14ac:dyDescent="0.35">
      <c r="A1877" s="2" t="s">
        <v>789</v>
      </c>
      <c r="B1877" s="2" t="s">
        <v>509</v>
      </c>
      <c r="C1877" s="2" t="s">
        <v>804</v>
      </c>
      <c r="D1877" s="2" t="s">
        <v>805</v>
      </c>
      <c r="E1877" s="2" t="s">
        <v>180</v>
      </c>
      <c r="F1877" s="3">
        <v>180</v>
      </c>
      <c r="G1877" s="4">
        <v>60</v>
      </c>
      <c r="H1877" s="5">
        <v>0</v>
      </c>
    </row>
    <row r="1878" spans="1:8" x14ac:dyDescent="0.35">
      <c r="A1878" s="2" t="s">
        <v>789</v>
      </c>
      <c r="B1878" s="2" t="s">
        <v>509</v>
      </c>
      <c r="C1878" s="2" t="s">
        <v>806</v>
      </c>
      <c r="D1878" s="2" t="s">
        <v>807</v>
      </c>
      <c r="E1878" s="2" t="s">
        <v>115</v>
      </c>
      <c r="F1878" s="3">
        <v>50</v>
      </c>
      <c r="G1878" s="4">
        <v>36</v>
      </c>
      <c r="H1878" s="5">
        <v>0</v>
      </c>
    </row>
    <row r="1879" spans="1:8" x14ac:dyDescent="0.35">
      <c r="A1879" s="2" t="s">
        <v>789</v>
      </c>
      <c r="B1879" s="2" t="s">
        <v>509</v>
      </c>
      <c r="C1879" s="2" t="s">
        <v>808</v>
      </c>
      <c r="D1879" s="2" t="s">
        <v>809</v>
      </c>
      <c r="E1879" s="2" t="s">
        <v>204</v>
      </c>
      <c r="F1879" s="3">
        <v>105</v>
      </c>
      <c r="G1879" s="4">
        <v>24</v>
      </c>
      <c r="H1879" s="5">
        <v>0</v>
      </c>
    </row>
    <row r="1880" spans="1:8" x14ac:dyDescent="0.35">
      <c r="A1880" s="2" t="s">
        <v>789</v>
      </c>
      <c r="B1880" s="2" t="s">
        <v>509</v>
      </c>
      <c r="C1880" s="2" t="s">
        <v>810</v>
      </c>
      <c r="D1880" s="2" t="s">
        <v>811</v>
      </c>
      <c r="E1880" s="2" t="s">
        <v>248</v>
      </c>
      <c r="F1880" s="3">
        <v>356</v>
      </c>
      <c r="G1880" s="4">
        <v>36</v>
      </c>
      <c r="H1880" s="5">
        <v>0</v>
      </c>
    </row>
    <row r="1881" spans="1:8" x14ac:dyDescent="0.35">
      <c r="A1881" s="2" t="s">
        <v>789</v>
      </c>
      <c r="B1881" s="2" t="s">
        <v>509</v>
      </c>
      <c r="C1881" s="2" t="s">
        <v>812</v>
      </c>
      <c r="D1881" s="2" t="s">
        <v>813</v>
      </c>
      <c r="E1881" s="2" t="s">
        <v>260</v>
      </c>
      <c r="F1881" s="3">
        <v>9700</v>
      </c>
      <c r="G1881" s="4">
        <v>60</v>
      </c>
      <c r="H1881" s="5">
        <v>0.75</v>
      </c>
    </row>
    <row r="1882" spans="1:8" x14ac:dyDescent="0.35">
      <c r="A1882" s="2" t="s">
        <v>789</v>
      </c>
      <c r="B1882" s="2" t="s">
        <v>509</v>
      </c>
      <c r="C1882" s="2" t="s">
        <v>814</v>
      </c>
      <c r="D1882" s="2" t="s">
        <v>815</v>
      </c>
      <c r="E1882" s="2" t="s">
        <v>260</v>
      </c>
      <c r="F1882" s="3">
        <v>18500</v>
      </c>
      <c r="G1882" s="4">
        <v>60</v>
      </c>
      <c r="H1882" s="5">
        <v>0.75</v>
      </c>
    </row>
    <row r="1883" spans="1:8" x14ac:dyDescent="0.35">
      <c r="A1883" s="2" t="s">
        <v>789</v>
      </c>
      <c r="B1883" s="2" t="s">
        <v>509</v>
      </c>
      <c r="C1883" s="2" t="s">
        <v>816</v>
      </c>
      <c r="D1883" s="2" t="s">
        <v>817</v>
      </c>
      <c r="E1883" s="2" t="s">
        <v>285</v>
      </c>
      <c r="F1883" s="3">
        <v>180</v>
      </c>
      <c r="G1883" s="4">
        <v>60</v>
      </c>
      <c r="H1883" s="5">
        <v>0</v>
      </c>
    </row>
    <row r="1884" spans="1:8" x14ac:dyDescent="0.35">
      <c r="A1884" s="2" t="s">
        <v>789</v>
      </c>
      <c r="B1884" s="2" t="s">
        <v>509</v>
      </c>
      <c r="C1884" s="2" t="s">
        <v>818</v>
      </c>
      <c r="D1884" s="2" t="s">
        <v>819</v>
      </c>
      <c r="E1884" s="2" t="s">
        <v>820</v>
      </c>
      <c r="F1884" s="3">
        <v>80</v>
      </c>
      <c r="G1884" s="4">
        <v>60</v>
      </c>
      <c r="H1884" s="5">
        <v>0</v>
      </c>
    </row>
    <row r="1885" spans="1:8" x14ac:dyDescent="0.35">
      <c r="A1885" s="2" t="s">
        <v>789</v>
      </c>
      <c r="B1885" s="2" t="s">
        <v>509</v>
      </c>
      <c r="C1885" s="2" t="s">
        <v>821</v>
      </c>
      <c r="D1885" s="2" t="s">
        <v>822</v>
      </c>
      <c r="E1885" s="2" t="s">
        <v>489</v>
      </c>
      <c r="F1885" s="3">
        <v>1500</v>
      </c>
      <c r="G1885" s="4">
        <v>60</v>
      </c>
      <c r="H1885" s="5">
        <v>0.75</v>
      </c>
    </row>
    <row r="1886" spans="1:8" x14ac:dyDescent="0.35">
      <c r="A1886" s="2" t="s">
        <v>789</v>
      </c>
      <c r="B1886" s="2" t="s">
        <v>509</v>
      </c>
      <c r="C1886" s="2" t="s">
        <v>823</v>
      </c>
      <c r="D1886" s="2" t="s">
        <v>824</v>
      </c>
      <c r="E1886" s="2" t="s">
        <v>315</v>
      </c>
      <c r="F1886" s="3">
        <v>60</v>
      </c>
      <c r="G1886" s="4">
        <v>12</v>
      </c>
      <c r="H1886" s="5">
        <v>0</v>
      </c>
    </row>
    <row r="1887" spans="1:8" x14ac:dyDescent="0.35">
      <c r="A1887" s="2" t="s">
        <v>789</v>
      </c>
      <c r="B1887" s="2" t="s">
        <v>509</v>
      </c>
      <c r="C1887" s="2" t="s">
        <v>825</v>
      </c>
      <c r="D1887" s="2" t="s">
        <v>826</v>
      </c>
      <c r="E1887" s="2" t="s">
        <v>303</v>
      </c>
      <c r="F1887" s="3">
        <v>120</v>
      </c>
      <c r="G1887" s="4">
        <v>36</v>
      </c>
      <c r="H1887" s="5">
        <v>0</v>
      </c>
    </row>
    <row r="1888" spans="1:8" x14ac:dyDescent="0.35">
      <c r="A1888" s="2" t="s">
        <v>789</v>
      </c>
      <c r="B1888" s="2" t="s">
        <v>509</v>
      </c>
      <c r="C1888" s="2" t="s">
        <v>827</v>
      </c>
      <c r="D1888" s="2" t="s">
        <v>828</v>
      </c>
      <c r="E1888" s="2" t="s">
        <v>102</v>
      </c>
      <c r="F1888" s="3">
        <v>70</v>
      </c>
      <c r="G1888" s="4">
        <v>1</v>
      </c>
      <c r="H1888" s="5">
        <v>0</v>
      </c>
    </row>
    <row r="1889" spans="1:8" x14ac:dyDescent="0.35">
      <c r="A1889" s="2" t="s">
        <v>789</v>
      </c>
      <c r="B1889" s="2" t="s">
        <v>509</v>
      </c>
      <c r="C1889" s="2" t="s">
        <v>829</v>
      </c>
      <c r="D1889" s="2" t="s">
        <v>632</v>
      </c>
      <c r="E1889" s="2" t="s">
        <v>322</v>
      </c>
      <c r="F1889" s="3">
        <v>32</v>
      </c>
      <c r="G1889" s="4">
        <v>60</v>
      </c>
      <c r="H1889" s="5">
        <v>0</v>
      </c>
    </row>
    <row r="1890" spans="1:8" x14ac:dyDescent="0.35">
      <c r="A1890" s="2" t="s">
        <v>789</v>
      </c>
      <c r="B1890" s="2" t="s">
        <v>509</v>
      </c>
      <c r="C1890" s="2" t="s">
        <v>830</v>
      </c>
      <c r="D1890" s="2" t="s">
        <v>831</v>
      </c>
      <c r="E1890" s="2" t="s">
        <v>443</v>
      </c>
      <c r="F1890" s="3">
        <v>7</v>
      </c>
      <c r="G1890" s="4">
        <v>1</v>
      </c>
      <c r="H1890" s="5">
        <v>0</v>
      </c>
    </row>
    <row r="1891" spans="1:8" x14ac:dyDescent="0.35">
      <c r="A1891" s="2" t="s">
        <v>789</v>
      </c>
      <c r="B1891" s="2" t="s">
        <v>509</v>
      </c>
      <c r="C1891" s="2" t="s">
        <v>832</v>
      </c>
      <c r="D1891" s="2" t="s">
        <v>833</v>
      </c>
      <c r="E1891" s="2" t="s">
        <v>300</v>
      </c>
      <c r="F1891" s="3">
        <v>54</v>
      </c>
      <c r="G1891" s="4">
        <v>12</v>
      </c>
      <c r="H1891" s="5">
        <v>0</v>
      </c>
    </row>
    <row r="1892" spans="1:8" x14ac:dyDescent="0.35">
      <c r="A1892" s="2" t="s">
        <v>789</v>
      </c>
      <c r="B1892" s="2" t="s">
        <v>509</v>
      </c>
      <c r="C1892" s="2" t="s">
        <v>834</v>
      </c>
      <c r="D1892" s="2" t="s">
        <v>835</v>
      </c>
      <c r="E1892" s="2" t="s">
        <v>836</v>
      </c>
      <c r="F1892" s="3">
        <v>65</v>
      </c>
      <c r="G1892" s="4">
        <v>12</v>
      </c>
      <c r="H1892" s="5">
        <v>0</v>
      </c>
    </row>
    <row r="1893" spans="1:8" x14ac:dyDescent="0.35">
      <c r="A1893" s="2" t="s">
        <v>789</v>
      </c>
      <c r="B1893" s="2" t="s">
        <v>509</v>
      </c>
      <c r="C1893" s="2" t="s">
        <v>837</v>
      </c>
      <c r="D1893" s="2" t="s">
        <v>838</v>
      </c>
      <c r="E1893" s="2" t="s">
        <v>452</v>
      </c>
      <c r="F1893" s="3">
        <v>50</v>
      </c>
      <c r="G1893" s="4">
        <v>1</v>
      </c>
      <c r="H1893" s="5">
        <v>0</v>
      </c>
    </row>
    <row r="1894" spans="1:8" x14ac:dyDescent="0.35">
      <c r="A1894" s="2" t="s">
        <v>839</v>
      </c>
      <c r="B1894" s="2" t="s">
        <v>510</v>
      </c>
      <c r="C1894" s="2" t="s">
        <v>840</v>
      </c>
      <c r="D1894" s="2" t="s">
        <v>841</v>
      </c>
      <c r="E1894" s="2" t="s">
        <v>46</v>
      </c>
      <c r="F1894" s="3">
        <v>4480</v>
      </c>
      <c r="G1894" s="4">
        <v>24</v>
      </c>
      <c r="H1894" s="5">
        <v>0</v>
      </c>
    </row>
    <row r="1895" spans="1:8" x14ac:dyDescent="0.35">
      <c r="A1895" s="2" t="s">
        <v>839</v>
      </c>
      <c r="B1895" s="2" t="s">
        <v>510</v>
      </c>
      <c r="C1895" s="2" t="s">
        <v>842</v>
      </c>
      <c r="D1895" s="2" t="s">
        <v>843</v>
      </c>
      <c r="E1895" s="2" t="s">
        <v>48</v>
      </c>
      <c r="F1895" s="3">
        <v>448</v>
      </c>
      <c r="G1895" s="4">
        <v>12</v>
      </c>
      <c r="H1895" s="5">
        <v>0</v>
      </c>
    </row>
    <row r="1896" spans="1:8" x14ac:dyDescent="0.35">
      <c r="A1896" s="2" t="s">
        <v>839</v>
      </c>
      <c r="B1896" s="2" t="s">
        <v>510</v>
      </c>
      <c r="C1896" s="2" t="s">
        <v>742</v>
      </c>
      <c r="D1896" s="2" t="s">
        <v>743</v>
      </c>
      <c r="E1896" s="2" t="s">
        <v>92</v>
      </c>
      <c r="F1896" s="3">
        <v>960</v>
      </c>
      <c r="G1896" s="4">
        <v>24</v>
      </c>
      <c r="H1896" s="5">
        <v>0</v>
      </c>
    </row>
    <row r="1897" spans="1:8" x14ac:dyDescent="0.35">
      <c r="A1897" s="2" t="s">
        <v>839</v>
      </c>
      <c r="B1897" s="2" t="s">
        <v>510</v>
      </c>
      <c r="C1897" s="2" t="s">
        <v>844</v>
      </c>
      <c r="D1897" s="2" t="s">
        <v>845</v>
      </c>
      <c r="E1897" s="2" t="s">
        <v>260</v>
      </c>
      <c r="F1897" s="3">
        <v>44800</v>
      </c>
      <c r="G1897" s="4">
        <v>36</v>
      </c>
      <c r="H1897" s="5">
        <v>0</v>
      </c>
    </row>
    <row r="1898" spans="1:8" x14ac:dyDescent="0.35">
      <c r="A1898" s="2" t="s">
        <v>839</v>
      </c>
      <c r="B1898" s="2" t="s">
        <v>510</v>
      </c>
      <c r="C1898" s="2" t="s">
        <v>846</v>
      </c>
      <c r="D1898" s="2" t="s">
        <v>847</v>
      </c>
      <c r="E1898" s="2" t="s">
        <v>322</v>
      </c>
      <c r="F1898" s="3">
        <v>64</v>
      </c>
      <c r="G1898" s="4">
        <v>12</v>
      </c>
      <c r="H1898" s="5">
        <v>0</v>
      </c>
    </row>
    <row r="1899" spans="1:8" x14ac:dyDescent="0.35">
      <c r="A1899" s="2" t="s">
        <v>839</v>
      </c>
      <c r="B1899" s="2" t="s">
        <v>510</v>
      </c>
      <c r="C1899" s="2" t="s">
        <v>848</v>
      </c>
      <c r="D1899" s="2" t="s">
        <v>849</v>
      </c>
      <c r="E1899" s="2" t="s">
        <v>850</v>
      </c>
      <c r="F1899" s="3">
        <v>640</v>
      </c>
      <c r="G1899" s="4">
        <v>12</v>
      </c>
      <c r="H1899" s="5">
        <v>0</v>
      </c>
    </row>
    <row r="1900" spans="1:8" x14ac:dyDescent="0.35">
      <c r="A1900" s="2" t="s">
        <v>839</v>
      </c>
      <c r="B1900" s="2" t="s">
        <v>510</v>
      </c>
      <c r="C1900" s="2" t="s">
        <v>851</v>
      </c>
      <c r="D1900" s="2" t="s">
        <v>852</v>
      </c>
      <c r="E1900" s="2" t="s">
        <v>248</v>
      </c>
      <c r="F1900" s="3">
        <v>1139.2</v>
      </c>
      <c r="G1900" s="4">
        <v>12</v>
      </c>
      <c r="H1900" s="5">
        <v>0</v>
      </c>
    </row>
    <row r="1901" spans="1:8" x14ac:dyDescent="0.35">
      <c r="A1901" s="2" t="s">
        <v>839</v>
      </c>
      <c r="B1901" s="2" t="s">
        <v>510</v>
      </c>
      <c r="C1901" s="2" t="s">
        <v>853</v>
      </c>
      <c r="D1901" s="2" t="s">
        <v>854</v>
      </c>
      <c r="E1901" s="2" t="s">
        <v>378</v>
      </c>
      <c r="F1901" s="3">
        <v>640</v>
      </c>
      <c r="G1901" s="4">
        <v>24</v>
      </c>
      <c r="H1901" s="5">
        <v>0</v>
      </c>
    </row>
    <row r="1902" spans="1:8" x14ac:dyDescent="0.35">
      <c r="A1902" s="2" t="s">
        <v>839</v>
      </c>
      <c r="B1902" s="2" t="s">
        <v>510</v>
      </c>
      <c r="C1902" s="2" t="s">
        <v>855</v>
      </c>
      <c r="D1902" s="2" t="s">
        <v>856</v>
      </c>
      <c r="E1902" s="2" t="s">
        <v>204</v>
      </c>
      <c r="F1902" s="3">
        <v>320</v>
      </c>
      <c r="G1902" s="4">
        <v>12</v>
      </c>
      <c r="H1902" s="5">
        <v>0</v>
      </c>
    </row>
    <row r="1903" spans="1:8" x14ac:dyDescent="0.35">
      <c r="A1903" s="2" t="s">
        <v>839</v>
      </c>
      <c r="B1903" s="2" t="s">
        <v>510</v>
      </c>
      <c r="C1903" s="2" t="s">
        <v>857</v>
      </c>
      <c r="D1903" s="2" t="s">
        <v>858</v>
      </c>
      <c r="E1903" s="2" t="s">
        <v>486</v>
      </c>
      <c r="F1903" s="3">
        <v>576</v>
      </c>
      <c r="G1903" s="4">
        <v>24</v>
      </c>
      <c r="H1903" s="5">
        <v>0</v>
      </c>
    </row>
    <row r="1904" spans="1:8" x14ac:dyDescent="0.35">
      <c r="A1904" s="2" t="s">
        <v>839</v>
      </c>
      <c r="B1904" s="2" t="s">
        <v>510</v>
      </c>
      <c r="C1904" s="2" t="s">
        <v>859</v>
      </c>
      <c r="D1904" s="2" t="s">
        <v>860</v>
      </c>
      <c r="E1904" s="2" t="s">
        <v>861</v>
      </c>
      <c r="F1904" s="3">
        <v>192</v>
      </c>
      <c r="G1904" s="4">
        <v>12</v>
      </c>
      <c r="H1904" s="5">
        <v>0</v>
      </c>
    </row>
    <row r="1905" spans="1:8" x14ac:dyDescent="0.35">
      <c r="A1905" s="2" t="s">
        <v>839</v>
      </c>
      <c r="B1905" s="2" t="s">
        <v>510</v>
      </c>
      <c r="C1905" s="2" t="s">
        <v>862</v>
      </c>
      <c r="D1905" s="2" t="s">
        <v>863</v>
      </c>
      <c r="E1905" s="2" t="s">
        <v>864</v>
      </c>
      <c r="F1905" s="3">
        <v>192</v>
      </c>
      <c r="G1905" s="4">
        <v>12</v>
      </c>
      <c r="H1905" s="5">
        <v>0</v>
      </c>
    </row>
    <row r="1906" spans="1:8" x14ac:dyDescent="0.35">
      <c r="A1906" s="2" t="s">
        <v>839</v>
      </c>
      <c r="B1906" s="2" t="s">
        <v>510</v>
      </c>
      <c r="C1906" s="2" t="s">
        <v>865</v>
      </c>
      <c r="D1906" s="2" t="s">
        <v>866</v>
      </c>
      <c r="E1906" s="2" t="s">
        <v>867</v>
      </c>
      <c r="F1906" s="3">
        <v>192</v>
      </c>
      <c r="G1906" s="4">
        <v>12</v>
      </c>
      <c r="H1906" s="5">
        <v>0</v>
      </c>
    </row>
    <row r="1907" spans="1:8" x14ac:dyDescent="0.35">
      <c r="A1907" s="2" t="s">
        <v>839</v>
      </c>
      <c r="B1907" s="2" t="s">
        <v>510</v>
      </c>
      <c r="C1907" s="2" t="s">
        <v>868</v>
      </c>
      <c r="D1907" s="2" t="s">
        <v>869</v>
      </c>
      <c r="E1907" s="2" t="s">
        <v>104</v>
      </c>
      <c r="F1907" s="3">
        <v>64</v>
      </c>
      <c r="G1907" s="4">
        <v>12</v>
      </c>
      <c r="H1907" s="5">
        <v>0</v>
      </c>
    </row>
    <row r="1908" spans="1:8" x14ac:dyDescent="0.35">
      <c r="A1908" s="2" t="s">
        <v>839</v>
      </c>
      <c r="B1908" s="2" t="s">
        <v>510</v>
      </c>
      <c r="C1908" s="2" t="s">
        <v>870</v>
      </c>
      <c r="D1908" s="2" t="s">
        <v>871</v>
      </c>
      <c r="E1908" s="2" t="s">
        <v>872</v>
      </c>
      <c r="F1908" s="3">
        <v>102.4</v>
      </c>
      <c r="G1908" s="4">
        <v>6</v>
      </c>
      <c r="H1908" s="5">
        <v>0</v>
      </c>
    </row>
    <row r="1909" spans="1:8" x14ac:dyDescent="0.35">
      <c r="A1909" s="2" t="s">
        <v>839</v>
      </c>
      <c r="B1909" s="2" t="s">
        <v>510</v>
      </c>
      <c r="C1909" s="2" t="s">
        <v>873</v>
      </c>
      <c r="D1909" s="2" t="s">
        <v>874</v>
      </c>
      <c r="E1909" s="2" t="s">
        <v>875</v>
      </c>
      <c r="F1909" s="3">
        <v>115.2</v>
      </c>
      <c r="G1909" s="4">
        <v>12</v>
      </c>
      <c r="H1909" s="5">
        <v>0</v>
      </c>
    </row>
    <row r="1910" spans="1:8" x14ac:dyDescent="0.35">
      <c r="A1910" s="2" t="s">
        <v>839</v>
      </c>
      <c r="B1910" s="2" t="s">
        <v>510</v>
      </c>
      <c r="C1910" s="2" t="s">
        <v>876</v>
      </c>
      <c r="D1910" s="2" t="s">
        <v>877</v>
      </c>
      <c r="E1910" s="2" t="s">
        <v>878</v>
      </c>
      <c r="F1910" s="3">
        <v>115.2</v>
      </c>
      <c r="G1910" s="4">
        <v>12</v>
      </c>
      <c r="H1910" s="5">
        <v>0</v>
      </c>
    </row>
    <row r="1911" spans="1:8" x14ac:dyDescent="0.35">
      <c r="A1911" s="2" t="s">
        <v>839</v>
      </c>
      <c r="B1911" s="2" t="s">
        <v>510</v>
      </c>
      <c r="C1911" s="2" t="s">
        <v>879</v>
      </c>
      <c r="D1911" s="2" t="s">
        <v>880</v>
      </c>
      <c r="E1911" s="2" t="s">
        <v>881</v>
      </c>
      <c r="F1911" s="3">
        <v>64</v>
      </c>
      <c r="G1911" s="4">
        <v>3</v>
      </c>
      <c r="H1911" s="5">
        <v>0</v>
      </c>
    </row>
    <row r="1912" spans="1:8" x14ac:dyDescent="0.35">
      <c r="A1912" s="2" t="s">
        <v>839</v>
      </c>
      <c r="B1912" s="2" t="s">
        <v>510</v>
      </c>
      <c r="C1912" s="2" t="s">
        <v>882</v>
      </c>
      <c r="D1912" s="2" t="s">
        <v>883</v>
      </c>
      <c r="E1912" s="2" t="s">
        <v>136</v>
      </c>
      <c r="F1912" s="3">
        <v>38.4</v>
      </c>
      <c r="G1912" s="4">
        <v>1</v>
      </c>
      <c r="H1912" s="5">
        <v>0</v>
      </c>
    </row>
    <row r="1913" spans="1:8" x14ac:dyDescent="0.35">
      <c r="A1913" s="2" t="s">
        <v>839</v>
      </c>
      <c r="B1913" s="2" t="s">
        <v>510</v>
      </c>
      <c r="C1913" s="2" t="s">
        <v>884</v>
      </c>
      <c r="D1913" s="2" t="s">
        <v>885</v>
      </c>
      <c r="E1913" s="6" t="s">
        <v>147</v>
      </c>
      <c r="F1913" s="3">
        <v>3392</v>
      </c>
      <c r="G1913" s="4">
        <v>36</v>
      </c>
      <c r="H1913" s="5">
        <v>0</v>
      </c>
    </row>
    <row r="1914" spans="1:8" x14ac:dyDescent="0.35">
      <c r="A1914" s="2" t="s">
        <v>839</v>
      </c>
      <c r="B1914" s="2" t="s">
        <v>510</v>
      </c>
      <c r="C1914" s="2" t="s">
        <v>886</v>
      </c>
      <c r="D1914" s="2" t="s">
        <v>887</v>
      </c>
      <c r="E1914" s="2" t="s">
        <v>125</v>
      </c>
      <c r="F1914" s="3">
        <v>38.4</v>
      </c>
      <c r="G1914" s="4">
        <v>1</v>
      </c>
      <c r="H1914" s="5">
        <v>0</v>
      </c>
    </row>
    <row r="1915" spans="1:8" x14ac:dyDescent="0.35">
      <c r="A1915" s="2" t="s">
        <v>839</v>
      </c>
      <c r="B1915" s="2" t="s">
        <v>749</v>
      </c>
      <c r="C1915" s="2" t="s">
        <v>840</v>
      </c>
      <c r="D1915" s="2" t="s">
        <v>841</v>
      </c>
      <c r="E1915" s="2" t="s">
        <v>46</v>
      </c>
      <c r="F1915" s="3">
        <v>2392.5</v>
      </c>
      <c r="G1915" s="4">
        <v>12</v>
      </c>
      <c r="H1915" s="5">
        <v>2.5000000000000001E-2</v>
      </c>
    </row>
    <row r="1916" spans="1:8" x14ac:dyDescent="0.35">
      <c r="A1916" s="2" t="s">
        <v>839</v>
      </c>
      <c r="B1916" s="2" t="s">
        <v>749</v>
      </c>
      <c r="C1916" s="2" t="s">
        <v>842</v>
      </c>
      <c r="D1916" s="2" t="s">
        <v>843</v>
      </c>
      <c r="E1916" s="2" t="s">
        <v>48</v>
      </c>
      <c r="F1916" s="3">
        <v>412.5</v>
      </c>
      <c r="G1916" s="4">
        <v>12</v>
      </c>
      <c r="H1916" s="5">
        <v>0</v>
      </c>
    </row>
    <row r="1917" spans="1:8" x14ac:dyDescent="0.35">
      <c r="A1917" s="2" t="s">
        <v>839</v>
      </c>
      <c r="B1917" s="2" t="s">
        <v>749</v>
      </c>
      <c r="C1917" s="2" t="s">
        <v>742</v>
      </c>
      <c r="D1917" s="2" t="s">
        <v>743</v>
      </c>
      <c r="E1917" s="2" t="s">
        <v>92</v>
      </c>
      <c r="F1917" s="3">
        <v>2310</v>
      </c>
      <c r="G1917" s="4">
        <v>12</v>
      </c>
      <c r="H1917" s="5">
        <v>0</v>
      </c>
    </row>
    <row r="1918" spans="1:8" x14ac:dyDescent="0.35">
      <c r="A1918" s="2" t="s">
        <v>839</v>
      </c>
      <c r="B1918" s="2" t="s">
        <v>749</v>
      </c>
      <c r="C1918" s="2" t="s">
        <v>844</v>
      </c>
      <c r="D1918" s="2" t="s">
        <v>845</v>
      </c>
      <c r="E1918" s="2" t="s">
        <v>260</v>
      </c>
      <c r="F1918" s="3">
        <v>32835</v>
      </c>
      <c r="G1918" s="4">
        <v>12</v>
      </c>
      <c r="H1918" s="5">
        <v>2.5000000000000001E-2</v>
      </c>
    </row>
    <row r="1919" spans="1:8" x14ac:dyDescent="0.35">
      <c r="A1919" s="2" t="s">
        <v>839</v>
      </c>
      <c r="B1919" s="2" t="s">
        <v>749</v>
      </c>
      <c r="C1919" s="2" t="s">
        <v>846</v>
      </c>
      <c r="D1919" s="2" t="s">
        <v>847</v>
      </c>
      <c r="E1919" s="2" t="s">
        <v>322</v>
      </c>
      <c r="F1919" s="3">
        <v>52.8</v>
      </c>
      <c r="G1919" s="4">
        <v>12</v>
      </c>
      <c r="H1919" s="5">
        <v>0</v>
      </c>
    </row>
    <row r="1920" spans="1:8" x14ac:dyDescent="0.35">
      <c r="A1920" s="2" t="s">
        <v>839</v>
      </c>
      <c r="B1920" s="2" t="s">
        <v>749</v>
      </c>
      <c r="C1920" s="2" t="s">
        <v>848</v>
      </c>
      <c r="D1920" s="2" t="s">
        <v>849</v>
      </c>
      <c r="E1920" s="2" t="s">
        <v>850</v>
      </c>
      <c r="F1920" s="3">
        <v>97.35</v>
      </c>
      <c r="G1920" s="4">
        <v>12</v>
      </c>
      <c r="H1920" s="5">
        <v>0</v>
      </c>
    </row>
    <row r="1921" spans="1:8" x14ac:dyDescent="0.35">
      <c r="A1921" s="2" t="s">
        <v>839</v>
      </c>
      <c r="B1921" s="2" t="s">
        <v>749</v>
      </c>
      <c r="C1921" s="2" t="s">
        <v>851</v>
      </c>
      <c r="D1921" s="2" t="s">
        <v>852</v>
      </c>
      <c r="E1921" s="2" t="s">
        <v>248</v>
      </c>
      <c r="F1921" s="3">
        <v>528</v>
      </c>
      <c r="G1921" s="4">
        <v>12</v>
      </c>
      <c r="H1921" s="5">
        <v>0</v>
      </c>
    </row>
    <row r="1922" spans="1:8" x14ac:dyDescent="0.35">
      <c r="A1922" s="2" t="s">
        <v>839</v>
      </c>
      <c r="B1922" s="2" t="s">
        <v>749</v>
      </c>
      <c r="C1922" s="2" t="s">
        <v>853</v>
      </c>
      <c r="D1922" s="2" t="s">
        <v>854</v>
      </c>
      <c r="E1922" s="2" t="s">
        <v>378</v>
      </c>
      <c r="F1922" s="3">
        <v>247.5</v>
      </c>
      <c r="G1922" s="4">
        <v>12</v>
      </c>
      <c r="H1922" s="5">
        <v>0</v>
      </c>
    </row>
    <row r="1923" spans="1:8" x14ac:dyDescent="0.35">
      <c r="A1923" s="2" t="s">
        <v>839</v>
      </c>
      <c r="B1923" s="2" t="s">
        <v>749</v>
      </c>
      <c r="C1923" s="2" t="s">
        <v>855</v>
      </c>
      <c r="D1923" s="2" t="s">
        <v>856</v>
      </c>
      <c r="E1923" s="2" t="s">
        <v>204</v>
      </c>
      <c r="F1923" s="3">
        <v>198</v>
      </c>
      <c r="G1923" s="4">
        <v>12</v>
      </c>
      <c r="H1923" s="5">
        <v>0</v>
      </c>
    </row>
    <row r="1924" spans="1:8" x14ac:dyDescent="0.35">
      <c r="A1924" s="2" t="s">
        <v>839</v>
      </c>
      <c r="B1924" s="2" t="s">
        <v>749</v>
      </c>
      <c r="C1924" s="2" t="s">
        <v>857</v>
      </c>
      <c r="D1924" s="2" t="s">
        <v>858</v>
      </c>
      <c r="E1924" s="2" t="s">
        <v>486</v>
      </c>
      <c r="F1924" s="3">
        <v>750</v>
      </c>
      <c r="G1924" s="4">
        <v>12</v>
      </c>
      <c r="H1924" s="5">
        <v>0</v>
      </c>
    </row>
    <row r="1925" spans="1:8" x14ac:dyDescent="0.35">
      <c r="A1925" s="2" t="s">
        <v>839</v>
      </c>
      <c r="B1925" s="2" t="s">
        <v>749</v>
      </c>
      <c r="C1925" s="2" t="s">
        <v>859</v>
      </c>
      <c r="D1925" s="2" t="s">
        <v>860</v>
      </c>
      <c r="E1925" s="2" t="s">
        <v>861</v>
      </c>
      <c r="F1925" s="3">
        <v>67.5</v>
      </c>
      <c r="G1925" s="4">
        <v>12</v>
      </c>
      <c r="H1925" s="5">
        <v>0</v>
      </c>
    </row>
    <row r="1926" spans="1:8" x14ac:dyDescent="0.35">
      <c r="A1926" s="2" t="s">
        <v>839</v>
      </c>
      <c r="B1926" s="2" t="s">
        <v>749</v>
      </c>
      <c r="C1926" s="2" t="s">
        <v>862</v>
      </c>
      <c r="D1926" s="2" t="s">
        <v>863</v>
      </c>
      <c r="E1926" s="2" t="s">
        <v>864</v>
      </c>
      <c r="F1926" s="3">
        <v>90</v>
      </c>
      <c r="G1926" s="4">
        <v>12</v>
      </c>
      <c r="H1926" s="5">
        <v>0</v>
      </c>
    </row>
    <row r="1927" spans="1:8" x14ac:dyDescent="0.35">
      <c r="A1927" s="2" t="s">
        <v>839</v>
      </c>
      <c r="B1927" s="2" t="s">
        <v>749</v>
      </c>
      <c r="C1927" s="2" t="s">
        <v>865</v>
      </c>
      <c r="D1927" s="2" t="s">
        <v>866</v>
      </c>
      <c r="E1927" s="2" t="s">
        <v>867</v>
      </c>
      <c r="F1927" s="3">
        <v>105</v>
      </c>
      <c r="G1927" s="4">
        <v>12</v>
      </c>
      <c r="H1927" s="5">
        <v>0</v>
      </c>
    </row>
    <row r="1928" spans="1:8" x14ac:dyDescent="0.35">
      <c r="A1928" s="2" t="s">
        <v>839</v>
      </c>
      <c r="B1928" s="2" t="s">
        <v>749</v>
      </c>
      <c r="C1928" s="2" t="s">
        <v>868</v>
      </c>
      <c r="D1928" s="2" t="s">
        <v>869</v>
      </c>
      <c r="E1928" s="2" t="s">
        <v>104</v>
      </c>
      <c r="F1928" s="3">
        <v>63</v>
      </c>
      <c r="G1928" s="4">
        <v>12</v>
      </c>
      <c r="H1928" s="5">
        <v>0</v>
      </c>
    </row>
    <row r="1929" spans="1:8" x14ac:dyDescent="0.35">
      <c r="A1929" s="2" t="s">
        <v>839</v>
      </c>
      <c r="B1929" s="2" t="s">
        <v>749</v>
      </c>
      <c r="C1929" s="2" t="s">
        <v>870</v>
      </c>
      <c r="D1929" s="2" t="s">
        <v>871</v>
      </c>
      <c r="E1929" s="2" t="s">
        <v>872</v>
      </c>
      <c r="F1929" s="3">
        <v>195</v>
      </c>
      <c r="G1929" s="4">
        <v>12</v>
      </c>
      <c r="H1929" s="5">
        <v>0</v>
      </c>
    </row>
    <row r="1930" spans="1:8" x14ac:dyDescent="0.35">
      <c r="A1930" s="2" t="s">
        <v>839</v>
      </c>
      <c r="B1930" s="2" t="s">
        <v>749</v>
      </c>
      <c r="C1930" s="2" t="s">
        <v>873</v>
      </c>
      <c r="D1930" s="2" t="s">
        <v>874</v>
      </c>
      <c r="E1930" s="2" t="s">
        <v>875</v>
      </c>
      <c r="F1930" s="3">
        <v>11.5</v>
      </c>
      <c r="G1930" s="4">
        <v>12</v>
      </c>
      <c r="H1930" s="5">
        <v>0</v>
      </c>
    </row>
    <row r="1931" spans="1:8" x14ac:dyDescent="0.35">
      <c r="A1931" s="2" t="s">
        <v>839</v>
      </c>
      <c r="B1931" s="2" t="s">
        <v>749</v>
      </c>
      <c r="C1931" s="2" t="s">
        <v>876</v>
      </c>
      <c r="D1931" s="2" t="s">
        <v>877</v>
      </c>
      <c r="E1931" s="2" t="s">
        <v>878</v>
      </c>
      <c r="F1931" s="3">
        <v>20.7</v>
      </c>
      <c r="G1931" s="4">
        <v>12</v>
      </c>
      <c r="H1931" s="5">
        <v>0</v>
      </c>
    </row>
    <row r="1932" spans="1:8" x14ac:dyDescent="0.35">
      <c r="A1932" s="2" t="s">
        <v>839</v>
      </c>
      <c r="B1932" s="2" t="s">
        <v>749</v>
      </c>
      <c r="C1932" s="2" t="s">
        <v>879</v>
      </c>
      <c r="D1932" s="2" t="s">
        <v>880</v>
      </c>
      <c r="E1932" s="2" t="s">
        <v>881</v>
      </c>
      <c r="F1932" s="3">
        <v>56.35</v>
      </c>
      <c r="G1932" s="4">
        <v>12</v>
      </c>
      <c r="H1932" s="5">
        <v>0</v>
      </c>
    </row>
    <row r="1933" spans="1:8" x14ac:dyDescent="0.35">
      <c r="A1933" s="2" t="s">
        <v>839</v>
      </c>
      <c r="B1933" s="2" t="s">
        <v>749</v>
      </c>
      <c r="C1933" s="2" t="s">
        <v>882</v>
      </c>
      <c r="D1933" s="2" t="s">
        <v>883</v>
      </c>
      <c r="E1933" s="2" t="s">
        <v>136</v>
      </c>
      <c r="F1933" s="3">
        <v>29.67</v>
      </c>
      <c r="G1933" s="4">
        <v>12</v>
      </c>
      <c r="H1933" s="5">
        <v>0</v>
      </c>
    </row>
    <row r="1934" spans="1:8" x14ac:dyDescent="0.35">
      <c r="A1934" s="2" t="s">
        <v>839</v>
      </c>
      <c r="B1934" s="2" t="s">
        <v>749</v>
      </c>
      <c r="C1934" s="2" t="s">
        <v>884</v>
      </c>
      <c r="D1934" s="2" t="s">
        <v>885</v>
      </c>
      <c r="E1934" s="6" t="s">
        <v>147</v>
      </c>
      <c r="F1934" s="3">
        <v>2300</v>
      </c>
      <c r="G1934" s="4">
        <v>12</v>
      </c>
      <c r="H1934" s="5">
        <v>2.5000000000000001E-2</v>
      </c>
    </row>
    <row r="1935" spans="1:8" x14ac:dyDescent="0.35">
      <c r="A1935" s="2" t="s">
        <v>839</v>
      </c>
      <c r="B1935" s="2" t="s">
        <v>749</v>
      </c>
      <c r="C1935" s="2" t="s">
        <v>886</v>
      </c>
      <c r="D1935" s="2" t="s">
        <v>887</v>
      </c>
      <c r="E1935" s="2" t="s">
        <v>125</v>
      </c>
      <c r="F1935" s="3">
        <v>29.67</v>
      </c>
      <c r="G1935" s="4">
        <v>12</v>
      </c>
      <c r="H1935" s="5">
        <v>0</v>
      </c>
    </row>
    <row r="1936" spans="1:8" x14ac:dyDescent="0.35">
      <c r="A1936" s="2" t="s">
        <v>839</v>
      </c>
      <c r="B1936" s="2" t="s">
        <v>788</v>
      </c>
      <c r="C1936" s="2" t="s">
        <v>840</v>
      </c>
      <c r="D1936" s="2" t="s">
        <v>841</v>
      </c>
      <c r="E1936" s="2" t="s">
        <v>46</v>
      </c>
      <c r="F1936" s="3">
        <v>6000</v>
      </c>
      <c r="G1936" s="4">
        <v>60</v>
      </c>
      <c r="H1936" s="5">
        <v>1.2999999999999999E-2</v>
      </c>
    </row>
    <row r="1937" spans="1:8" x14ac:dyDescent="0.35">
      <c r="A1937" s="2" t="s">
        <v>839</v>
      </c>
      <c r="B1937" s="2" t="s">
        <v>788</v>
      </c>
      <c r="C1937" s="2" t="s">
        <v>842</v>
      </c>
      <c r="D1937" s="2" t="s">
        <v>843</v>
      </c>
      <c r="E1937" s="2" t="s">
        <v>48</v>
      </c>
      <c r="F1937" s="3">
        <v>500</v>
      </c>
      <c r="G1937" s="4">
        <v>60</v>
      </c>
      <c r="H1937" s="5">
        <v>0</v>
      </c>
    </row>
    <row r="1938" spans="1:8" x14ac:dyDescent="0.35">
      <c r="A1938" s="2" t="s">
        <v>839</v>
      </c>
      <c r="B1938" s="2" t="s">
        <v>788</v>
      </c>
      <c r="C1938" s="2" t="s">
        <v>742</v>
      </c>
      <c r="D1938" s="2" t="s">
        <v>743</v>
      </c>
      <c r="E1938" s="2" t="s">
        <v>92</v>
      </c>
      <c r="F1938" s="3">
        <v>3300</v>
      </c>
      <c r="G1938" s="4">
        <v>60</v>
      </c>
      <c r="H1938" s="5">
        <v>0</v>
      </c>
    </row>
    <row r="1939" spans="1:8" x14ac:dyDescent="0.35">
      <c r="A1939" s="2" t="s">
        <v>839</v>
      </c>
      <c r="B1939" s="2" t="s">
        <v>788</v>
      </c>
      <c r="C1939" s="2" t="s">
        <v>844</v>
      </c>
      <c r="D1939" s="2" t="s">
        <v>845</v>
      </c>
      <c r="E1939" s="2" t="s">
        <v>260</v>
      </c>
      <c r="F1939" s="3">
        <v>19940</v>
      </c>
      <c r="G1939" s="4">
        <v>60</v>
      </c>
      <c r="H1939" s="5">
        <v>1.2E-2</v>
      </c>
    </row>
    <row r="1940" spans="1:8" x14ac:dyDescent="0.35">
      <c r="A1940" s="2" t="s">
        <v>839</v>
      </c>
      <c r="B1940" s="2" t="s">
        <v>788</v>
      </c>
      <c r="C1940" s="2" t="s">
        <v>846</v>
      </c>
      <c r="D1940" s="2" t="s">
        <v>847</v>
      </c>
      <c r="E1940" s="2" t="s">
        <v>322</v>
      </c>
      <c r="F1940" s="3">
        <v>32</v>
      </c>
      <c r="G1940" s="4">
        <v>60</v>
      </c>
      <c r="H1940" s="5">
        <v>0</v>
      </c>
    </row>
    <row r="1941" spans="1:8" x14ac:dyDescent="0.35">
      <c r="A1941" s="2" t="s">
        <v>839</v>
      </c>
      <c r="B1941" s="2" t="s">
        <v>788</v>
      </c>
      <c r="C1941" s="2" t="s">
        <v>848</v>
      </c>
      <c r="D1941" s="2" t="s">
        <v>849</v>
      </c>
      <c r="E1941" s="2" t="s">
        <v>850</v>
      </c>
      <c r="F1941" s="3">
        <v>59</v>
      </c>
      <c r="G1941" s="4">
        <v>60</v>
      </c>
      <c r="H1941" s="5">
        <v>0</v>
      </c>
    </row>
    <row r="1942" spans="1:8" x14ac:dyDescent="0.35">
      <c r="A1942" s="2" t="s">
        <v>839</v>
      </c>
      <c r="B1942" s="2" t="s">
        <v>788</v>
      </c>
      <c r="C1942" s="2" t="s">
        <v>851</v>
      </c>
      <c r="D1942" s="2" t="s">
        <v>852</v>
      </c>
      <c r="E1942" s="2" t="s">
        <v>248</v>
      </c>
      <c r="F1942" s="3">
        <v>1800</v>
      </c>
      <c r="G1942" s="4">
        <v>60</v>
      </c>
      <c r="H1942" s="5">
        <v>0</v>
      </c>
    </row>
    <row r="1943" spans="1:8" x14ac:dyDescent="0.35">
      <c r="A1943" s="2" t="s">
        <v>839</v>
      </c>
      <c r="B1943" s="2" t="s">
        <v>788</v>
      </c>
      <c r="C1943" s="2" t="s">
        <v>853</v>
      </c>
      <c r="D1943" s="2" t="s">
        <v>854</v>
      </c>
      <c r="E1943" s="2" t="s">
        <v>378</v>
      </c>
      <c r="F1943" s="3">
        <v>150</v>
      </c>
      <c r="G1943" s="4">
        <v>60</v>
      </c>
      <c r="H1943" s="5">
        <v>0</v>
      </c>
    </row>
    <row r="1944" spans="1:8" x14ac:dyDescent="0.35">
      <c r="A1944" s="2" t="s">
        <v>839</v>
      </c>
      <c r="B1944" s="2" t="s">
        <v>788</v>
      </c>
      <c r="C1944" s="2" t="s">
        <v>855</v>
      </c>
      <c r="D1944" s="2" t="s">
        <v>856</v>
      </c>
      <c r="E1944" s="2" t="s">
        <v>204</v>
      </c>
      <c r="F1944" s="3">
        <v>120</v>
      </c>
      <c r="G1944" s="4">
        <v>60</v>
      </c>
      <c r="H1944" s="5">
        <v>0</v>
      </c>
    </row>
    <row r="1945" spans="1:8" x14ac:dyDescent="0.35">
      <c r="A1945" s="2" t="s">
        <v>839</v>
      </c>
      <c r="B1945" s="2" t="s">
        <v>788</v>
      </c>
      <c r="C1945" s="2" t="s">
        <v>857</v>
      </c>
      <c r="D1945" s="2" t="s">
        <v>858</v>
      </c>
      <c r="E1945" s="2" t="s">
        <v>486</v>
      </c>
      <c r="F1945" s="3">
        <v>500</v>
      </c>
      <c r="G1945" s="4">
        <v>60</v>
      </c>
      <c r="H1945" s="5">
        <v>0</v>
      </c>
    </row>
    <row r="1946" spans="1:8" x14ac:dyDescent="0.35">
      <c r="A1946" s="2" t="s">
        <v>839</v>
      </c>
      <c r="B1946" s="2" t="s">
        <v>788</v>
      </c>
      <c r="C1946" s="2" t="s">
        <v>859</v>
      </c>
      <c r="D1946" s="2" t="s">
        <v>860</v>
      </c>
      <c r="E1946" s="2" t="s">
        <v>861</v>
      </c>
      <c r="F1946" s="3">
        <v>500</v>
      </c>
      <c r="G1946" s="4">
        <v>36</v>
      </c>
      <c r="H1946" s="5">
        <v>0</v>
      </c>
    </row>
    <row r="1947" spans="1:8" x14ac:dyDescent="0.35">
      <c r="A1947" s="2" t="s">
        <v>839</v>
      </c>
      <c r="B1947" s="2" t="s">
        <v>788</v>
      </c>
      <c r="C1947" s="2" t="s">
        <v>862</v>
      </c>
      <c r="D1947" s="2" t="s">
        <v>863</v>
      </c>
      <c r="E1947" s="2" t="s">
        <v>864</v>
      </c>
      <c r="F1947" s="3">
        <v>60</v>
      </c>
      <c r="G1947" s="4">
        <v>36</v>
      </c>
      <c r="H1947" s="5">
        <v>0</v>
      </c>
    </row>
    <row r="1948" spans="1:8" x14ac:dyDescent="0.35">
      <c r="A1948" s="2" t="s">
        <v>839</v>
      </c>
      <c r="B1948" s="2" t="s">
        <v>788</v>
      </c>
      <c r="C1948" s="2" t="s">
        <v>865</v>
      </c>
      <c r="D1948" s="2" t="s">
        <v>866</v>
      </c>
      <c r="E1948" s="2" t="s">
        <v>867</v>
      </c>
      <c r="F1948" s="3">
        <v>70</v>
      </c>
      <c r="G1948" s="4">
        <v>36</v>
      </c>
      <c r="H1948" s="5">
        <v>0</v>
      </c>
    </row>
    <row r="1949" spans="1:8" x14ac:dyDescent="0.35">
      <c r="A1949" s="2" t="s">
        <v>839</v>
      </c>
      <c r="B1949" s="2" t="s">
        <v>788</v>
      </c>
      <c r="C1949" s="2" t="s">
        <v>868</v>
      </c>
      <c r="D1949" s="2" t="s">
        <v>869</v>
      </c>
      <c r="E1949" s="2" t="s">
        <v>104</v>
      </c>
      <c r="F1949" s="3">
        <v>42</v>
      </c>
      <c r="G1949" s="4">
        <v>48</v>
      </c>
      <c r="H1949" s="5">
        <v>0</v>
      </c>
    </row>
    <row r="1950" spans="1:8" x14ac:dyDescent="0.35">
      <c r="A1950" s="2" t="s">
        <v>839</v>
      </c>
      <c r="B1950" s="2" t="s">
        <v>788</v>
      </c>
      <c r="C1950" s="2" t="s">
        <v>870</v>
      </c>
      <c r="D1950" s="2" t="s">
        <v>871</v>
      </c>
      <c r="E1950" s="2" t="s">
        <v>872</v>
      </c>
      <c r="F1950" s="3">
        <v>500</v>
      </c>
      <c r="G1950" s="4">
        <v>60</v>
      </c>
      <c r="H1950" s="5">
        <v>0</v>
      </c>
    </row>
    <row r="1951" spans="1:8" x14ac:dyDescent="0.35">
      <c r="A1951" s="2" t="s">
        <v>839</v>
      </c>
      <c r="B1951" s="2" t="s">
        <v>788</v>
      </c>
      <c r="C1951" s="2" t="s">
        <v>873</v>
      </c>
      <c r="D1951" s="2" t="s">
        <v>874</v>
      </c>
      <c r="E1951" s="2" t="s">
        <v>875</v>
      </c>
      <c r="F1951" s="3">
        <v>10</v>
      </c>
      <c r="G1951" s="4">
        <v>36</v>
      </c>
      <c r="H1951" s="5">
        <v>0</v>
      </c>
    </row>
    <row r="1952" spans="1:8" x14ac:dyDescent="0.35">
      <c r="A1952" s="2" t="s">
        <v>839</v>
      </c>
      <c r="B1952" s="2" t="s">
        <v>788</v>
      </c>
      <c r="C1952" s="2" t="s">
        <v>876</v>
      </c>
      <c r="D1952" s="2" t="s">
        <v>877</v>
      </c>
      <c r="E1952" s="2" t="s">
        <v>878</v>
      </c>
      <c r="F1952" s="3">
        <v>18</v>
      </c>
      <c r="G1952" s="4">
        <v>36</v>
      </c>
      <c r="H1952" s="5">
        <v>0</v>
      </c>
    </row>
    <row r="1953" spans="1:8" x14ac:dyDescent="0.35">
      <c r="A1953" s="2" t="s">
        <v>839</v>
      </c>
      <c r="B1953" s="2" t="s">
        <v>788</v>
      </c>
      <c r="C1953" s="2" t="s">
        <v>879</v>
      </c>
      <c r="D1953" s="2" t="s">
        <v>880</v>
      </c>
      <c r="E1953" s="2" t="s">
        <v>881</v>
      </c>
      <c r="F1953" s="3">
        <v>49</v>
      </c>
      <c r="G1953" s="4">
        <v>36</v>
      </c>
      <c r="H1953" s="5">
        <v>0</v>
      </c>
    </row>
    <row r="1954" spans="1:8" x14ac:dyDescent="0.35">
      <c r="A1954" s="2" t="s">
        <v>839</v>
      </c>
      <c r="B1954" s="2" t="s">
        <v>788</v>
      </c>
      <c r="C1954" s="2" t="s">
        <v>882</v>
      </c>
      <c r="D1954" s="2" t="s">
        <v>883</v>
      </c>
      <c r="E1954" s="2" t="s">
        <v>136</v>
      </c>
      <c r="F1954" s="3">
        <v>25.8</v>
      </c>
      <c r="G1954" s="4">
        <v>12</v>
      </c>
      <c r="H1954" s="5">
        <v>0</v>
      </c>
    </row>
    <row r="1955" spans="1:8" x14ac:dyDescent="0.35">
      <c r="A1955" s="2" t="s">
        <v>839</v>
      </c>
      <c r="B1955" s="2" t="s">
        <v>788</v>
      </c>
      <c r="C1955" s="2" t="s">
        <v>884</v>
      </c>
      <c r="D1955" s="2" t="s">
        <v>885</v>
      </c>
      <c r="E1955" s="6" t="s">
        <v>147</v>
      </c>
      <c r="F1955" s="3">
        <v>4000</v>
      </c>
      <c r="G1955" s="4">
        <v>60</v>
      </c>
      <c r="H1955" s="5">
        <v>1.2999999999999999E-2</v>
      </c>
    </row>
    <row r="1956" spans="1:8" x14ac:dyDescent="0.35">
      <c r="A1956" s="2" t="s">
        <v>839</v>
      </c>
      <c r="B1956" s="2" t="s">
        <v>788</v>
      </c>
      <c r="C1956" s="2" t="s">
        <v>886</v>
      </c>
      <c r="D1956" s="2" t="s">
        <v>887</v>
      </c>
      <c r="E1956" s="2" t="s">
        <v>125</v>
      </c>
      <c r="F1956" s="3">
        <v>25.8</v>
      </c>
      <c r="G1956" s="4">
        <v>12</v>
      </c>
      <c r="H1956" s="5">
        <v>0</v>
      </c>
    </row>
    <row r="1957" spans="1:8" x14ac:dyDescent="0.35">
      <c r="A1957" s="2" t="s">
        <v>839</v>
      </c>
      <c r="B1957" s="2" t="s">
        <v>291</v>
      </c>
      <c r="C1957" s="2" t="s">
        <v>840</v>
      </c>
      <c r="D1957" s="2" t="s">
        <v>841</v>
      </c>
      <c r="E1957" s="2" t="s">
        <v>46</v>
      </c>
      <c r="F1957" s="3">
        <v>1450</v>
      </c>
      <c r="G1957" s="4">
        <v>60</v>
      </c>
      <c r="H1957" s="5">
        <v>7.4999999999999997E-3</v>
      </c>
    </row>
    <row r="1958" spans="1:8" x14ac:dyDescent="0.35">
      <c r="A1958" s="2" t="s">
        <v>839</v>
      </c>
      <c r="B1958" s="2" t="s">
        <v>291</v>
      </c>
      <c r="C1958" s="2" t="s">
        <v>842</v>
      </c>
      <c r="D1958" s="2" t="s">
        <v>843</v>
      </c>
      <c r="E1958" s="2" t="s">
        <v>48</v>
      </c>
      <c r="F1958" s="3">
        <v>250</v>
      </c>
      <c r="G1958" s="4">
        <v>60</v>
      </c>
      <c r="H1958" s="5">
        <v>0</v>
      </c>
    </row>
    <row r="1959" spans="1:8" x14ac:dyDescent="0.35">
      <c r="A1959" s="2" t="s">
        <v>839</v>
      </c>
      <c r="B1959" s="2" t="s">
        <v>291</v>
      </c>
      <c r="C1959" s="2" t="s">
        <v>742</v>
      </c>
      <c r="D1959" s="2" t="s">
        <v>743</v>
      </c>
      <c r="E1959" s="2" t="s">
        <v>92</v>
      </c>
      <c r="F1959" s="3">
        <v>1100</v>
      </c>
      <c r="G1959" s="4">
        <v>60</v>
      </c>
      <c r="H1959" s="5">
        <v>0</v>
      </c>
    </row>
    <row r="1960" spans="1:8" x14ac:dyDescent="0.35">
      <c r="A1960" s="2" t="s">
        <v>839</v>
      </c>
      <c r="B1960" s="2" t="s">
        <v>291</v>
      </c>
      <c r="C1960" s="2" t="s">
        <v>844</v>
      </c>
      <c r="D1960" s="2" t="s">
        <v>845</v>
      </c>
      <c r="E1960" s="2" t="s">
        <v>260</v>
      </c>
      <c r="F1960" s="3">
        <v>19940</v>
      </c>
      <c r="G1960" s="4">
        <v>60</v>
      </c>
      <c r="H1960" s="5">
        <v>7.4999999999999997E-3</v>
      </c>
    </row>
    <row r="1961" spans="1:8" x14ac:dyDescent="0.35">
      <c r="A1961" s="2" t="s">
        <v>839</v>
      </c>
      <c r="B1961" s="2" t="s">
        <v>291</v>
      </c>
      <c r="C1961" s="2" t="s">
        <v>846</v>
      </c>
      <c r="D1961" s="2" t="s">
        <v>847</v>
      </c>
      <c r="E1961" s="2" t="s">
        <v>322</v>
      </c>
      <c r="F1961" s="3">
        <v>32</v>
      </c>
      <c r="G1961" s="4">
        <v>60</v>
      </c>
      <c r="H1961" s="5">
        <v>0</v>
      </c>
    </row>
    <row r="1962" spans="1:8" x14ac:dyDescent="0.35">
      <c r="A1962" s="2" t="s">
        <v>839</v>
      </c>
      <c r="B1962" s="2" t="s">
        <v>291</v>
      </c>
      <c r="C1962" s="2" t="s">
        <v>848</v>
      </c>
      <c r="D1962" s="2" t="s">
        <v>849</v>
      </c>
      <c r="E1962" s="2" t="s">
        <v>850</v>
      </c>
      <c r="F1962" s="3">
        <v>59</v>
      </c>
      <c r="G1962" s="4">
        <v>60</v>
      </c>
      <c r="H1962" s="5">
        <v>0</v>
      </c>
    </row>
    <row r="1963" spans="1:8" x14ac:dyDescent="0.35">
      <c r="A1963" s="2" t="s">
        <v>839</v>
      </c>
      <c r="B1963" s="2" t="s">
        <v>291</v>
      </c>
      <c r="C1963" s="2" t="s">
        <v>851</v>
      </c>
      <c r="D1963" s="2" t="s">
        <v>852</v>
      </c>
      <c r="E1963" s="2" t="s">
        <v>248</v>
      </c>
      <c r="F1963" s="3">
        <v>320</v>
      </c>
      <c r="G1963" s="4">
        <v>60</v>
      </c>
      <c r="H1963" s="5">
        <v>0</v>
      </c>
    </row>
    <row r="1964" spans="1:8" x14ac:dyDescent="0.35">
      <c r="A1964" s="2" t="s">
        <v>839</v>
      </c>
      <c r="B1964" s="2" t="s">
        <v>291</v>
      </c>
      <c r="C1964" s="2" t="s">
        <v>853</v>
      </c>
      <c r="D1964" s="2" t="s">
        <v>854</v>
      </c>
      <c r="E1964" s="2" t="s">
        <v>378</v>
      </c>
      <c r="F1964" s="3">
        <v>150</v>
      </c>
      <c r="G1964" s="4">
        <v>60</v>
      </c>
      <c r="H1964" s="5">
        <v>0</v>
      </c>
    </row>
    <row r="1965" spans="1:8" x14ac:dyDescent="0.35">
      <c r="A1965" s="2" t="s">
        <v>839</v>
      </c>
      <c r="B1965" s="2" t="s">
        <v>291</v>
      </c>
      <c r="C1965" s="2" t="s">
        <v>855</v>
      </c>
      <c r="D1965" s="2" t="s">
        <v>856</v>
      </c>
      <c r="E1965" s="2" t="s">
        <v>204</v>
      </c>
      <c r="F1965" s="3">
        <v>120</v>
      </c>
      <c r="G1965" s="4">
        <v>60</v>
      </c>
      <c r="H1965" s="5">
        <v>0</v>
      </c>
    </row>
    <row r="1966" spans="1:8" x14ac:dyDescent="0.35">
      <c r="A1966" s="2" t="s">
        <v>839</v>
      </c>
      <c r="B1966" s="2" t="s">
        <v>291</v>
      </c>
      <c r="C1966" s="2" t="s">
        <v>857</v>
      </c>
      <c r="D1966" s="2" t="s">
        <v>858</v>
      </c>
      <c r="E1966" s="2" t="s">
        <v>486</v>
      </c>
      <c r="F1966" s="3">
        <v>500</v>
      </c>
      <c r="G1966" s="4">
        <v>60</v>
      </c>
      <c r="H1966" s="5">
        <v>0</v>
      </c>
    </row>
    <row r="1967" spans="1:8" x14ac:dyDescent="0.35">
      <c r="A1967" s="2" t="s">
        <v>839</v>
      </c>
      <c r="B1967" s="2" t="s">
        <v>291</v>
      </c>
      <c r="C1967" s="2" t="s">
        <v>859</v>
      </c>
      <c r="D1967" s="2" t="s">
        <v>860</v>
      </c>
      <c r="E1967" s="2" t="s">
        <v>861</v>
      </c>
      <c r="F1967" s="3">
        <v>45</v>
      </c>
      <c r="G1967" s="4">
        <v>36</v>
      </c>
      <c r="H1967" s="5">
        <v>0</v>
      </c>
    </row>
    <row r="1968" spans="1:8" x14ac:dyDescent="0.35">
      <c r="A1968" s="2" t="s">
        <v>839</v>
      </c>
      <c r="B1968" s="2" t="s">
        <v>291</v>
      </c>
      <c r="C1968" s="2" t="s">
        <v>862</v>
      </c>
      <c r="D1968" s="2" t="s">
        <v>863</v>
      </c>
      <c r="E1968" s="2" t="s">
        <v>864</v>
      </c>
      <c r="F1968" s="3">
        <v>60</v>
      </c>
      <c r="G1968" s="4">
        <v>36</v>
      </c>
      <c r="H1968" s="5">
        <v>0</v>
      </c>
    </row>
    <row r="1969" spans="1:8" x14ac:dyDescent="0.35">
      <c r="A1969" s="2" t="s">
        <v>839</v>
      </c>
      <c r="B1969" s="2" t="s">
        <v>291</v>
      </c>
      <c r="C1969" s="2" t="s">
        <v>865</v>
      </c>
      <c r="D1969" s="2" t="s">
        <v>866</v>
      </c>
      <c r="E1969" s="2" t="s">
        <v>867</v>
      </c>
      <c r="F1969" s="3">
        <v>70</v>
      </c>
      <c r="G1969" s="4">
        <v>36</v>
      </c>
      <c r="H1969" s="5">
        <v>0</v>
      </c>
    </row>
    <row r="1970" spans="1:8" x14ac:dyDescent="0.35">
      <c r="A1970" s="2" t="s">
        <v>839</v>
      </c>
      <c r="B1970" s="2" t="s">
        <v>291</v>
      </c>
      <c r="C1970" s="2" t="s">
        <v>868</v>
      </c>
      <c r="D1970" s="2" t="s">
        <v>869</v>
      </c>
      <c r="E1970" s="2" t="s">
        <v>104</v>
      </c>
      <c r="F1970" s="3">
        <v>42</v>
      </c>
      <c r="G1970" s="4">
        <v>48</v>
      </c>
      <c r="H1970" s="5">
        <v>0</v>
      </c>
    </row>
    <row r="1971" spans="1:8" x14ac:dyDescent="0.35">
      <c r="A1971" s="2" t="s">
        <v>839</v>
      </c>
      <c r="B1971" s="2" t="s">
        <v>291</v>
      </c>
      <c r="C1971" s="2" t="s">
        <v>870</v>
      </c>
      <c r="D1971" s="2" t="s">
        <v>871</v>
      </c>
      <c r="E1971" s="2" t="s">
        <v>872</v>
      </c>
      <c r="F1971" s="3">
        <v>130</v>
      </c>
      <c r="G1971" s="4">
        <v>60</v>
      </c>
      <c r="H1971" s="5">
        <v>0</v>
      </c>
    </row>
    <row r="1972" spans="1:8" x14ac:dyDescent="0.35">
      <c r="A1972" s="2" t="s">
        <v>839</v>
      </c>
      <c r="B1972" s="2" t="s">
        <v>291</v>
      </c>
      <c r="C1972" s="2" t="s">
        <v>873</v>
      </c>
      <c r="D1972" s="2" t="s">
        <v>874</v>
      </c>
      <c r="E1972" s="2" t="s">
        <v>875</v>
      </c>
      <c r="F1972" s="3">
        <v>10</v>
      </c>
      <c r="G1972" s="4">
        <v>36</v>
      </c>
      <c r="H1972" s="5">
        <v>0</v>
      </c>
    </row>
    <row r="1973" spans="1:8" x14ac:dyDescent="0.35">
      <c r="A1973" s="2" t="s">
        <v>839</v>
      </c>
      <c r="B1973" s="2" t="s">
        <v>291</v>
      </c>
      <c r="C1973" s="2" t="s">
        <v>876</v>
      </c>
      <c r="D1973" s="2" t="s">
        <v>877</v>
      </c>
      <c r="E1973" s="2" t="s">
        <v>878</v>
      </c>
      <c r="F1973" s="3">
        <v>18</v>
      </c>
      <c r="G1973" s="4">
        <v>36</v>
      </c>
      <c r="H1973" s="5">
        <v>0</v>
      </c>
    </row>
    <row r="1974" spans="1:8" x14ac:dyDescent="0.35">
      <c r="A1974" s="2" t="s">
        <v>839</v>
      </c>
      <c r="B1974" s="2" t="s">
        <v>291</v>
      </c>
      <c r="C1974" s="2" t="s">
        <v>879</v>
      </c>
      <c r="D1974" s="2" t="s">
        <v>880</v>
      </c>
      <c r="E1974" s="2" t="s">
        <v>881</v>
      </c>
      <c r="F1974" s="3">
        <v>49</v>
      </c>
      <c r="G1974" s="4">
        <v>36</v>
      </c>
      <c r="H1974" s="5">
        <v>0</v>
      </c>
    </row>
    <row r="1975" spans="1:8" x14ac:dyDescent="0.35">
      <c r="A1975" s="2" t="s">
        <v>839</v>
      </c>
      <c r="B1975" s="2" t="s">
        <v>291</v>
      </c>
      <c r="C1975" s="2" t="s">
        <v>882</v>
      </c>
      <c r="D1975" s="2" t="s">
        <v>883</v>
      </c>
      <c r="E1975" s="2" t="s">
        <v>136</v>
      </c>
      <c r="F1975" s="3">
        <v>25.8</v>
      </c>
      <c r="G1975" s="4">
        <v>12</v>
      </c>
      <c r="H1975" s="5">
        <v>0</v>
      </c>
    </row>
    <row r="1976" spans="1:8" x14ac:dyDescent="0.35">
      <c r="A1976" s="2" t="s">
        <v>839</v>
      </c>
      <c r="B1976" s="2" t="s">
        <v>291</v>
      </c>
      <c r="C1976" s="2" t="s">
        <v>884</v>
      </c>
      <c r="D1976" s="2" t="s">
        <v>885</v>
      </c>
      <c r="E1976" s="6" t="s">
        <v>147</v>
      </c>
      <c r="F1976" s="3">
        <v>2000</v>
      </c>
      <c r="G1976" s="4">
        <v>60</v>
      </c>
      <c r="H1976" s="5">
        <v>7.4999999999999997E-3</v>
      </c>
    </row>
    <row r="1977" spans="1:8" x14ac:dyDescent="0.35">
      <c r="A1977" s="2" t="s">
        <v>839</v>
      </c>
      <c r="B1977" s="2" t="s">
        <v>291</v>
      </c>
      <c r="C1977" s="2" t="s">
        <v>886</v>
      </c>
      <c r="D1977" s="2" t="s">
        <v>887</v>
      </c>
      <c r="E1977" s="2" t="s">
        <v>125</v>
      </c>
      <c r="F1977" s="3">
        <v>25.8</v>
      </c>
      <c r="G1977" s="4">
        <v>12</v>
      </c>
      <c r="H1977" s="5">
        <v>0</v>
      </c>
    </row>
    <row r="1978" spans="1:8" x14ac:dyDescent="0.35">
      <c r="A1978" s="2" t="s">
        <v>839</v>
      </c>
      <c r="B1978" s="2" t="s">
        <v>339</v>
      </c>
      <c r="C1978" s="2" t="s">
        <v>840</v>
      </c>
      <c r="D1978" s="2" t="s">
        <v>841</v>
      </c>
      <c r="E1978" s="2" t="s">
        <v>46</v>
      </c>
      <c r="F1978" s="3">
        <v>1796.58</v>
      </c>
      <c r="G1978" s="4">
        <v>60</v>
      </c>
      <c r="H1978" s="5">
        <v>1.67E-2</v>
      </c>
    </row>
    <row r="1979" spans="1:8" x14ac:dyDescent="0.35">
      <c r="A1979" s="2" t="s">
        <v>839</v>
      </c>
      <c r="B1979" s="2" t="s">
        <v>339</v>
      </c>
      <c r="C1979" s="2" t="s">
        <v>842</v>
      </c>
      <c r="D1979" s="2" t="s">
        <v>843</v>
      </c>
      <c r="E1979" s="2" t="s">
        <v>48</v>
      </c>
      <c r="F1979" s="3">
        <v>220</v>
      </c>
      <c r="G1979" s="4">
        <v>60</v>
      </c>
      <c r="H1979" s="5">
        <v>1.67E-2</v>
      </c>
    </row>
    <row r="1980" spans="1:8" x14ac:dyDescent="0.35">
      <c r="A1980" s="2" t="s">
        <v>839</v>
      </c>
      <c r="B1980" s="2" t="s">
        <v>339</v>
      </c>
      <c r="C1980" s="2" t="s">
        <v>742</v>
      </c>
      <c r="D1980" s="2" t="s">
        <v>743</v>
      </c>
      <c r="E1980" s="2" t="s">
        <v>92</v>
      </c>
      <c r="F1980" s="3">
        <v>1018</v>
      </c>
      <c r="G1980" s="4">
        <v>36</v>
      </c>
      <c r="H1980" s="5">
        <v>0</v>
      </c>
    </row>
    <row r="1981" spans="1:8" x14ac:dyDescent="0.35">
      <c r="A1981" s="2" t="s">
        <v>839</v>
      </c>
      <c r="B1981" s="2" t="s">
        <v>339</v>
      </c>
      <c r="C1981" s="2" t="s">
        <v>844</v>
      </c>
      <c r="D1981" s="2" t="s">
        <v>845</v>
      </c>
      <c r="E1981" s="2" t="s">
        <v>260</v>
      </c>
      <c r="F1981" s="3">
        <v>880.38</v>
      </c>
      <c r="G1981" s="4">
        <v>1</v>
      </c>
      <c r="H1981" s="5">
        <v>0</v>
      </c>
    </row>
    <row r="1982" spans="1:8" x14ac:dyDescent="0.35">
      <c r="A1982" s="2" t="s">
        <v>839</v>
      </c>
      <c r="B1982" s="2" t="s">
        <v>339</v>
      </c>
      <c r="C1982" s="2" t="s">
        <v>846</v>
      </c>
      <c r="D1982" s="2" t="s">
        <v>847</v>
      </c>
      <c r="E1982" s="2" t="s">
        <v>322</v>
      </c>
      <c r="F1982" s="3">
        <v>20.45</v>
      </c>
      <c r="G1982" s="4">
        <v>60</v>
      </c>
      <c r="H1982" s="5">
        <v>1.67E-2</v>
      </c>
    </row>
    <row r="1983" spans="1:8" x14ac:dyDescent="0.35">
      <c r="A1983" s="2" t="s">
        <v>839</v>
      </c>
      <c r="B1983" s="2" t="s">
        <v>339</v>
      </c>
      <c r="C1983" s="2" t="s">
        <v>848</v>
      </c>
      <c r="D1983" s="2" t="s">
        <v>849</v>
      </c>
      <c r="E1983" s="2" t="s">
        <v>850</v>
      </c>
      <c r="F1983" s="3">
        <v>0.01</v>
      </c>
      <c r="G1983" s="4">
        <v>0</v>
      </c>
      <c r="H1983" s="5">
        <v>0</v>
      </c>
    </row>
    <row r="1984" spans="1:8" x14ac:dyDescent="0.35">
      <c r="A1984" s="2" t="s">
        <v>839</v>
      </c>
      <c r="B1984" s="2" t="s">
        <v>339</v>
      </c>
      <c r="C1984" s="2" t="s">
        <v>851</v>
      </c>
      <c r="D1984" s="2" t="s">
        <v>852</v>
      </c>
      <c r="E1984" s="2" t="s">
        <v>248</v>
      </c>
      <c r="F1984" s="3">
        <v>68.5</v>
      </c>
      <c r="G1984" s="4">
        <v>60</v>
      </c>
      <c r="H1984" s="5">
        <v>1.67E-2</v>
      </c>
    </row>
    <row r="1985" spans="1:8" x14ac:dyDescent="0.35">
      <c r="A1985" s="2" t="s">
        <v>839</v>
      </c>
      <c r="B1985" s="2" t="s">
        <v>339</v>
      </c>
      <c r="C1985" s="2" t="s">
        <v>853</v>
      </c>
      <c r="D1985" s="2" t="s">
        <v>854</v>
      </c>
      <c r="E1985" s="2" t="s">
        <v>378</v>
      </c>
      <c r="F1985" s="3">
        <v>252</v>
      </c>
      <c r="G1985" s="4">
        <v>60</v>
      </c>
      <c r="H1985" s="5">
        <v>1.67E-2</v>
      </c>
    </row>
    <row r="1986" spans="1:8" x14ac:dyDescent="0.35">
      <c r="A1986" s="2" t="s">
        <v>839</v>
      </c>
      <c r="B1986" s="2" t="s">
        <v>339</v>
      </c>
      <c r="C1986" s="2" t="s">
        <v>855</v>
      </c>
      <c r="D1986" s="2" t="s">
        <v>856</v>
      </c>
      <c r="E1986" s="2" t="s">
        <v>204</v>
      </c>
      <c r="F1986" s="3">
        <v>235.2</v>
      </c>
      <c r="G1986" s="4">
        <v>60</v>
      </c>
      <c r="H1986" s="5">
        <v>1.67E-2</v>
      </c>
    </row>
    <row r="1987" spans="1:8" x14ac:dyDescent="0.35">
      <c r="A1987" s="2" t="s">
        <v>839</v>
      </c>
      <c r="B1987" s="2" t="s">
        <v>339</v>
      </c>
      <c r="C1987" s="2" t="s">
        <v>857</v>
      </c>
      <c r="D1987" s="2" t="s">
        <v>858</v>
      </c>
      <c r="E1987" s="2" t="s">
        <v>486</v>
      </c>
      <c r="F1987" s="3">
        <v>459</v>
      </c>
      <c r="G1987" s="4">
        <v>60</v>
      </c>
      <c r="H1987" s="5">
        <v>1.67E-2</v>
      </c>
    </row>
    <row r="1988" spans="1:8" x14ac:dyDescent="0.35">
      <c r="A1988" s="2" t="s">
        <v>839</v>
      </c>
      <c r="B1988" s="2" t="s">
        <v>339</v>
      </c>
      <c r="C1988" s="2" t="s">
        <v>859</v>
      </c>
      <c r="D1988" s="2" t="s">
        <v>860</v>
      </c>
      <c r="E1988" s="2" t="s">
        <v>861</v>
      </c>
      <c r="F1988" s="3">
        <v>32.799999999999997</v>
      </c>
      <c r="G1988" s="4">
        <v>60</v>
      </c>
      <c r="H1988" s="5">
        <v>1.67E-2</v>
      </c>
    </row>
    <row r="1989" spans="1:8" x14ac:dyDescent="0.35">
      <c r="A1989" s="2" t="s">
        <v>839</v>
      </c>
      <c r="B1989" s="2" t="s">
        <v>339</v>
      </c>
      <c r="C1989" s="2" t="s">
        <v>862</v>
      </c>
      <c r="D1989" s="2" t="s">
        <v>863</v>
      </c>
      <c r="E1989" s="2" t="s">
        <v>864</v>
      </c>
      <c r="F1989" s="3">
        <v>89.5</v>
      </c>
      <c r="G1989" s="4">
        <v>60</v>
      </c>
      <c r="H1989" s="5">
        <v>1.67E-2</v>
      </c>
    </row>
    <row r="1990" spans="1:8" x14ac:dyDescent="0.35">
      <c r="A1990" s="2" t="s">
        <v>839</v>
      </c>
      <c r="B1990" s="2" t="s">
        <v>339</v>
      </c>
      <c r="C1990" s="2" t="s">
        <v>865</v>
      </c>
      <c r="D1990" s="2" t="s">
        <v>866</v>
      </c>
      <c r="E1990" s="2" t="s">
        <v>867</v>
      </c>
      <c r="F1990" s="3">
        <v>54.2</v>
      </c>
      <c r="G1990" s="4">
        <v>60</v>
      </c>
      <c r="H1990" s="5">
        <v>1.67E-2</v>
      </c>
    </row>
    <row r="1991" spans="1:8" x14ac:dyDescent="0.35">
      <c r="A1991" s="2" t="s">
        <v>839</v>
      </c>
      <c r="B1991" s="2" t="s">
        <v>339</v>
      </c>
      <c r="C1991" s="2" t="s">
        <v>868</v>
      </c>
      <c r="D1991" s="2" t="s">
        <v>869</v>
      </c>
      <c r="E1991" s="2" t="s">
        <v>104</v>
      </c>
      <c r="F1991" s="3">
        <v>19.899999999999999</v>
      </c>
      <c r="G1991" s="4">
        <v>60</v>
      </c>
      <c r="H1991" s="5">
        <v>1.67E-2</v>
      </c>
    </row>
    <row r="1992" spans="1:8" x14ac:dyDescent="0.35">
      <c r="A1992" s="2" t="s">
        <v>839</v>
      </c>
      <c r="B1992" s="2" t="s">
        <v>339</v>
      </c>
      <c r="C1992" s="2" t="s">
        <v>870</v>
      </c>
      <c r="D1992" s="2" t="s">
        <v>871</v>
      </c>
      <c r="E1992" s="2" t="s">
        <v>872</v>
      </c>
      <c r="F1992" s="3">
        <v>46</v>
      </c>
      <c r="G1992" s="4">
        <v>60</v>
      </c>
      <c r="H1992" s="5">
        <v>1.67E-2</v>
      </c>
    </row>
    <row r="1993" spans="1:8" x14ac:dyDescent="0.35">
      <c r="A1993" s="2" t="s">
        <v>839</v>
      </c>
      <c r="B1993" s="2" t="s">
        <v>339</v>
      </c>
      <c r="C1993" s="2" t="s">
        <v>873</v>
      </c>
      <c r="D1993" s="2" t="s">
        <v>874</v>
      </c>
      <c r="E1993" s="2" t="s">
        <v>875</v>
      </c>
      <c r="F1993" s="3">
        <v>16.8</v>
      </c>
      <c r="G1993" s="4">
        <v>60</v>
      </c>
      <c r="H1993" s="5">
        <v>1.67E-2</v>
      </c>
    </row>
    <row r="1994" spans="1:8" x14ac:dyDescent="0.35">
      <c r="A1994" s="2" t="s">
        <v>839</v>
      </c>
      <c r="B1994" s="2" t="s">
        <v>339</v>
      </c>
      <c r="C1994" s="2" t="s">
        <v>876</v>
      </c>
      <c r="D1994" s="2" t="s">
        <v>877</v>
      </c>
      <c r="E1994" s="2" t="s">
        <v>878</v>
      </c>
      <c r="F1994" s="3">
        <v>35.020000000000003</v>
      </c>
      <c r="G1994" s="4">
        <v>60</v>
      </c>
      <c r="H1994" s="5">
        <v>1.67E-2</v>
      </c>
    </row>
    <row r="1995" spans="1:8" x14ac:dyDescent="0.35">
      <c r="A1995" s="2" t="s">
        <v>839</v>
      </c>
      <c r="B1995" s="2" t="s">
        <v>339</v>
      </c>
      <c r="C1995" s="2" t="s">
        <v>879</v>
      </c>
      <c r="D1995" s="2" t="s">
        <v>880</v>
      </c>
      <c r="E1995" s="2" t="s">
        <v>881</v>
      </c>
      <c r="F1995" s="3">
        <v>0.01</v>
      </c>
      <c r="G1995" s="4">
        <v>0</v>
      </c>
      <c r="H1995" s="5">
        <v>0</v>
      </c>
    </row>
    <row r="1996" spans="1:8" x14ac:dyDescent="0.35">
      <c r="A1996" s="2" t="s">
        <v>839</v>
      </c>
      <c r="B1996" s="2" t="s">
        <v>339</v>
      </c>
      <c r="C1996" s="2" t="s">
        <v>882</v>
      </c>
      <c r="D1996" s="2" t="s">
        <v>883</v>
      </c>
      <c r="E1996" s="2" t="s">
        <v>136</v>
      </c>
      <c r="F1996" s="3">
        <v>0.01</v>
      </c>
      <c r="G1996" s="4">
        <v>0</v>
      </c>
      <c r="H1996" s="5">
        <v>0</v>
      </c>
    </row>
    <row r="1997" spans="1:8" x14ac:dyDescent="0.35">
      <c r="A1997" s="2" t="s">
        <v>839</v>
      </c>
      <c r="B1997" s="2" t="s">
        <v>339</v>
      </c>
      <c r="C1997" s="2" t="s">
        <v>884</v>
      </c>
      <c r="D1997" s="2" t="s">
        <v>885</v>
      </c>
      <c r="E1997" s="6" t="s">
        <v>147</v>
      </c>
      <c r="F1997" s="3">
        <v>2115.77</v>
      </c>
      <c r="G1997" s="4">
        <v>60</v>
      </c>
      <c r="H1997" s="5">
        <v>1.67E-2</v>
      </c>
    </row>
    <row r="1998" spans="1:8" x14ac:dyDescent="0.35">
      <c r="A1998" s="2" t="s">
        <v>839</v>
      </c>
      <c r="B1998" s="2" t="s">
        <v>339</v>
      </c>
      <c r="C1998" s="2" t="s">
        <v>886</v>
      </c>
      <c r="D1998" s="2" t="s">
        <v>887</v>
      </c>
      <c r="E1998" s="2" t="s">
        <v>125</v>
      </c>
      <c r="F1998" s="3">
        <v>0.01</v>
      </c>
      <c r="G1998" s="4">
        <v>0</v>
      </c>
      <c r="H1998" s="5">
        <v>0</v>
      </c>
    </row>
    <row r="1999" spans="1:8" x14ac:dyDescent="0.35">
      <c r="A1999" s="2" t="s">
        <v>839</v>
      </c>
      <c r="B1999" s="2" t="s">
        <v>785</v>
      </c>
      <c r="C1999" s="2" t="s">
        <v>840</v>
      </c>
      <c r="D1999" s="2" t="s">
        <v>841</v>
      </c>
      <c r="E1999" s="2" t="s">
        <v>46</v>
      </c>
      <c r="F1999" s="3">
        <v>1450</v>
      </c>
      <c r="G1999" s="4">
        <v>12</v>
      </c>
      <c r="H1999" s="5">
        <v>7.4999999999999997E-3</v>
      </c>
    </row>
    <row r="2000" spans="1:8" x14ac:dyDescent="0.35">
      <c r="A2000" s="2" t="s">
        <v>839</v>
      </c>
      <c r="B2000" s="2" t="s">
        <v>785</v>
      </c>
      <c r="C2000" s="2" t="s">
        <v>842</v>
      </c>
      <c r="D2000" s="2" t="s">
        <v>843</v>
      </c>
      <c r="E2000" s="2" t="s">
        <v>48</v>
      </c>
      <c r="F2000" s="3">
        <v>250</v>
      </c>
      <c r="G2000" s="4">
        <v>12</v>
      </c>
      <c r="H2000" s="5">
        <v>0</v>
      </c>
    </row>
    <row r="2001" spans="1:8" x14ac:dyDescent="0.35">
      <c r="A2001" s="2" t="s">
        <v>839</v>
      </c>
      <c r="B2001" s="2" t="s">
        <v>785</v>
      </c>
      <c r="C2001" s="2" t="s">
        <v>742</v>
      </c>
      <c r="D2001" s="2" t="s">
        <v>743</v>
      </c>
      <c r="E2001" s="2" t="s">
        <v>92</v>
      </c>
      <c r="F2001" s="3">
        <v>1100</v>
      </c>
      <c r="G2001" s="4">
        <v>12</v>
      </c>
      <c r="H2001" s="5">
        <v>0</v>
      </c>
    </row>
    <row r="2002" spans="1:8" x14ac:dyDescent="0.35">
      <c r="A2002" s="2" t="s">
        <v>839</v>
      </c>
      <c r="B2002" s="2" t="s">
        <v>785</v>
      </c>
      <c r="C2002" s="2" t="s">
        <v>844</v>
      </c>
      <c r="D2002" s="2" t="s">
        <v>845</v>
      </c>
      <c r="E2002" s="2" t="s">
        <v>260</v>
      </c>
      <c r="F2002" s="3">
        <v>33000</v>
      </c>
      <c r="G2002" s="4">
        <v>12</v>
      </c>
      <c r="H2002" s="5">
        <v>7.4999999999999997E-3</v>
      </c>
    </row>
    <row r="2003" spans="1:8" x14ac:dyDescent="0.35">
      <c r="A2003" s="2" t="s">
        <v>839</v>
      </c>
      <c r="B2003" s="2" t="s">
        <v>785</v>
      </c>
      <c r="C2003" s="2" t="s">
        <v>846</v>
      </c>
      <c r="D2003" s="2" t="s">
        <v>847</v>
      </c>
      <c r="E2003" s="2" t="s">
        <v>322</v>
      </c>
      <c r="F2003" s="3">
        <v>32</v>
      </c>
      <c r="G2003" s="4">
        <v>12</v>
      </c>
      <c r="H2003" s="5">
        <v>0</v>
      </c>
    </row>
    <row r="2004" spans="1:8" x14ac:dyDescent="0.35">
      <c r="A2004" s="2" t="s">
        <v>839</v>
      </c>
      <c r="B2004" s="2" t="s">
        <v>785</v>
      </c>
      <c r="C2004" s="2" t="s">
        <v>848</v>
      </c>
      <c r="D2004" s="2" t="s">
        <v>849</v>
      </c>
      <c r="E2004" s="2" t="s">
        <v>850</v>
      </c>
      <c r="F2004" s="3">
        <v>59</v>
      </c>
      <c r="G2004" s="4">
        <v>12</v>
      </c>
      <c r="H2004" s="5">
        <v>0</v>
      </c>
    </row>
    <row r="2005" spans="1:8" x14ac:dyDescent="0.35">
      <c r="A2005" s="2" t="s">
        <v>839</v>
      </c>
      <c r="B2005" s="2" t="s">
        <v>785</v>
      </c>
      <c r="C2005" s="2" t="s">
        <v>851</v>
      </c>
      <c r="D2005" s="2" t="s">
        <v>852</v>
      </c>
      <c r="E2005" s="2" t="s">
        <v>248</v>
      </c>
      <c r="F2005" s="3">
        <v>320</v>
      </c>
      <c r="G2005" s="4">
        <v>12</v>
      </c>
      <c r="H2005" s="5">
        <v>0</v>
      </c>
    </row>
    <row r="2006" spans="1:8" x14ac:dyDescent="0.35">
      <c r="A2006" s="2" t="s">
        <v>839</v>
      </c>
      <c r="B2006" s="2" t="s">
        <v>785</v>
      </c>
      <c r="C2006" s="2" t="s">
        <v>853</v>
      </c>
      <c r="D2006" s="2" t="s">
        <v>854</v>
      </c>
      <c r="E2006" s="2" t="s">
        <v>378</v>
      </c>
      <c r="F2006" s="3">
        <v>150</v>
      </c>
      <c r="G2006" s="4">
        <v>12</v>
      </c>
      <c r="H2006" s="5">
        <v>0</v>
      </c>
    </row>
    <row r="2007" spans="1:8" x14ac:dyDescent="0.35">
      <c r="A2007" s="2" t="s">
        <v>839</v>
      </c>
      <c r="B2007" s="2" t="s">
        <v>785</v>
      </c>
      <c r="C2007" s="2" t="s">
        <v>855</v>
      </c>
      <c r="D2007" s="2" t="s">
        <v>856</v>
      </c>
      <c r="E2007" s="2" t="s">
        <v>204</v>
      </c>
      <c r="F2007" s="3">
        <v>120</v>
      </c>
      <c r="G2007" s="4">
        <v>12</v>
      </c>
      <c r="H2007" s="5">
        <v>0</v>
      </c>
    </row>
    <row r="2008" spans="1:8" x14ac:dyDescent="0.35">
      <c r="A2008" s="2" t="s">
        <v>839</v>
      </c>
      <c r="B2008" s="2" t="s">
        <v>785</v>
      </c>
      <c r="C2008" s="2" t="s">
        <v>857</v>
      </c>
      <c r="D2008" s="2" t="s">
        <v>858</v>
      </c>
      <c r="E2008" s="2" t="s">
        <v>486</v>
      </c>
      <c r="F2008" s="3">
        <v>500</v>
      </c>
      <c r="G2008" s="4">
        <v>12</v>
      </c>
      <c r="H2008" s="5">
        <v>0</v>
      </c>
    </row>
    <row r="2009" spans="1:8" x14ac:dyDescent="0.35">
      <c r="A2009" s="2" t="s">
        <v>839</v>
      </c>
      <c r="B2009" s="2" t="s">
        <v>785</v>
      </c>
      <c r="C2009" s="2" t="s">
        <v>859</v>
      </c>
      <c r="D2009" s="2" t="s">
        <v>860</v>
      </c>
      <c r="E2009" s="2" t="s">
        <v>861</v>
      </c>
      <c r="F2009" s="3">
        <v>45</v>
      </c>
      <c r="G2009" s="4">
        <v>12</v>
      </c>
      <c r="H2009" s="5">
        <v>0</v>
      </c>
    </row>
    <row r="2010" spans="1:8" x14ac:dyDescent="0.35">
      <c r="A2010" s="2" t="s">
        <v>839</v>
      </c>
      <c r="B2010" s="2" t="s">
        <v>785</v>
      </c>
      <c r="C2010" s="2" t="s">
        <v>862</v>
      </c>
      <c r="D2010" s="2" t="s">
        <v>863</v>
      </c>
      <c r="E2010" s="2" t="s">
        <v>864</v>
      </c>
      <c r="F2010" s="3">
        <v>60</v>
      </c>
      <c r="G2010" s="4">
        <v>12</v>
      </c>
      <c r="H2010" s="5">
        <v>0</v>
      </c>
    </row>
    <row r="2011" spans="1:8" x14ac:dyDescent="0.35">
      <c r="A2011" s="2" t="s">
        <v>839</v>
      </c>
      <c r="B2011" s="2" t="s">
        <v>785</v>
      </c>
      <c r="C2011" s="2" t="s">
        <v>865</v>
      </c>
      <c r="D2011" s="2" t="s">
        <v>866</v>
      </c>
      <c r="E2011" s="2" t="s">
        <v>867</v>
      </c>
      <c r="F2011" s="3">
        <v>70</v>
      </c>
      <c r="G2011" s="4">
        <v>12</v>
      </c>
      <c r="H2011" s="5">
        <v>0</v>
      </c>
    </row>
    <row r="2012" spans="1:8" x14ac:dyDescent="0.35">
      <c r="A2012" s="2" t="s">
        <v>839</v>
      </c>
      <c r="B2012" s="2" t="s">
        <v>785</v>
      </c>
      <c r="C2012" s="2" t="s">
        <v>868</v>
      </c>
      <c r="D2012" s="2" t="s">
        <v>869</v>
      </c>
      <c r="E2012" s="2" t="s">
        <v>104</v>
      </c>
      <c r="F2012" s="3">
        <v>42</v>
      </c>
      <c r="G2012" s="4">
        <v>12</v>
      </c>
      <c r="H2012" s="5">
        <v>0</v>
      </c>
    </row>
    <row r="2013" spans="1:8" x14ac:dyDescent="0.35">
      <c r="A2013" s="2" t="s">
        <v>839</v>
      </c>
      <c r="B2013" s="2" t="s">
        <v>785</v>
      </c>
      <c r="C2013" s="2" t="s">
        <v>870</v>
      </c>
      <c r="D2013" s="2" t="s">
        <v>871</v>
      </c>
      <c r="E2013" s="2" t="s">
        <v>872</v>
      </c>
      <c r="F2013" s="3">
        <v>130</v>
      </c>
      <c r="G2013" s="4">
        <v>12</v>
      </c>
      <c r="H2013" s="5">
        <v>0</v>
      </c>
    </row>
    <row r="2014" spans="1:8" x14ac:dyDescent="0.35">
      <c r="A2014" s="2" t="s">
        <v>839</v>
      </c>
      <c r="B2014" s="2" t="s">
        <v>785</v>
      </c>
      <c r="C2014" s="2" t="s">
        <v>873</v>
      </c>
      <c r="D2014" s="2" t="s">
        <v>874</v>
      </c>
      <c r="E2014" s="2" t="s">
        <v>875</v>
      </c>
      <c r="F2014" s="3">
        <v>10</v>
      </c>
      <c r="G2014" s="4">
        <v>12</v>
      </c>
      <c r="H2014" s="5">
        <v>0</v>
      </c>
    </row>
    <row r="2015" spans="1:8" x14ac:dyDescent="0.35">
      <c r="A2015" s="2" t="s">
        <v>839</v>
      </c>
      <c r="B2015" s="2" t="s">
        <v>785</v>
      </c>
      <c r="C2015" s="2" t="s">
        <v>876</v>
      </c>
      <c r="D2015" s="2" t="s">
        <v>877</v>
      </c>
      <c r="E2015" s="2" t="s">
        <v>878</v>
      </c>
      <c r="F2015" s="3">
        <v>18</v>
      </c>
      <c r="G2015" s="4">
        <v>12</v>
      </c>
      <c r="H2015" s="5">
        <v>0</v>
      </c>
    </row>
    <row r="2016" spans="1:8" x14ac:dyDescent="0.35">
      <c r="A2016" s="2" t="s">
        <v>839</v>
      </c>
      <c r="B2016" s="2" t="s">
        <v>785</v>
      </c>
      <c r="C2016" s="2" t="s">
        <v>879</v>
      </c>
      <c r="D2016" s="2" t="s">
        <v>880</v>
      </c>
      <c r="E2016" s="2" t="s">
        <v>881</v>
      </c>
      <c r="F2016" s="3">
        <v>49</v>
      </c>
      <c r="G2016" s="4">
        <v>12</v>
      </c>
      <c r="H2016" s="5">
        <v>0</v>
      </c>
    </row>
    <row r="2017" spans="1:8" x14ac:dyDescent="0.35">
      <c r="A2017" s="2" t="s">
        <v>839</v>
      </c>
      <c r="B2017" s="2" t="s">
        <v>785</v>
      </c>
      <c r="C2017" s="2" t="s">
        <v>882</v>
      </c>
      <c r="D2017" s="2" t="s">
        <v>883</v>
      </c>
      <c r="E2017" s="2" t="s">
        <v>136</v>
      </c>
      <c r="F2017" s="3">
        <v>25.8</v>
      </c>
      <c r="G2017" s="4">
        <v>12</v>
      </c>
      <c r="H2017" s="5">
        <v>0</v>
      </c>
    </row>
    <row r="2018" spans="1:8" x14ac:dyDescent="0.35">
      <c r="A2018" s="2" t="s">
        <v>839</v>
      </c>
      <c r="B2018" s="2" t="s">
        <v>785</v>
      </c>
      <c r="C2018" s="2" t="s">
        <v>884</v>
      </c>
      <c r="D2018" s="2" t="s">
        <v>885</v>
      </c>
      <c r="E2018" s="6" t="s">
        <v>147</v>
      </c>
      <c r="F2018" s="3">
        <v>2000</v>
      </c>
      <c r="G2018" s="4">
        <v>12</v>
      </c>
      <c r="H2018" s="5">
        <v>7.4999999999999997E-3</v>
      </c>
    </row>
    <row r="2019" spans="1:8" x14ac:dyDescent="0.35">
      <c r="A2019" s="2" t="s">
        <v>839</v>
      </c>
      <c r="B2019" s="2" t="s">
        <v>785</v>
      </c>
      <c r="C2019" s="2" t="s">
        <v>886</v>
      </c>
      <c r="D2019" s="2" t="s">
        <v>887</v>
      </c>
      <c r="E2019" s="2" t="s">
        <v>125</v>
      </c>
      <c r="F2019" s="3">
        <v>25.8</v>
      </c>
      <c r="G2019" s="4">
        <v>12</v>
      </c>
      <c r="H2019" s="5">
        <v>0</v>
      </c>
    </row>
    <row r="2020" spans="1:8" x14ac:dyDescent="0.35">
      <c r="A2020" s="2" t="s">
        <v>839</v>
      </c>
      <c r="B2020" s="2" t="s">
        <v>786</v>
      </c>
      <c r="C2020" s="2" t="s">
        <v>840</v>
      </c>
      <c r="D2020" s="2" t="s">
        <v>841</v>
      </c>
      <c r="E2020" s="2" t="s">
        <v>46</v>
      </c>
      <c r="F2020" s="3">
        <v>750</v>
      </c>
      <c r="G2020" s="4">
        <v>24</v>
      </c>
      <c r="H2020" s="5">
        <v>0</v>
      </c>
    </row>
    <row r="2021" spans="1:8" x14ac:dyDescent="0.35">
      <c r="A2021" s="2" t="s">
        <v>839</v>
      </c>
      <c r="B2021" s="2" t="s">
        <v>786</v>
      </c>
      <c r="C2021" s="2" t="s">
        <v>842</v>
      </c>
      <c r="D2021" s="2" t="s">
        <v>843</v>
      </c>
      <c r="E2021" s="2" t="s">
        <v>48</v>
      </c>
      <c r="F2021" s="3">
        <v>437.06</v>
      </c>
      <c r="G2021" s="4">
        <v>24</v>
      </c>
      <c r="H2021" s="5">
        <v>0</v>
      </c>
    </row>
    <row r="2022" spans="1:8" x14ac:dyDescent="0.35">
      <c r="A2022" s="2" t="s">
        <v>839</v>
      </c>
      <c r="B2022" s="2" t="s">
        <v>786</v>
      </c>
      <c r="C2022" s="2" t="s">
        <v>742</v>
      </c>
      <c r="D2022" s="2" t="s">
        <v>743</v>
      </c>
      <c r="E2022" s="2" t="s">
        <v>92</v>
      </c>
      <c r="F2022" s="3">
        <v>1940.8</v>
      </c>
      <c r="G2022" s="4">
        <v>24</v>
      </c>
      <c r="H2022" s="5">
        <v>0</v>
      </c>
    </row>
    <row r="2023" spans="1:8" x14ac:dyDescent="0.35">
      <c r="A2023" s="2" t="s">
        <v>839</v>
      </c>
      <c r="B2023" s="2" t="s">
        <v>786</v>
      </c>
      <c r="C2023" s="2" t="s">
        <v>844</v>
      </c>
      <c r="D2023" s="2" t="s">
        <v>845</v>
      </c>
      <c r="E2023" s="2" t="s">
        <v>260</v>
      </c>
      <c r="F2023" s="3">
        <v>19000</v>
      </c>
      <c r="G2023" s="4">
        <v>60</v>
      </c>
      <c r="H2023" s="5">
        <v>0</v>
      </c>
    </row>
    <row r="2024" spans="1:8" x14ac:dyDescent="0.35">
      <c r="A2024" s="2" t="s">
        <v>839</v>
      </c>
      <c r="B2024" s="2" t="s">
        <v>786</v>
      </c>
      <c r="C2024" s="2" t="s">
        <v>846</v>
      </c>
      <c r="D2024" s="2" t="s">
        <v>847</v>
      </c>
      <c r="E2024" s="2" t="s">
        <v>322</v>
      </c>
      <c r="F2024" s="3">
        <v>52.32</v>
      </c>
      <c r="G2024" s="4">
        <v>60</v>
      </c>
      <c r="H2024" s="5">
        <v>0</v>
      </c>
    </row>
    <row r="2025" spans="1:8" x14ac:dyDescent="0.35">
      <c r="A2025" s="2" t="s">
        <v>839</v>
      </c>
      <c r="B2025" s="2" t="s">
        <v>786</v>
      </c>
      <c r="C2025" s="2" t="s">
        <v>848</v>
      </c>
      <c r="D2025" s="2" t="s">
        <v>849</v>
      </c>
      <c r="E2025" s="2" t="s">
        <v>850</v>
      </c>
      <c r="F2025" s="3">
        <v>60</v>
      </c>
      <c r="G2025" s="4">
        <v>60</v>
      </c>
      <c r="H2025" s="5">
        <v>0</v>
      </c>
    </row>
    <row r="2026" spans="1:8" x14ac:dyDescent="0.35">
      <c r="A2026" s="2" t="s">
        <v>839</v>
      </c>
      <c r="B2026" s="2" t="s">
        <v>786</v>
      </c>
      <c r="C2026" s="2" t="s">
        <v>851</v>
      </c>
      <c r="D2026" s="2" t="s">
        <v>852</v>
      </c>
      <c r="E2026" s="2" t="s">
        <v>248</v>
      </c>
      <c r="F2026" s="3">
        <v>485.19</v>
      </c>
      <c r="G2026" s="4">
        <v>24</v>
      </c>
      <c r="H2026" s="5">
        <v>0</v>
      </c>
    </row>
    <row r="2027" spans="1:8" x14ac:dyDescent="0.35">
      <c r="A2027" s="2" t="s">
        <v>839</v>
      </c>
      <c r="B2027" s="2" t="s">
        <v>786</v>
      </c>
      <c r="C2027" s="2" t="s">
        <v>853</v>
      </c>
      <c r="D2027" s="2" t="s">
        <v>854</v>
      </c>
      <c r="E2027" s="2" t="s">
        <v>378</v>
      </c>
      <c r="F2027" s="3">
        <v>328.45</v>
      </c>
      <c r="G2027" s="4">
        <v>24</v>
      </c>
      <c r="H2027" s="5">
        <v>0</v>
      </c>
    </row>
    <row r="2028" spans="1:8" x14ac:dyDescent="0.35">
      <c r="A2028" s="2" t="s">
        <v>839</v>
      </c>
      <c r="B2028" s="2" t="s">
        <v>786</v>
      </c>
      <c r="C2028" s="2" t="s">
        <v>855</v>
      </c>
      <c r="D2028" s="2" t="s">
        <v>856</v>
      </c>
      <c r="E2028" s="2" t="s">
        <v>204</v>
      </c>
      <c r="F2028" s="3">
        <v>142.13999999999999</v>
      </c>
      <c r="G2028" s="4">
        <v>24</v>
      </c>
      <c r="H2028" s="5">
        <v>0</v>
      </c>
    </row>
    <row r="2029" spans="1:8" x14ac:dyDescent="0.35">
      <c r="A2029" s="2" t="s">
        <v>839</v>
      </c>
      <c r="B2029" s="2" t="s">
        <v>786</v>
      </c>
      <c r="C2029" s="2" t="s">
        <v>857</v>
      </c>
      <c r="D2029" s="2" t="s">
        <v>858</v>
      </c>
      <c r="E2029" s="2" t="s">
        <v>486</v>
      </c>
      <c r="F2029" s="3">
        <v>333.71</v>
      </c>
      <c r="G2029" s="4">
        <v>24</v>
      </c>
      <c r="H2029" s="5">
        <v>0</v>
      </c>
    </row>
    <row r="2030" spans="1:8" x14ac:dyDescent="0.35">
      <c r="A2030" s="2" t="s">
        <v>839</v>
      </c>
      <c r="B2030" s="2" t="s">
        <v>786</v>
      </c>
      <c r="C2030" s="2" t="s">
        <v>859</v>
      </c>
      <c r="D2030" s="2" t="s">
        <v>860</v>
      </c>
      <c r="E2030" s="2" t="s">
        <v>861</v>
      </c>
      <c r="F2030" s="3">
        <v>50</v>
      </c>
      <c r="G2030" s="4">
        <v>24</v>
      </c>
      <c r="H2030" s="5">
        <v>0</v>
      </c>
    </row>
    <row r="2031" spans="1:8" x14ac:dyDescent="0.35">
      <c r="A2031" s="2" t="s">
        <v>839</v>
      </c>
      <c r="B2031" s="2" t="s">
        <v>786</v>
      </c>
      <c r="C2031" s="2" t="s">
        <v>862</v>
      </c>
      <c r="D2031" s="2" t="s">
        <v>863</v>
      </c>
      <c r="E2031" s="2" t="s">
        <v>864</v>
      </c>
      <c r="F2031" s="3">
        <v>70</v>
      </c>
      <c r="G2031" s="4">
        <v>24</v>
      </c>
      <c r="H2031" s="5">
        <v>0</v>
      </c>
    </row>
    <row r="2032" spans="1:8" x14ac:dyDescent="0.35">
      <c r="A2032" s="2" t="s">
        <v>839</v>
      </c>
      <c r="B2032" s="2" t="s">
        <v>786</v>
      </c>
      <c r="C2032" s="2" t="s">
        <v>865</v>
      </c>
      <c r="D2032" s="2" t="s">
        <v>866</v>
      </c>
      <c r="E2032" s="2" t="s">
        <v>867</v>
      </c>
      <c r="F2032" s="3">
        <v>60</v>
      </c>
      <c r="G2032" s="4">
        <v>60</v>
      </c>
      <c r="H2032" s="5">
        <v>0</v>
      </c>
    </row>
    <row r="2033" spans="1:8" x14ac:dyDescent="0.35">
      <c r="A2033" s="2" t="s">
        <v>839</v>
      </c>
      <c r="B2033" s="2" t="s">
        <v>786</v>
      </c>
      <c r="C2033" s="2" t="s">
        <v>868</v>
      </c>
      <c r="D2033" s="2" t="s">
        <v>869</v>
      </c>
      <c r="E2033" s="2" t="s">
        <v>104</v>
      </c>
      <c r="F2033" s="3">
        <v>34.75</v>
      </c>
      <c r="G2033" s="4">
        <v>24</v>
      </c>
      <c r="H2033" s="5">
        <v>0</v>
      </c>
    </row>
    <row r="2034" spans="1:8" x14ac:dyDescent="0.35">
      <c r="A2034" s="2" t="s">
        <v>839</v>
      </c>
      <c r="B2034" s="2" t="s">
        <v>786</v>
      </c>
      <c r="C2034" s="2" t="s">
        <v>870</v>
      </c>
      <c r="D2034" s="2" t="s">
        <v>871</v>
      </c>
      <c r="E2034" s="2" t="s">
        <v>872</v>
      </c>
      <c r="F2034" s="3">
        <v>150</v>
      </c>
      <c r="G2034" s="4">
        <v>60</v>
      </c>
      <c r="H2034" s="5">
        <v>0</v>
      </c>
    </row>
    <row r="2035" spans="1:8" x14ac:dyDescent="0.35">
      <c r="A2035" s="2" t="s">
        <v>839</v>
      </c>
      <c r="B2035" s="2" t="s">
        <v>786</v>
      </c>
      <c r="C2035" s="2" t="s">
        <v>873</v>
      </c>
      <c r="D2035" s="2" t="s">
        <v>874</v>
      </c>
      <c r="E2035" s="2" t="s">
        <v>875</v>
      </c>
      <c r="F2035" s="3">
        <v>18.739999999999998</v>
      </c>
      <c r="G2035" s="4">
        <v>60</v>
      </c>
      <c r="H2035" s="5">
        <v>0</v>
      </c>
    </row>
    <row r="2036" spans="1:8" x14ac:dyDescent="0.35">
      <c r="A2036" s="2" t="s">
        <v>839</v>
      </c>
      <c r="B2036" s="2" t="s">
        <v>786</v>
      </c>
      <c r="C2036" s="2" t="s">
        <v>876</v>
      </c>
      <c r="D2036" s="2" t="s">
        <v>877</v>
      </c>
      <c r="E2036" s="2" t="s">
        <v>878</v>
      </c>
      <c r="F2036" s="3">
        <v>20</v>
      </c>
      <c r="G2036" s="4">
        <v>60</v>
      </c>
      <c r="H2036" s="5">
        <v>0</v>
      </c>
    </row>
    <row r="2037" spans="1:8" x14ac:dyDescent="0.35">
      <c r="A2037" s="2" t="s">
        <v>839</v>
      </c>
      <c r="B2037" s="2" t="s">
        <v>786</v>
      </c>
      <c r="C2037" s="2" t="s">
        <v>879</v>
      </c>
      <c r="D2037" s="2" t="s">
        <v>880</v>
      </c>
      <c r="E2037" s="2" t="s">
        <v>881</v>
      </c>
      <c r="F2037" s="3">
        <v>100</v>
      </c>
      <c r="G2037" s="4">
        <v>60</v>
      </c>
      <c r="H2037" s="5">
        <v>0</v>
      </c>
    </row>
    <row r="2038" spans="1:8" x14ac:dyDescent="0.35">
      <c r="A2038" s="2" t="s">
        <v>839</v>
      </c>
      <c r="B2038" s="2" t="s">
        <v>786</v>
      </c>
      <c r="C2038" s="2" t="s">
        <v>882</v>
      </c>
      <c r="D2038" s="2" t="s">
        <v>883</v>
      </c>
      <c r="E2038" s="2" t="s">
        <v>136</v>
      </c>
      <c r="F2038" s="3">
        <v>32</v>
      </c>
      <c r="G2038" s="4">
        <v>60</v>
      </c>
      <c r="H2038" s="5">
        <v>0</v>
      </c>
    </row>
    <row r="2039" spans="1:8" x14ac:dyDescent="0.35">
      <c r="A2039" s="2" t="s">
        <v>839</v>
      </c>
      <c r="B2039" s="2" t="s">
        <v>786</v>
      </c>
      <c r="C2039" s="2" t="s">
        <v>884</v>
      </c>
      <c r="D2039" s="2" t="s">
        <v>885</v>
      </c>
      <c r="E2039" s="6" t="s">
        <v>147</v>
      </c>
      <c r="F2039" s="3">
        <v>2510</v>
      </c>
      <c r="G2039" s="4">
        <v>60</v>
      </c>
      <c r="H2039" s="5">
        <v>0</v>
      </c>
    </row>
    <row r="2040" spans="1:8" x14ac:dyDescent="0.35">
      <c r="A2040" s="2" t="s">
        <v>839</v>
      </c>
      <c r="B2040" s="2" t="s">
        <v>786</v>
      </c>
      <c r="C2040" s="2" t="s">
        <v>886</v>
      </c>
      <c r="D2040" s="2" t="s">
        <v>887</v>
      </c>
      <c r="E2040" s="2" t="s">
        <v>125</v>
      </c>
      <c r="F2040" s="3">
        <v>32</v>
      </c>
      <c r="G2040" s="4">
        <v>1</v>
      </c>
      <c r="H2040" s="5">
        <v>0</v>
      </c>
    </row>
    <row r="2041" spans="1:8" x14ac:dyDescent="0.35">
      <c r="A2041" s="2" t="s">
        <v>839</v>
      </c>
      <c r="B2041" s="2" t="s">
        <v>447</v>
      </c>
      <c r="C2041" s="2" t="s">
        <v>840</v>
      </c>
      <c r="D2041" s="2" t="s">
        <v>841</v>
      </c>
      <c r="E2041" s="2" t="s">
        <v>46</v>
      </c>
      <c r="F2041" s="3">
        <v>1450</v>
      </c>
      <c r="G2041" s="4">
        <v>60</v>
      </c>
      <c r="H2041" s="5">
        <v>7.4999999999999997E-3</v>
      </c>
    </row>
    <row r="2042" spans="1:8" x14ac:dyDescent="0.35">
      <c r="A2042" s="2" t="s">
        <v>839</v>
      </c>
      <c r="B2042" s="2" t="s">
        <v>447</v>
      </c>
      <c r="C2042" s="2" t="s">
        <v>842</v>
      </c>
      <c r="D2042" s="2" t="s">
        <v>843</v>
      </c>
      <c r="E2042" s="2" t="s">
        <v>48</v>
      </c>
      <c r="F2042" s="3">
        <v>250</v>
      </c>
      <c r="G2042" s="4">
        <v>60</v>
      </c>
      <c r="H2042" s="5">
        <v>0</v>
      </c>
    </row>
    <row r="2043" spans="1:8" x14ac:dyDescent="0.35">
      <c r="A2043" s="2" t="s">
        <v>839</v>
      </c>
      <c r="B2043" s="2" t="s">
        <v>447</v>
      </c>
      <c r="C2043" s="2" t="s">
        <v>742</v>
      </c>
      <c r="D2043" s="2" t="s">
        <v>743</v>
      </c>
      <c r="E2043" s="2" t="s">
        <v>92</v>
      </c>
      <c r="F2043" s="3">
        <v>1100</v>
      </c>
      <c r="G2043" s="4">
        <v>60</v>
      </c>
      <c r="H2043" s="5">
        <v>0</v>
      </c>
    </row>
    <row r="2044" spans="1:8" x14ac:dyDescent="0.35">
      <c r="A2044" s="2" t="s">
        <v>839</v>
      </c>
      <c r="B2044" s="2" t="s">
        <v>447</v>
      </c>
      <c r="C2044" s="2" t="s">
        <v>844</v>
      </c>
      <c r="D2044" s="2" t="s">
        <v>845</v>
      </c>
      <c r="E2044" s="2" t="s">
        <v>260</v>
      </c>
      <c r="F2044" s="3">
        <v>19940</v>
      </c>
      <c r="G2044" s="4">
        <v>60</v>
      </c>
      <c r="H2044" s="5">
        <v>7.4999999999999997E-3</v>
      </c>
    </row>
    <row r="2045" spans="1:8" x14ac:dyDescent="0.35">
      <c r="A2045" s="2" t="s">
        <v>839</v>
      </c>
      <c r="B2045" s="2" t="s">
        <v>447</v>
      </c>
      <c r="C2045" s="2" t="s">
        <v>846</v>
      </c>
      <c r="D2045" s="2" t="s">
        <v>847</v>
      </c>
      <c r="E2045" s="2" t="s">
        <v>322</v>
      </c>
      <c r="F2045" s="3">
        <v>32</v>
      </c>
      <c r="G2045" s="4">
        <v>60</v>
      </c>
      <c r="H2045" s="5">
        <v>0</v>
      </c>
    </row>
    <row r="2046" spans="1:8" x14ac:dyDescent="0.35">
      <c r="A2046" s="2" t="s">
        <v>839</v>
      </c>
      <c r="B2046" s="2" t="s">
        <v>447</v>
      </c>
      <c r="C2046" s="2" t="s">
        <v>848</v>
      </c>
      <c r="D2046" s="2" t="s">
        <v>849</v>
      </c>
      <c r="E2046" s="2" t="s">
        <v>850</v>
      </c>
      <c r="F2046" s="3">
        <v>59</v>
      </c>
      <c r="G2046" s="4">
        <v>60</v>
      </c>
      <c r="H2046" s="5">
        <v>0</v>
      </c>
    </row>
    <row r="2047" spans="1:8" x14ac:dyDescent="0.35">
      <c r="A2047" s="2" t="s">
        <v>839</v>
      </c>
      <c r="B2047" s="2" t="s">
        <v>447</v>
      </c>
      <c r="C2047" s="2" t="s">
        <v>851</v>
      </c>
      <c r="D2047" s="2" t="s">
        <v>852</v>
      </c>
      <c r="E2047" s="2" t="s">
        <v>248</v>
      </c>
      <c r="F2047" s="3">
        <v>320</v>
      </c>
      <c r="G2047" s="4">
        <v>60</v>
      </c>
      <c r="H2047" s="5">
        <v>0</v>
      </c>
    </row>
    <row r="2048" spans="1:8" x14ac:dyDescent="0.35">
      <c r="A2048" s="2" t="s">
        <v>839</v>
      </c>
      <c r="B2048" s="2" t="s">
        <v>447</v>
      </c>
      <c r="C2048" s="2" t="s">
        <v>853</v>
      </c>
      <c r="D2048" s="2" t="s">
        <v>854</v>
      </c>
      <c r="E2048" s="2" t="s">
        <v>378</v>
      </c>
      <c r="F2048" s="3">
        <v>150</v>
      </c>
      <c r="G2048" s="4">
        <v>60</v>
      </c>
      <c r="H2048" s="5">
        <v>0</v>
      </c>
    </row>
    <row r="2049" spans="1:8" x14ac:dyDescent="0.35">
      <c r="A2049" s="2" t="s">
        <v>839</v>
      </c>
      <c r="B2049" s="2" t="s">
        <v>447</v>
      </c>
      <c r="C2049" s="2" t="s">
        <v>855</v>
      </c>
      <c r="D2049" s="2" t="s">
        <v>856</v>
      </c>
      <c r="E2049" s="2" t="s">
        <v>204</v>
      </c>
      <c r="F2049" s="3">
        <v>120</v>
      </c>
      <c r="G2049" s="4">
        <v>60</v>
      </c>
      <c r="H2049" s="5">
        <v>0</v>
      </c>
    </row>
    <row r="2050" spans="1:8" x14ac:dyDescent="0.35">
      <c r="A2050" s="2" t="s">
        <v>839</v>
      </c>
      <c r="B2050" s="2" t="s">
        <v>447</v>
      </c>
      <c r="C2050" s="2" t="s">
        <v>857</v>
      </c>
      <c r="D2050" s="2" t="s">
        <v>858</v>
      </c>
      <c r="E2050" s="2" t="s">
        <v>486</v>
      </c>
      <c r="F2050" s="3">
        <v>500</v>
      </c>
      <c r="G2050" s="4">
        <v>60</v>
      </c>
      <c r="H2050" s="5">
        <v>0</v>
      </c>
    </row>
    <row r="2051" spans="1:8" x14ac:dyDescent="0.35">
      <c r="A2051" s="2" t="s">
        <v>839</v>
      </c>
      <c r="B2051" s="2" t="s">
        <v>447</v>
      </c>
      <c r="C2051" s="2" t="s">
        <v>859</v>
      </c>
      <c r="D2051" s="2" t="s">
        <v>860</v>
      </c>
      <c r="E2051" s="2" t="s">
        <v>861</v>
      </c>
      <c r="F2051" s="3">
        <v>45</v>
      </c>
      <c r="G2051" s="4">
        <v>36</v>
      </c>
      <c r="H2051" s="5">
        <v>0</v>
      </c>
    </row>
    <row r="2052" spans="1:8" x14ac:dyDescent="0.35">
      <c r="A2052" s="2" t="s">
        <v>839</v>
      </c>
      <c r="B2052" s="2" t="s">
        <v>447</v>
      </c>
      <c r="C2052" s="2" t="s">
        <v>862</v>
      </c>
      <c r="D2052" s="2" t="s">
        <v>863</v>
      </c>
      <c r="E2052" s="2" t="s">
        <v>864</v>
      </c>
      <c r="F2052" s="3">
        <v>60</v>
      </c>
      <c r="G2052" s="4">
        <v>36</v>
      </c>
      <c r="H2052" s="5">
        <v>0</v>
      </c>
    </row>
    <row r="2053" spans="1:8" x14ac:dyDescent="0.35">
      <c r="A2053" s="2" t="s">
        <v>839</v>
      </c>
      <c r="B2053" s="2" t="s">
        <v>447</v>
      </c>
      <c r="C2053" s="2" t="s">
        <v>865</v>
      </c>
      <c r="D2053" s="2" t="s">
        <v>866</v>
      </c>
      <c r="E2053" s="2" t="s">
        <v>867</v>
      </c>
      <c r="F2053" s="3">
        <v>70</v>
      </c>
      <c r="G2053" s="4">
        <v>36</v>
      </c>
      <c r="H2053" s="5">
        <v>0</v>
      </c>
    </row>
    <row r="2054" spans="1:8" x14ac:dyDescent="0.35">
      <c r="A2054" s="2" t="s">
        <v>839</v>
      </c>
      <c r="B2054" s="2" t="s">
        <v>447</v>
      </c>
      <c r="C2054" s="2" t="s">
        <v>868</v>
      </c>
      <c r="D2054" s="2" t="s">
        <v>869</v>
      </c>
      <c r="E2054" s="2" t="s">
        <v>104</v>
      </c>
      <c r="F2054" s="3">
        <v>42</v>
      </c>
      <c r="G2054" s="4">
        <v>48</v>
      </c>
      <c r="H2054" s="5">
        <v>0</v>
      </c>
    </row>
    <row r="2055" spans="1:8" x14ac:dyDescent="0.35">
      <c r="A2055" s="2" t="s">
        <v>839</v>
      </c>
      <c r="B2055" s="2" t="s">
        <v>447</v>
      </c>
      <c r="C2055" s="2" t="s">
        <v>870</v>
      </c>
      <c r="D2055" s="2" t="s">
        <v>871</v>
      </c>
      <c r="E2055" s="2" t="s">
        <v>872</v>
      </c>
      <c r="F2055" s="3">
        <v>130</v>
      </c>
      <c r="G2055" s="4">
        <v>60</v>
      </c>
      <c r="H2055" s="5">
        <v>0</v>
      </c>
    </row>
    <row r="2056" spans="1:8" x14ac:dyDescent="0.35">
      <c r="A2056" s="2" t="s">
        <v>839</v>
      </c>
      <c r="B2056" s="2" t="s">
        <v>447</v>
      </c>
      <c r="C2056" s="2" t="s">
        <v>873</v>
      </c>
      <c r="D2056" s="2" t="s">
        <v>874</v>
      </c>
      <c r="E2056" s="2" t="s">
        <v>875</v>
      </c>
      <c r="F2056" s="3">
        <v>10</v>
      </c>
      <c r="G2056" s="4">
        <v>36</v>
      </c>
      <c r="H2056" s="5">
        <v>0</v>
      </c>
    </row>
    <row r="2057" spans="1:8" x14ac:dyDescent="0.35">
      <c r="A2057" s="2" t="s">
        <v>839</v>
      </c>
      <c r="B2057" s="2" t="s">
        <v>447</v>
      </c>
      <c r="C2057" s="2" t="s">
        <v>876</v>
      </c>
      <c r="D2057" s="2" t="s">
        <v>877</v>
      </c>
      <c r="E2057" s="2" t="s">
        <v>878</v>
      </c>
      <c r="F2057" s="3">
        <v>18</v>
      </c>
      <c r="G2057" s="4">
        <v>36</v>
      </c>
      <c r="H2057" s="5">
        <v>0</v>
      </c>
    </row>
    <row r="2058" spans="1:8" x14ac:dyDescent="0.35">
      <c r="A2058" s="2" t="s">
        <v>839</v>
      </c>
      <c r="B2058" s="2" t="s">
        <v>447</v>
      </c>
      <c r="C2058" s="2" t="s">
        <v>879</v>
      </c>
      <c r="D2058" s="2" t="s">
        <v>880</v>
      </c>
      <c r="E2058" s="2" t="s">
        <v>881</v>
      </c>
      <c r="F2058" s="3">
        <v>49</v>
      </c>
      <c r="G2058" s="4">
        <v>36</v>
      </c>
      <c r="H2058" s="5">
        <v>0</v>
      </c>
    </row>
    <row r="2059" spans="1:8" x14ac:dyDescent="0.35">
      <c r="A2059" s="2" t="s">
        <v>839</v>
      </c>
      <c r="B2059" s="2" t="s">
        <v>447</v>
      </c>
      <c r="C2059" s="2" t="s">
        <v>882</v>
      </c>
      <c r="D2059" s="2" t="s">
        <v>883</v>
      </c>
      <c r="E2059" s="2" t="s">
        <v>136</v>
      </c>
      <c r="F2059" s="3">
        <v>25.8</v>
      </c>
      <c r="G2059" s="4">
        <v>12</v>
      </c>
      <c r="H2059" s="5">
        <v>0</v>
      </c>
    </row>
    <row r="2060" spans="1:8" x14ac:dyDescent="0.35">
      <c r="A2060" s="2" t="s">
        <v>839</v>
      </c>
      <c r="B2060" s="2" t="s">
        <v>447</v>
      </c>
      <c r="C2060" s="2" t="s">
        <v>884</v>
      </c>
      <c r="D2060" s="2" t="s">
        <v>885</v>
      </c>
      <c r="E2060" s="6" t="s">
        <v>147</v>
      </c>
      <c r="F2060" s="3">
        <v>2000</v>
      </c>
      <c r="G2060" s="4">
        <v>60</v>
      </c>
      <c r="H2060" s="5">
        <v>7.4999999999999997E-3</v>
      </c>
    </row>
    <row r="2061" spans="1:8" x14ac:dyDescent="0.35">
      <c r="A2061" s="2" t="s">
        <v>839</v>
      </c>
      <c r="B2061" s="2" t="s">
        <v>447</v>
      </c>
      <c r="C2061" s="2" t="s">
        <v>886</v>
      </c>
      <c r="D2061" s="2" t="s">
        <v>887</v>
      </c>
      <c r="E2061" s="2" t="s">
        <v>125</v>
      </c>
      <c r="F2061" s="3">
        <v>25.8</v>
      </c>
      <c r="G2061" s="4">
        <v>12</v>
      </c>
      <c r="H2061" s="5">
        <v>0</v>
      </c>
    </row>
    <row r="2062" spans="1:8" x14ac:dyDescent="0.35">
      <c r="A2062" s="2" t="s">
        <v>839</v>
      </c>
      <c r="B2062" s="2" t="s">
        <v>787</v>
      </c>
      <c r="C2062" s="2" t="s">
        <v>840</v>
      </c>
      <c r="D2062" s="2" t="s">
        <v>841</v>
      </c>
      <c r="E2062" s="2" t="s">
        <v>46</v>
      </c>
      <c r="F2062" s="3">
        <v>500</v>
      </c>
      <c r="G2062" s="4">
        <v>60</v>
      </c>
      <c r="H2062" s="5">
        <v>7.4999999999999997E-3</v>
      </c>
    </row>
    <row r="2063" spans="1:8" x14ac:dyDescent="0.35">
      <c r="A2063" s="2" t="s">
        <v>839</v>
      </c>
      <c r="B2063" s="2" t="s">
        <v>787</v>
      </c>
      <c r="C2063" s="2" t="s">
        <v>842</v>
      </c>
      <c r="D2063" s="2" t="s">
        <v>843</v>
      </c>
      <c r="E2063" s="2" t="s">
        <v>48</v>
      </c>
      <c r="F2063" s="3">
        <v>275.35000000000002</v>
      </c>
      <c r="G2063" s="4">
        <v>60</v>
      </c>
      <c r="H2063" s="5">
        <v>0</v>
      </c>
    </row>
    <row r="2064" spans="1:8" x14ac:dyDescent="0.35">
      <c r="A2064" s="2" t="s">
        <v>839</v>
      </c>
      <c r="B2064" s="2" t="s">
        <v>787</v>
      </c>
      <c r="C2064" s="2" t="s">
        <v>742</v>
      </c>
      <c r="D2064" s="2" t="s">
        <v>743</v>
      </c>
      <c r="E2064" s="2" t="s">
        <v>92</v>
      </c>
      <c r="F2064" s="3">
        <v>1100</v>
      </c>
      <c r="G2064" s="4">
        <v>60</v>
      </c>
      <c r="H2064" s="5">
        <v>0</v>
      </c>
    </row>
    <row r="2065" spans="1:8" x14ac:dyDescent="0.35">
      <c r="A2065" s="2" t="s">
        <v>839</v>
      </c>
      <c r="B2065" s="2" t="s">
        <v>787</v>
      </c>
      <c r="C2065" s="2" t="s">
        <v>844</v>
      </c>
      <c r="D2065" s="2" t="s">
        <v>845</v>
      </c>
      <c r="E2065" s="2" t="s">
        <v>260</v>
      </c>
      <c r="F2065" s="3">
        <v>25795</v>
      </c>
      <c r="G2065" s="4">
        <v>60</v>
      </c>
      <c r="H2065" s="5">
        <v>0.04</v>
      </c>
    </row>
    <row r="2066" spans="1:8" x14ac:dyDescent="0.35">
      <c r="A2066" s="2" t="s">
        <v>839</v>
      </c>
      <c r="B2066" s="2" t="s">
        <v>787</v>
      </c>
      <c r="C2066" s="2" t="s">
        <v>846</v>
      </c>
      <c r="D2066" s="2" t="s">
        <v>847</v>
      </c>
      <c r="E2066" s="2" t="s">
        <v>322</v>
      </c>
      <c r="F2066" s="3">
        <v>48.6</v>
      </c>
      <c r="G2066" s="4">
        <v>60</v>
      </c>
      <c r="H2066" s="5">
        <v>0</v>
      </c>
    </row>
    <row r="2067" spans="1:8" x14ac:dyDescent="0.35">
      <c r="A2067" s="2" t="s">
        <v>839</v>
      </c>
      <c r="B2067" s="2" t="s">
        <v>787</v>
      </c>
      <c r="C2067" s="2" t="s">
        <v>848</v>
      </c>
      <c r="D2067" s="2" t="s">
        <v>849</v>
      </c>
      <c r="E2067" s="2" t="s">
        <v>850</v>
      </c>
      <c r="F2067" s="3">
        <v>59</v>
      </c>
      <c r="G2067" s="4">
        <v>60</v>
      </c>
      <c r="H2067" s="5">
        <v>0</v>
      </c>
    </row>
    <row r="2068" spans="1:8" x14ac:dyDescent="0.35">
      <c r="A2068" s="2" t="s">
        <v>839</v>
      </c>
      <c r="B2068" s="2" t="s">
        <v>787</v>
      </c>
      <c r="C2068" s="2" t="s">
        <v>851</v>
      </c>
      <c r="D2068" s="2" t="s">
        <v>852</v>
      </c>
      <c r="E2068" s="2" t="s">
        <v>248</v>
      </c>
      <c r="F2068" s="3">
        <v>382.3</v>
      </c>
      <c r="G2068" s="4">
        <v>60</v>
      </c>
      <c r="H2068" s="5">
        <v>0</v>
      </c>
    </row>
    <row r="2069" spans="1:8" x14ac:dyDescent="0.35">
      <c r="A2069" s="2" t="s">
        <v>839</v>
      </c>
      <c r="B2069" s="2" t="s">
        <v>787</v>
      </c>
      <c r="C2069" s="2" t="s">
        <v>853</v>
      </c>
      <c r="D2069" s="2" t="s">
        <v>854</v>
      </c>
      <c r="E2069" s="2" t="s">
        <v>378</v>
      </c>
      <c r="F2069" s="3">
        <v>290</v>
      </c>
      <c r="G2069" s="4">
        <v>60</v>
      </c>
      <c r="H2069" s="5">
        <v>0</v>
      </c>
    </row>
    <row r="2070" spans="1:8" x14ac:dyDescent="0.35">
      <c r="A2070" s="2" t="s">
        <v>839</v>
      </c>
      <c r="B2070" s="2" t="s">
        <v>787</v>
      </c>
      <c r="C2070" s="2" t="s">
        <v>855</v>
      </c>
      <c r="D2070" s="2" t="s">
        <v>856</v>
      </c>
      <c r="E2070" s="2" t="s">
        <v>204</v>
      </c>
      <c r="F2070" s="3">
        <v>174</v>
      </c>
      <c r="G2070" s="4">
        <v>60</v>
      </c>
      <c r="H2070" s="5">
        <v>0</v>
      </c>
    </row>
    <row r="2071" spans="1:8" x14ac:dyDescent="0.35">
      <c r="A2071" s="2" t="s">
        <v>839</v>
      </c>
      <c r="B2071" s="2" t="s">
        <v>787</v>
      </c>
      <c r="C2071" s="2" t="s">
        <v>857</v>
      </c>
      <c r="D2071" s="2" t="s">
        <v>858</v>
      </c>
      <c r="E2071" s="2" t="s">
        <v>486</v>
      </c>
      <c r="F2071" s="3">
        <v>555.74</v>
      </c>
      <c r="G2071" s="4">
        <v>60</v>
      </c>
      <c r="H2071" s="5">
        <v>0</v>
      </c>
    </row>
    <row r="2072" spans="1:8" x14ac:dyDescent="0.35">
      <c r="A2072" s="2" t="s">
        <v>839</v>
      </c>
      <c r="B2072" s="2" t="s">
        <v>787</v>
      </c>
      <c r="C2072" s="2" t="s">
        <v>859</v>
      </c>
      <c r="D2072" s="2" t="s">
        <v>860</v>
      </c>
      <c r="E2072" s="2" t="s">
        <v>861</v>
      </c>
      <c r="F2072" s="3">
        <v>65.05</v>
      </c>
      <c r="G2072" s="4">
        <v>36</v>
      </c>
      <c r="H2072" s="5">
        <v>0</v>
      </c>
    </row>
    <row r="2073" spans="1:8" x14ac:dyDescent="0.35">
      <c r="A2073" s="2" t="s">
        <v>839</v>
      </c>
      <c r="B2073" s="2" t="s">
        <v>787</v>
      </c>
      <c r="C2073" s="2" t="s">
        <v>862</v>
      </c>
      <c r="D2073" s="2" t="s">
        <v>863</v>
      </c>
      <c r="E2073" s="2" t="s">
        <v>864</v>
      </c>
      <c r="F2073" s="3">
        <v>135.80000000000001</v>
      </c>
      <c r="G2073" s="4">
        <v>36</v>
      </c>
      <c r="H2073" s="5">
        <v>0</v>
      </c>
    </row>
    <row r="2074" spans="1:8" x14ac:dyDescent="0.35">
      <c r="A2074" s="2" t="s">
        <v>839</v>
      </c>
      <c r="B2074" s="2" t="s">
        <v>787</v>
      </c>
      <c r="C2074" s="2" t="s">
        <v>865</v>
      </c>
      <c r="D2074" s="2" t="s">
        <v>866</v>
      </c>
      <c r="E2074" s="2" t="s">
        <v>867</v>
      </c>
      <c r="F2074" s="3">
        <v>125.85</v>
      </c>
      <c r="G2074" s="4">
        <v>36</v>
      </c>
      <c r="H2074" s="5">
        <v>0</v>
      </c>
    </row>
    <row r="2075" spans="1:8" x14ac:dyDescent="0.35">
      <c r="A2075" s="2" t="s">
        <v>839</v>
      </c>
      <c r="B2075" s="2" t="s">
        <v>787</v>
      </c>
      <c r="C2075" s="2" t="s">
        <v>868</v>
      </c>
      <c r="D2075" s="2" t="s">
        <v>869</v>
      </c>
      <c r="E2075" s="2" t="s">
        <v>104</v>
      </c>
      <c r="F2075" s="3">
        <v>42</v>
      </c>
      <c r="G2075" s="4">
        <v>48</v>
      </c>
      <c r="H2075" s="5">
        <v>0</v>
      </c>
    </row>
    <row r="2076" spans="1:8" x14ac:dyDescent="0.35">
      <c r="A2076" s="2" t="s">
        <v>839</v>
      </c>
      <c r="B2076" s="2" t="s">
        <v>787</v>
      </c>
      <c r="C2076" s="2" t="s">
        <v>870</v>
      </c>
      <c r="D2076" s="2" t="s">
        <v>871</v>
      </c>
      <c r="E2076" s="2" t="s">
        <v>872</v>
      </c>
      <c r="F2076" s="3">
        <v>130</v>
      </c>
      <c r="G2076" s="4">
        <v>60</v>
      </c>
      <c r="H2076" s="5">
        <v>0</v>
      </c>
    </row>
    <row r="2077" spans="1:8" x14ac:dyDescent="0.35">
      <c r="A2077" s="2" t="s">
        <v>839</v>
      </c>
      <c r="B2077" s="2" t="s">
        <v>787</v>
      </c>
      <c r="C2077" s="2" t="s">
        <v>873</v>
      </c>
      <c r="D2077" s="2" t="s">
        <v>874</v>
      </c>
      <c r="E2077" s="2" t="s">
        <v>875</v>
      </c>
      <c r="F2077" s="3">
        <v>10</v>
      </c>
      <c r="G2077" s="4">
        <v>36</v>
      </c>
      <c r="H2077" s="5">
        <v>0</v>
      </c>
    </row>
    <row r="2078" spans="1:8" x14ac:dyDescent="0.35">
      <c r="A2078" s="2" t="s">
        <v>839</v>
      </c>
      <c r="B2078" s="2" t="s">
        <v>787</v>
      </c>
      <c r="C2078" s="2" t="s">
        <v>876</v>
      </c>
      <c r="D2078" s="2" t="s">
        <v>877</v>
      </c>
      <c r="E2078" s="2" t="s">
        <v>878</v>
      </c>
      <c r="F2078" s="3">
        <v>18</v>
      </c>
      <c r="G2078" s="4">
        <v>36</v>
      </c>
      <c r="H2078" s="5">
        <v>0</v>
      </c>
    </row>
    <row r="2079" spans="1:8" x14ac:dyDescent="0.35">
      <c r="A2079" s="2" t="s">
        <v>839</v>
      </c>
      <c r="B2079" s="2" t="s">
        <v>787</v>
      </c>
      <c r="C2079" s="2" t="s">
        <v>879</v>
      </c>
      <c r="D2079" s="2" t="s">
        <v>880</v>
      </c>
      <c r="E2079" s="2" t="s">
        <v>881</v>
      </c>
      <c r="F2079" s="3">
        <v>49</v>
      </c>
      <c r="G2079" s="4">
        <v>36</v>
      </c>
      <c r="H2079" s="5">
        <v>0</v>
      </c>
    </row>
    <row r="2080" spans="1:8" x14ac:dyDescent="0.35">
      <c r="A2080" s="2" t="s">
        <v>839</v>
      </c>
      <c r="B2080" s="2" t="s">
        <v>787</v>
      </c>
      <c r="C2080" s="2" t="s">
        <v>882</v>
      </c>
      <c r="D2080" s="2" t="s">
        <v>883</v>
      </c>
      <c r="E2080" s="2" t="s">
        <v>136</v>
      </c>
      <c r="F2080" s="3">
        <v>25.8</v>
      </c>
      <c r="G2080" s="4">
        <v>12</v>
      </c>
      <c r="H2080" s="5">
        <v>0</v>
      </c>
    </row>
    <row r="2081" spans="1:8" x14ac:dyDescent="0.35">
      <c r="A2081" s="2" t="s">
        <v>839</v>
      </c>
      <c r="B2081" s="2" t="s">
        <v>787</v>
      </c>
      <c r="C2081" s="2" t="s">
        <v>884</v>
      </c>
      <c r="D2081" s="2" t="s">
        <v>885</v>
      </c>
      <c r="E2081" s="6" t="s">
        <v>147</v>
      </c>
      <c r="F2081" s="3">
        <v>2000</v>
      </c>
      <c r="G2081" s="4">
        <v>60</v>
      </c>
      <c r="H2081" s="5">
        <v>7.4999999999999997E-3</v>
      </c>
    </row>
    <row r="2082" spans="1:8" x14ac:dyDescent="0.35">
      <c r="A2082" s="2" t="s">
        <v>839</v>
      </c>
      <c r="B2082" s="2" t="s">
        <v>787</v>
      </c>
      <c r="C2082" s="2" t="s">
        <v>886</v>
      </c>
      <c r="D2082" s="2" t="s">
        <v>887</v>
      </c>
      <c r="E2082" s="2" t="s">
        <v>125</v>
      </c>
      <c r="F2082" s="3">
        <v>25.8</v>
      </c>
      <c r="G2082" s="4">
        <v>12</v>
      </c>
      <c r="H2082" s="5">
        <v>0</v>
      </c>
    </row>
    <row r="2083" spans="1:8" x14ac:dyDescent="0.35">
      <c r="A2083" s="2" t="s">
        <v>839</v>
      </c>
      <c r="B2083" s="2" t="s">
        <v>509</v>
      </c>
      <c r="C2083" s="2" t="s">
        <v>840</v>
      </c>
      <c r="D2083" s="2" t="s">
        <v>841</v>
      </c>
      <c r="E2083" s="2" t="s">
        <v>46</v>
      </c>
      <c r="F2083" s="3">
        <v>3740.64</v>
      </c>
      <c r="G2083" s="4">
        <v>36</v>
      </c>
      <c r="H2083" s="5">
        <v>0.01</v>
      </c>
    </row>
    <row r="2084" spans="1:8" x14ac:dyDescent="0.35">
      <c r="A2084" s="2" t="s">
        <v>839</v>
      </c>
      <c r="B2084" s="2" t="s">
        <v>509</v>
      </c>
      <c r="C2084" s="2" t="s">
        <v>842</v>
      </c>
      <c r="D2084" s="2" t="s">
        <v>843</v>
      </c>
      <c r="E2084" s="2" t="s">
        <v>48</v>
      </c>
      <c r="F2084" s="3">
        <v>576.47</v>
      </c>
      <c r="G2084" s="4">
        <v>20</v>
      </c>
      <c r="H2084" s="5">
        <v>0.01</v>
      </c>
    </row>
    <row r="2085" spans="1:8" x14ac:dyDescent="0.35">
      <c r="A2085" s="2" t="s">
        <v>839</v>
      </c>
      <c r="B2085" s="2" t="s">
        <v>509</v>
      </c>
      <c r="C2085" s="2" t="s">
        <v>742</v>
      </c>
      <c r="D2085" s="2" t="s">
        <v>743</v>
      </c>
      <c r="E2085" s="2" t="s">
        <v>92</v>
      </c>
      <c r="F2085" s="3">
        <v>3860.71</v>
      </c>
      <c r="G2085" s="4">
        <v>60</v>
      </c>
      <c r="H2085" s="5">
        <v>0.01</v>
      </c>
    </row>
    <row r="2086" spans="1:8" x14ac:dyDescent="0.35">
      <c r="A2086" s="2" t="s">
        <v>839</v>
      </c>
      <c r="B2086" s="2" t="s">
        <v>509</v>
      </c>
      <c r="C2086" s="2" t="s">
        <v>844</v>
      </c>
      <c r="D2086" s="2" t="s">
        <v>845</v>
      </c>
      <c r="E2086" s="2" t="s">
        <v>260</v>
      </c>
      <c r="F2086" s="3">
        <v>918.48</v>
      </c>
      <c r="G2086" s="4">
        <v>1</v>
      </c>
      <c r="H2086" s="5">
        <v>0</v>
      </c>
    </row>
    <row r="2087" spans="1:8" x14ac:dyDescent="0.35">
      <c r="A2087" s="2" t="s">
        <v>839</v>
      </c>
      <c r="B2087" s="2" t="s">
        <v>509</v>
      </c>
      <c r="C2087" s="2" t="s">
        <v>846</v>
      </c>
      <c r="D2087" s="2" t="s">
        <v>847</v>
      </c>
      <c r="E2087" s="2" t="s">
        <v>322</v>
      </c>
      <c r="F2087" s="3">
        <v>44.07</v>
      </c>
      <c r="G2087" s="4">
        <v>10</v>
      </c>
      <c r="H2087" s="5">
        <v>0.01</v>
      </c>
    </row>
    <row r="2088" spans="1:8" x14ac:dyDescent="0.35">
      <c r="A2088" s="2" t="s">
        <v>839</v>
      </c>
      <c r="B2088" s="2" t="s">
        <v>509</v>
      </c>
      <c r="C2088" s="2" t="s">
        <v>848</v>
      </c>
      <c r="D2088" s="2" t="s">
        <v>849</v>
      </c>
      <c r="E2088" s="2" t="s">
        <v>850</v>
      </c>
      <c r="F2088" s="3">
        <v>500.4</v>
      </c>
      <c r="G2088" s="4">
        <v>48</v>
      </c>
      <c r="H2088" s="5">
        <v>0.01</v>
      </c>
    </row>
    <row r="2089" spans="1:8" x14ac:dyDescent="0.35">
      <c r="A2089" s="2" t="s">
        <v>839</v>
      </c>
      <c r="B2089" s="2" t="s">
        <v>509</v>
      </c>
      <c r="C2089" s="2" t="s">
        <v>851</v>
      </c>
      <c r="D2089" s="2" t="s">
        <v>852</v>
      </c>
      <c r="E2089" s="2" t="s">
        <v>248</v>
      </c>
      <c r="F2089" s="3">
        <v>108.34</v>
      </c>
      <c r="G2089" s="4">
        <v>36</v>
      </c>
      <c r="H2089" s="5">
        <v>0.01</v>
      </c>
    </row>
    <row r="2090" spans="1:8" x14ac:dyDescent="0.35">
      <c r="A2090" s="2" t="s">
        <v>839</v>
      </c>
      <c r="B2090" s="2" t="s">
        <v>509</v>
      </c>
      <c r="C2090" s="2" t="s">
        <v>853</v>
      </c>
      <c r="D2090" s="2" t="s">
        <v>854</v>
      </c>
      <c r="E2090" s="2" t="s">
        <v>378</v>
      </c>
      <c r="F2090" s="3">
        <v>323.44</v>
      </c>
      <c r="G2090" s="4">
        <v>36</v>
      </c>
      <c r="H2090" s="5">
        <v>0.01</v>
      </c>
    </row>
    <row r="2091" spans="1:8" x14ac:dyDescent="0.35">
      <c r="A2091" s="2" t="s">
        <v>839</v>
      </c>
      <c r="B2091" s="2" t="s">
        <v>509</v>
      </c>
      <c r="C2091" s="2" t="s">
        <v>855</v>
      </c>
      <c r="D2091" s="2" t="s">
        <v>856</v>
      </c>
      <c r="E2091" s="2" t="s">
        <v>204</v>
      </c>
      <c r="F2091" s="3">
        <v>891.44</v>
      </c>
      <c r="G2091" s="4">
        <v>36</v>
      </c>
      <c r="H2091" s="5">
        <v>0.01</v>
      </c>
    </row>
    <row r="2092" spans="1:8" x14ac:dyDescent="0.35">
      <c r="A2092" s="2" t="s">
        <v>839</v>
      </c>
      <c r="B2092" s="2" t="s">
        <v>509</v>
      </c>
      <c r="C2092" s="2" t="s">
        <v>857</v>
      </c>
      <c r="D2092" s="2" t="s">
        <v>858</v>
      </c>
      <c r="E2092" s="2" t="s">
        <v>486</v>
      </c>
      <c r="F2092" s="3">
        <v>715</v>
      </c>
      <c r="G2092" s="4">
        <v>36</v>
      </c>
      <c r="H2092" s="5">
        <v>0.01</v>
      </c>
    </row>
    <row r="2093" spans="1:8" x14ac:dyDescent="0.35">
      <c r="A2093" s="2" t="s">
        <v>839</v>
      </c>
      <c r="B2093" s="2" t="s">
        <v>509</v>
      </c>
      <c r="C2093" s="2" t="s">
        <v>859</v>
      </c>
      <c r="D2093" s="2" t="s">
        <v>860</v>
      </c>
      <c r="E2093" s="2" t="s">
        <v>861</v>
      </c>
      <c r="F2093" s="3">
        <v>45</v>
      </c>
      <c r="G2093" s="4">
        <v>36</v>
      </c>
      <c r="H2093" s="5">
        <v>0</v>
      </c>
    </row>
    <row r="2094" spans="1:8" x14ac:dyDescent="0.35">
      <c r="A2094" s="2" t="s">
        <v>839</v>
      </c>
      <c r="B2094" s="2" t="s">
        <v>509</v>
      </c>
      <c r="C2094" s="2" t="s">
        <v>862</v>
      </c>
      <c r="D2094" s="2" t="s">
        <v>863</v>
      </c>
      <c r="E2094" s="2" t="s">
        <v>864</v>
      </c>
      <c r="F2094" s="3">
        <v>60</v>
      </c>
      <c r="G2094" s="4">
        <v>36</v>
      </c>
      <c r="H2094" s="5">
        <v>0</v>
      </c>
    </row>
    <row r="2095" spans="1:8" x14ac:dyDescent="0.35">
      <c r="A2095" s="2" t="s">
        <v>839</v>
      </c>
      <c r="B2095" s="2" t="s">
        <v>509</v>
      </c>
      <c r="C2095" s="2" t="s">
        <v>865</v>
      </c>
      <c r="D2095" s="2" t="s">
        <v>866</v>
      </c>
      <c r="E2095" s="2" t="s">
        <v>867</v>
      </c>
      <c r="F2095" s="3">
        <v>70</v>
      </c>
      <c r="G2095" s="4">
        <v>36</v>
      </c>
      <c r="H2095" s="5">
        <v>0</v>
      </c>
    </row>
    <row r="2096" spans="1:8" x14ac:dyDescent="0.35">
      <c r="A2096" s="2" t="s">
        <v>839</v>
      </c>
      <c r="B2096" s="2" t="s">
        <v>509</v>
      </c>
      <c r="C2096" s="2" t="s">
        <v>868</v>
      </c>
      <c r="D2096" s="2" t="s">
        <v>869</v>
      </c>
      <c r="E2096" s="2" t="s">
        <v>104</v>
      </c>
      <c r="F2096" s="3">
        <v>54.33</v>
      </c>
      <c r="G2096" s="4">
        <v>12</v>
      </c>
      <c r="H2096" s="5">
        <v>0.01</v>
      </c>
    </row>
    <row r="2097" spans="1:8" x14ac:dyDescent="0.35">
      <c r="A2097" s="2" t="s">
        <v>839</v>
      </c>
      <c r="B2097" s="2" t="s">
        <v>509</v>
      </c>
      <c r="C2097" s="2" t="s">
        <v>870</v>
      </c>
      <c r="D2097" s="2" t="s">
        <v>871</v>
      </c>
      <c r="E2097" s="2" t="s">
        <v>872</v>
      </c>
      <c r="F2097" s="3">
        <v>130</v>
      </c>
      <c r="G2097" s="4">
        <v>60</v>
      </c>
      <c r="H2097" s="5">
        <v>0</v>
      </c>
    </row>
    <row r="2098" spans="1:8" x14ac:dyDescent="0.35">
      <c r="A2098" s="2" t="s">
        <v>839</v>
      </c>
      <c r="B2098" s="2" t="s">
        <v>509</v>
      </c>
      <c r="C2098" s="2" t="s">
        <v>873</v>
      </c>
      <c r="D2098" s="2" t="s">
        <v>874</v>
      </c>
      <c r="E2098" s="2" t="s">
        <v>875</v>
      </c>
      <c r="F2098" s="3">
        <v>11.9</v>
      </c>
      <c r="G2098" s="4">
        <v>7</v>
      </c>
      <c r="H2098" s="5">
        <v>0.01</v>
      </c>
    </row>
    <row r="2099" spans="1:8" x14ac:dyDescent="0.35">
      <c r="A2099" s="2" t="s">
        <v>839</v>
      </c>
      <c r="B2099" s="2" t="s">
        <v>509</v>
      </c>
      <c r="C2099" s="2" t="s">
        <v>876</v>
      </c>
      <c r="D2099" s="2" t="s">
        <v>877</v>
      </c>
      <c r="E2099" s="2" t="s">
        <v>878</v>
      </c>
      <c r="F2099" s="3">
        <v>18</v>
      </c>
      <c r="G2099" s="4">
        <v>7</v>
      </c>
      <c r="H2099" s="5">
        <v>0.01</v>
      </c>
    </row>
    <row r="2100" spans="1:8" x14ac:dyDescent="0.35">
      <c r="A2100" s="2" t="s">
        <v>839</v>
      </c>
      <c r="B2100" s="2" t="s">
        <v>509</v>
      </c>
      <c r="C2100" s="2" t="s">
        <v>879</v>
      </c>
      <c r="D2100" s="2" t="s">
        <v>880</v>
      </c>
      <c r="E2100" s="2" t="s">
        <v>881</v>
      </c>
      <c r="F2100" s="3">
        <v>46.26</v>
      </c>
      <c r="G2100" s="4">
        <v>8</v>
      </c>
      <c r="H2100" s="5">
        <v>0.01</v>
      </c>
    </row>
    <row r="2101" spans="1:8" x14ac:dyDescent="0.35">
      <c r="A2101" s="2" t="s">
        <v>839</v>
      </c>
      <c r="B2101" s="2" t="s">
        <v>509</v>
      </c>
      <c r="C2101" s="2" t="s">
        <v>882</v>
      </c>
      <c r="D2101" s="2" t="s">
        <v>883</v>
      </c>
      <c r="E2101" s="2" t="s">
        <v>136</v>
      </c>
      <c r="F2101" s="3">
        <v>26.5</v>
      </c>
      <c r="G2101" s="4">
        <v>12</v>
      </c>
      <c r="H2101" s="5">
        <v>0.01</v>
      </c>
    </row>
    <row r="2102" spans="1:8" x14ac:dyDescent="0.35">
      <c r="A2102" s="2" t="s">
        <v>839</v>
      </c>
      <c r="B2102" s="2" t="s">
        <v>509</v>
      </c>
      <c r="C2102" s="2" t="s">
        <v>884</v>
      </c>
      <c r="D2102" s="2" t="s">
        <v>885</v>
      </c>
      <c r="E2102" s="6" t="s">
        <v>147</v>
      </c>
      <c r="F2102" s="3">
        <v>1916.68</v>
      </c>
      <c r="G2102" s="4">
        <v>36</v>
      </c>
      <c r="H2102" s="5">
        <v>0.01</v>
      </c>
    </row>
    <row r="2103" spans="1:8" x14ac:dyDescent="0.35">
      <c r="A2103" s="2" t="s">
        <v>839</v>
      </c>
      <c r="B2103" s="2" t="s">
        <v>509</v>
      </c>
      <c r="C2103" s="2" t="s">
        <v>886</v>
      </c>
      <c r="D2103" s="2" t="s">
        <v>887</v>
      </c>
      <c r="E2103" s="2" t="s">
        <v>125</v>
      </c>
      <c r="F2103" s="3">
        <v>27.5</v>
      </c>
      <c r="G2103" s="4">
        <v>12</v>
      </c>
      <c r="H2103" s="5">
        <v>0.01</v>
      </c>
    </row>
    <row r="2104" spans="1:8" x14ac:dyDescent="0.35">
      <c r="A2104" s="2" t="s">
        <v>888</v>
      </c>
      <c r="B2104" s="2" t="s">
        <v>510</v>
      </c>
      <c r="C2104" s="2" t="s">
        <v>889</v>
      </c>
      <c r="D2104" s="2" t="s">
        <v>890</v>
      </c>
      <c r="E2104" s="2" t="s">
        <v>260</v>
      </c>
      <c r="F2104" s="3">
        <v>44800</v>
      </c>
      <c r="G2104" s="4">
        <v>36</v>
      </c>
      <c r="H2104" s="5">
        <v>0</v>
      </c>
    </row>
    <row r="2105" spans="1:8" x14ac:dyDescent="0.35">
      <c r="A2105" s="2" t="s">
        <v>888</v>
      </c>
      <c r="B2105" s="2" t="s">
        <v>510</v>
      </c>
      <c r="C2105" s="2" t="s">
        <v>891</v>
      </c>
      <c r="D2105" s="2" t="s">
        <v>892</v>
      </c>
      <c r="E2105" s="2" t="s">
        <v>45</v>
      </c>
      <c r="F2105" s="3">
        <v>4480</v>
      </c>
      <c r="G2105" s="4">
        <v>36</v>
      </c>
      <c r="H2105" s="5">
        <v>0</v>
      </c>
    </row>
    <row r="2106" spans="1:8" x14ac:dyDescent="0.35">
      <c r="A2106" s="2" t="s">
        <v>888</v>
      </c>
      <c r="B2106" s="2" t="s">
        <v>510</v>
      </c>
      <c r="C2106" s="2" t="s">
        <v>893</v>
      </c>
      <c r="D2106" s="2" t="s">
        <v>894</v>
      </c>
      <c r="E2106" s="2" t="s">
        <v>895</v>
      </c>
      <c r="F2106" s="3">
        <v>121.6</v>
      </c>
      <c r="G2106" s="4">
        <v>12</v>
      </c>
      <c r="H2106" s="5">
        <v>0</v>
      </c>
    </row>
    <row r="2107" spans="1:8" x14ac:dyDescent="0.35">
      <c r="A2107" s="2" t="s">
        <v>888</v>
      </c>
      <c r="B2107" s="2" t="s">
        <v>510</v>
      </c>
      <c r="C2107" s="2" t="s">
        <v>896</v>
      </c>
      <c r="D2107" s="2" t="s">
        <v>897</v>
      </c>
      <c r="E2107" s="2" t="s">
        <v>898</v>
      </c>
      <c r="F2107" s="3">
        <v>320</v>
      </c>
      <c r="G2107" s="4">
        <v>12</v>
      </c>
      <c r="H2107" s="5">
        <v>0</v>
      </c>
    </row>
    <row r="2108" spans="1:8" x14ac:dyDescent="0.35">
      <c r="A2108" s="2" t="s">
        <v>888</v>
      </c>
      <c r="B2108" s="2" t="s">
        <v>510</v>
      </c>
      <c r="C2108" s="2" t="s">
        <v>899</v>
      </c>
      <c r="D2108" s="2" t="s">
        <v>900</v>
      </c>
      <c r="E2108" s="2" t="s">
        <v>297</v>
      </c>
      <c r="F2108" s="3">
        <v>115.2</v>
      </c>
      <c r="G2108" s="4">
        <v>12</v>
      </c>
      <c r="H2108" s="5">
        <v>0</v>
      </c>
    </row>
    <row r="2109" spans="1:8" x14ac:dyDescent="0.35">
      <c r="A2109" s="2" t="s">
        <v>888</v>
      </c>
      <c r="B2109" s="2" t="s">
        <v>510</v>
      </c>
      <c r="C2109" s="2" t="s">
        <v>901</v>
      </c>
      <c r="D2109" s="2" t="s">
        <v>902</v>
      </c>
      <c r="E2109" s="2" t="s">
        <v>48</v>
      </c>
      <c r="F2109" s="3">
        <v>115.2</v>
      </c>
      <c r="G2109" s="4">
        <v>12</v>
      </c>
      <c r="H2109" s="5">
        <v>0</v>
      </c>
    </row>
    <row r="2110" spans="1:8" x14ac:dyDescent="0.35">
      <c r="A2110" s="2" t="s">
        <v>888</v>
      </c>
      <c r="B2110" s="2" t="s">
        <v>510</v>
      </c>
      <c r="C2110" s="2" t="s">
        <v>903</v>
      </c>
      <c r="D2110" s="2" t="s">
        <v>904</v>
      </c>
      <c r="E2110" s="2" t="s">
        <v>48</v>
      </c>
      <c r="F2110" s="3">
        <v>115.2</v>
      </c>
      <c r="G2110" s="4">
        <v>12</v>
      </c>
      <c r="H2110" s="5">
        <v>0</v>
      </c>
    </row>
    <row r="2111" spans="1:8" x14ac:dyDescent="0.35">
      <c r="A2111" s="2" t="s">
        <v>888</v>
      </c>
      <c r="B2111" s="2" t="s">
        <v>510</v>
      </c>
      <c r="C2111" s="2" t="s">
        <v>905</v>
      </c>
      <c r="D2111" s="2" t="s">
        <v>906</v>
      </c>
      <c r="E2111" s="2" t="s">
        <v>907</v>
      </c>
      <c r="F2111" s="3">
        <v>512</v>
      </c>
      <c r="G2111" s="4">
        <v>12</v>
      </c>
      <c r="H2111" s="5">
        <v>0</v>
      </c>
    </row>
    <row r="2112" spans="1:8" x14ac:dyDescent="0.35">
      <c r="A2112" s="2" t="s">
        <v>888</v>
      </c>
      <c r="B2112" s="2" t="s">
        <v>510</v>
      </c>
      <c r="C2112" s="2" t="s">
        <v>908</v>
      </c>
      <c r="D2112" s="2" t="s">
        <v>909</v>
      </c>
      <c r="E2112" s="2" t="s">
        <v>92</v>
      </c>
      <c r="F2112" s="3">
        <v>1216</v>
      </c>
      <c r="G2112" s="4">
        <v>12</v>
      </c>
      <c r="H2112" s="5">
        <v>0</v>
      </c>
    </row>
    <row r="2113" spans="1:8" x14ac:dyDescent="0.35">
      <c r="A2113" s="2" t="s">
        <v>888</v>
      </c>
      <c r="B2113" s="2" t="s">
        <v>510</v>
      </c>
      <c r="C2113" s="2" t="s">
        <v>910</v>
      </c>
      <c r="D2113" s="2" t="s">
        <v>911</v>
      </c>
      <c r="E2113" s="2" t="s">
        <v>92</v>
      </c>
      <c r="F2113" s="3">
        <v>1216</v>
      </c>
      <c r="G2113" s="4">
        <v>12</v>
      </c>
      <c r="H2113" s="5">
        <v>0</v>
      </c>
    </row>
    <row r="2114" spans="1:8" x14ac:dyDescent="0.35">
      <c r="A2114" s="2" t="s">
        <v>888</v>
      </c>
      <c r="B2114" s="2" t="s">
        <v>510</v>
      </c>
      <c r="C2114" s="2" t="s">
        <v>912</v>
      </c>
      <c r="D2114" s="2" t="s">
        <v>913</v>
      </c>
      <c r="E2114" s="2" t="s">
        <v>92</v>
      </c>
      <c r="F2114" s="3">
        <v>1216</v>
      </c>
      <c r="G2114" s="4">
        <v>12</v>
      </c>
      <c r="H2114" s="5">
        <v>0</v>
      </c>
    </row>
    <row r="2115" spans="1:8" x14ac:dyDescent="0.35">
      <c r="A2115" s="2" t="s">
        <v>888</v>
      </c>
      <c r="B2115" s="2" t="s">
        <v>510</v>
      </c>
      <c r="C2115" s="2" t="s">
        <v>914</v>
      </c>
      <c r="D2115" s="2" t="s">
        <v>915</v>
      </c>
      <c r="E2115" s="2" t="s">
        <v>916</v>
      </c>
      <c r="F2115" s="3">
        <v>64</v>
      </c>
      <c r="G2115" s="4">
        <v>6</v>
      </c>
      <c r="H2115" s="5">
        <v>0</v>
      </c>
    </row>
    <row r="2116" spans="1:8" x14ac:dyDescent="0.35">
      <c r="A2116" s="2" t="s">
        <v>888</v>
      </c>
      <c r="B2116" s="2" t="s">
        <v>510</v>
      </c>
      <c r="C2116" s="2" t="s">
        <v>917</v>
      </c>
      <c r="D2116" s="2" t="s">
        <v>918</v>
      </c>
      <c r="E2116" s="2" t="s">
        <v>115</v>
      </c>
      <c r="F2116" s="3">
        <v>320</v>
      </c>
      <c r="G2116" s="4">
        <v>12</v>
      </c>
      <c r="H2116" s="5">
        <v>0</v>
      </c>
    </row>
    <row r="2117" spans="1:8" x14ac:dyDescent="0.35">
      <c r="A2117" s="2" t="s">
        <v>888</v>
      </c>
      <c r="B2117" s="2" t="s">
        <v>510</v>
      </c>
      <c r="C2117" s="2" t="s">
        <v>919</v>
      </c>
      <c r="D2117" s="2" t="s">
        <v>920</v>
      </c>
      <c r="E2117" s="2" t="s">
        <v>115</v>
      </c>
      <c r="F2117" s="3">
        <v>320</v>
      </c>
      <c r="G2117" s="4">
        <v>12</v>
      </c>
      <c r="H2117" s="5">
        <v>0</v>
      </c>
    </row>
    <row r="2118" spans="1:8" x14ac:dyDescent="0.35">
      <c r="A2118" s="2" t="s">
        <v>888</v>
      </c>
      <c r="B2118" s="2" t="s">
        <v>510</v>
      </c>
      <c r="C2118" s="2" t="s">
        <v>921</v>
      </c>
      <c r="D2118" s="2" t="s">
        <v>922</v>
      </c>
      <c r="E2118" s="2" t="s">
        <v>923</v>
      </c>
      <c r="F2118" s="3">
        <v>4480</v>
      </c>
      <c r="G2118" s="4">
        <v>36</v>
      </c>
      <c r="H2118" s="5">
        <v>0</v>
      </c>
    </row>
    <row r="2119" spans="1:8" ht="14.5" customHeight="1" x14ac:dyDescent="0.35">
      <c r="A2119" s="2" t="s">
        <v>888</v>
      </c>
      <c r="B2119" s="2" t="s">
        <v>510</v>
      </c>
      <c r="C2119" s="2" t="s">
        <v>924</v>
      </c>
      <c r="D2119" s="2" t="s">
        <v>925</v>
      </c>
      <c r="E2119" s="2" t="s">
        <v>136</v>
      </c>
      <c r="F2119" s="3">
        <v>64</v>
      </c>
      <c r="G2119" s="4">
        <v>3</v>
      </c>
      <c r="H2119" s="5">
        <v>0</v>
      </c>
    </row>
    <row r="2120" spans="1:8" ht="14.5" customHeight="1" x14ac:dyDescent="0.35">
      <c r="A2120" s="2" t="s">
        <v>888</v>
      </c>
      <c r="B2120" s="2" t="s">
        <v>510</v>
      </c>
      <c r="C2120" s="2" t="s">
        <v>926</v>
      </c>
      <c r="D2120" s="2" t="s">
        <v>927</v>
      </c>
      <c r="E2120" s="2" t="s">
        <v>125</v>
      </c>
      <c r="F2120" s="3">
        <v>64</v>
      </c>
      <c r="G2120" s="4">
        <v>3</v>
      </c>
      <c r="H2120" s="5">
        <v>0</v>
      </c>
    </row>
    <row r="2121" spans="1:8" x14ac:dyDescent="0.35">
      <c r="A2121" s="2" t="s">
        <v>888</v>
      </c>
      <c r="B2121" s="2" t="s">
        <v>510</v>
      </c>
      <c r="C2121" s="2" t="s">
        <v>928</v>
      </c>
      <c r="D2121" s="2" t="s">
        <v>929</v>
      </c>
      <c r="E2121" s="2" t="s">
        <v>930</v>
      </c>
      <c r="F2121" s="3">
        <v>102.4</v>
      </c>
      <c r="G2121" s="4">
        <v>6</v>
      </c>
      <c r="H2121" s="5">
        <v>0</v>
      </c>
    </row>
    <row r="2122" spans="1:8" x14ac:dyDescent="0.35">
      <c r="A2122" s="2" t="s">
        <v>888</v>
      </c>
      <c r="B2122" s="2" t="s">
        <v>510</v>
      </c>
      <c r="C2122" s="2" t="s">
        <v>931</v>
      </c>
      <c r="D2122" s="2" t="s">
        <v>932</v>
      </c>
      <c r="E2122" s="2" t="s">
        <v>48</v>
      </c>
      <c r="F2122" s="3">
        <v>192</v>
      </c>
      <c r="G2122" s="4">
        <v>6</v>
      </c>
      <c r="H2122" s="5">
        <v>0</v>
      </c>
    </row>
    <row r="2123" spans="1:8" x14ac:dyDescent="0.35">
      <c r="A2123" s="2" t="s">
        <v>888</v>
      </c>
      <c r="B2123" s="2" t="s">
        <v>510</v>
      </c>
      <c r="C2123" s="2" t="s">
        <v>933</v>
      </c>
      <c r="D2123" s="2" t="s">
        <v>934</v>
      </c>
      <c r="E2123" s="6" t="s">
        <v>147</v>
      </c>
      <c r="F2123" s="3">
        <v>2496</v>
      </c>
      <c r="G2123" s="4">
        <v>36</v>
      </c>
      <c r="H2123" s="5">
        <v>0</v>
      </c>
    </row>
    <row r="2124" spans="1:8" x14ac:dyDescent="0.35">
      <c r="A2124" s="2" t="s">
        <v>888</v>
      </c>
      <c r="B2124" s="2" t="s">
        <v>510</v>
      </c>
      <c r="C2124" s="2" t="s">
        <v>935</v>
      </c>
      <c r="D2124" s="2" t="s">
        <v>936</v>
      </c>
      <c r="E2124" s="2" t="s">
        <v>237</v>
      </c>
      <c r="F2124" s="3">
        <v>640</v>
      </c>
      <c r="G2124" s="4">
        <v>12</v>
      </c>
      <c r="H2124" s="5">
        <v>0</v>
      </c>
    </row>
    <row r="2125" spans="1:8" x14ac:dyDescent="0.35">
      <c r="A2125" s="2" t="s">
        <v>888</v>
      </c>
      <c r="B2125" s="2" t="s">
        <v>510</v>
      </c>
      <c r="C2125" s="2" t="s">
        <v>937</v>
      </c>
      <c r="D2125" s="2" t="s">
        <v>938</v>
      </c>
      <c r="E2125" s="2" t="s">
        <v>189</v>
      </c>
      <c r="F2125" s="3">
        <v>35840</v>
      </c>
      <c r="G2125" s="4">
        <v>36</v>
      </c>
      <c r="H2125" s="5">
        <v>0</v>
      </c>
    </row>
    <row r="2126" spans="1:8" x14ac:dyDescent="0.35">
      <c r="A2126" s="2" t="s">
        <v>888</v>
      </c>
      <c r="B2126" s="2" t="s">
        <v>510</v>
      </c>
      <c r="C2126" s="2" t="s">
        <v>939</v>
      </c>
      <c r="D2126" s="2" t="s">
        <v>940</v>
      </c>
      <c r="E2126" s="2" t="s">
        <v>248</v>
      </c>
      <c r="F2126" s="3">
        <v>640</v>
      </c>
      <c r="G2126" s="4">
        <v>12</v>
      </c>
      <c r="H2126" s="5">
        <v>0</v>
      </c>
    </row>
    <row r="2127" spans="1:8" x14ac:dyDescent="0.35">
      <c r="A2127" s="2" t="s">
        <v>888</v>
      </c>
      <c r="B2127" s="2" t="s">
        <v>510</v>
      </c>
      <c r="C2127" s="2" t="s">
        <v>941</v>
      </c>
      <c r="D2127" s="2" t="s">
        <v>942</v>
      </c>
      <c r="E2127" s="2" t="s">
        <v>226</v>
      </c>
      <c r="F2127" s="3">
        <v>3200</v>
      </c>
      <c r="G2127" s="4">
        <v>24</v>
      </c>
      <c r="H2127" s="5">
        <v>0</v>
      </c>
    </row>
    <row r="2128" spans="1:8" x14ac:dyDescent="0.35">
      <c r="A2128" s="2" t="s">
        <v>888</v>
      </c>
      <c r="B2128" s="2" t="s">
        <v>510</v>
      </c>
      <c r="C2128" s="2" t="s">
        <v>943</v>
      </c>
      <c r="D2128" s="2" t="s">
        <v>944</v>
      </c>
      <c r="E2128" s="2" t="s">
        <v>226</v>
      </c>
      <c r="F2128" s="3">
        <v>4480</v>
      </c>
      <c r="G2128" s="4">
        <v>36</v>
      </c>
      <c r="H2128" s="5">
        <v>0</v>
      </c>
    </row>
    <row r="2129" spans="1:8" x14ac:dyDescent="0.35">
      <c r="A2129" s="2" t="s">
        <v>888</v>
      </c>
      <c r="B2129" s="2" t="s">
        <v>510</v>
      </c>
      <c r="C2129" s="2" t="s">
        <v>783</v>
      </c>
      <c r="D2129" s="2" t="s">
        <v>784</v>
      </c>
      <c r="E2129" s="2" t="s">
        <v>260</v>
      </c>
      <c r="F2129" s="3">
        <v>23040</v>
      </c>
      <c r="G2129" s="4">
        <v>36</v>
      </c>
      <c r="H2129" s="5">
        <v>0</v>
      </c>
    </row>
    <row r="2130" spans="1:8" x14ac:dyDescent="0.35">
      <c r="A2130" s="2" t="s">
        <v>888</v>
      </c>
      <c r="B2130" s="2" t="s">
        <v>510</v>
      </c>
      <c r="C2130" s="2" t="s">
        <v>945</v>
      </c>
      <c r="D2130" s="2" t="s">
        <v>946</v>
      </c>
      <c r="E2130" s="2" t="s">
        <v>947</v>
      </c>
      <c r="F2130" s="3">
        <v>19200</v>
      </c>
      <c r="G2130" s="4">
        <v>36</v>
      </c>
      <c r="H2130" s="5">
        <v>0</v>
      </c>
    </row>
    <row r="2131" spans="1:8" x14ac:dyDescent="0.35">
      <c r="A2131" s="2" t="s">
        <v>888</v>
      </c>
      <c r="B2131" s="2" t="s">
        <v>510</v>
      </c>
      <c r="C2131" s="2" t="s">
        <v>948</v>
      </c>
      <c r="D2131" s="2" t="s">
        <v>949</v>
      </c>
      <c r="E2131" s="2" t="s">
        <v>950</v>
      </c>
      <c r="F2131" s="3">
        <v>115.2</v>
      </c>
      <c r="G2131" s="4">
        <v>3</v>
      </c>
      <c r="H2131" s="5">
        <v>0</v>
      </c>
    </row>
    <row r="2132" spans="1:8" x14ac:dyDescent="0.35">
      <c r="A2132" s="2" t="s">
        <v>888</v>
      </c>
      <c r="B2132" s="2" t="s">
        <v>510</v>
      </c>
      <c r="C2132" s="2" t="s">
        <v>951</v>
      </c>
      <c r="D2132" s="2" t="s">
        <v>952</v>
      </c>
      <c r="E2132" s="2" t="s">
        <v>950</v>
      </c>
      <c r="F2132" s="3">
        <v>115.2</v>
      </c>
      <c r="G2132" s="4">
        <v>3</v>
      </c>
      <c r="H2132" s="5">
        <v>0</v>
      </c>
    </row>
    <row r="2133" spans="1:8" x14ac:dyDescent="0.35">
      <c r="A2133" s="2" t="s">
        <v>888</v>
      </c>
      <c r="B2133" s="2" t="s">
        <v>510</v>
      </c>
      <c r="C2133" s="2" t="s">
        <v>953</v>
      </c>
      <c r="D2133" s="2" t="s">
        <v>954</v>
      </c>
      <c r="E2133" s="2" t="s">
        <v>955</v>
      </c>
      <c r="F2133" s="3">
        <v>64</v>
      </c>
      <c r="G2133" s="4">
        <v>6</v>
      </c>
      <c r="H2133" s="5">
        <v>0</v>
      </c>
    </row>
    <row r="2134" spans="1:8" x14ac:dyDescent="0.35">
      <c r="A2134" s="2" t="s">
        <v>888</v>
      </c>
      <c r="B2134" s="2" t="s">
        <v>510</v>
      </c>
      <c r="C2134" s="2" t="s">
        <v>956</v>
      </c>
      <c r="D2134" s="2" t="s">
        <v>957</v>
      </c>
      <c r="E2134" s="2" t="s">
        <v>303</v>
      </c>
      <c r="F2134" s="3">
        <v>115.2</v>
      </c>
      <c r="G2134" s="4">
        <v>6</v>
      </c>
      <c r="H2134" s="5">
        <v>0</v>
      </c>
    </row>
    <row r="2135" spans="1:8" x14ac:dyDescent="0.35">
      <c r="A2135" s="2" t="s">
        <v>888</v>
      </c>
      <c r="B2135" s="2" t="s">
        <v>510</v>
      </c>
      <c r="C2135" s="2" t="s">
        <v>958</v>
      </c>
      <c r="D2135" s="2" t="s">
        <v>959</v>
      </c>
      <c r="E2135" s="2" t="s">
        <v>322</v>
      </c>
      <c r="F2135" s="3">
        <v>64</v>
      </c>
      <c r="G2135" s="4">
        <v>12</v>
      </c>
      <c r="H2135" s="5">
        <v>0</v>
      </c>
    </row>
    <row r="2136" spans="1:8" x14ac:dyDescent="0.35">
      <c r="A2136" s="2" t="s">
        <v>888</v>
      </c>
      <c r="B2136" s="2" t="s">
        <v>510</v>
      </c>
      <c r="C2136" s="2" t="s">
        <v>960</v>
      </c>
      <c r="D2136" s="2" t="s">
        <v>961</v>
      </c>
      <c r="E2136" s="2" t="s">
        <v>322</v>
      </c>
      <c r="F2136" s="3">
        <v>64</v>
      </c>
      <c r="G2136" s="4">
        <v>12</v>
      </c>
      <c r="H2136" s="5">
        <v>0</v>
      </c>
    </row>
    <row r="2137" spans="1:8" x14ac:dyDescent="0.35">
      <c r="A2137" s="2" t="s">
        <v>888</v>
      </c>
      <c r="B2137" s="2" t="s">
        <v>510</v>
      </c>
      <c r="C2137" s="2" t="s">
        <v>962</v>
      </c>
      <c r="D2137" s="2" t="s">
        <v>963</v>
      </c>
      <c r="E2137" s="2" t="s">
        <v>964</v>
      </c>
      <c r="F2137" s="3">
        <v>128</v>
      </c>
      <c r="G2137" s="4">
        <v>6</v>
      </c>
      <c r="H2137" s="5">
        <v>0</v>
      </c>
    </row>
    <row r="2138" spans="1:8" x14ac:dyDescent="0.35">
      <c r="A2138" s="2" t="s">
        <v>888</v>
      </c>
      <c r="B2138" s="2" t="s">
        <v>510</v>
      </c>
      <c r="C2138" s="2" t="s">
        <v>965</v>
      </c>
      <c r="D2138" s="2" t="s">
        <v>966</v>
      </c>
      <c r="E2138" s="2" t="s">
        <v>300</v>
      </c>
      <c r="F2138" s="3">
        <v>192</v>
      </c>
      <c r="G2138" s="4">
        <v>12</v>
      </c>
      <c r="H2138" s="5">
        <v>0</v>
      </c>
    </row>
    <row r="2139" spans="1:8" x14ac:dyDescent="0.35">
      <c r="A2139" s="2" t="s">
        <v>888</v>
      </c>
      <c r="B2139" s="2" t="s">
        <v>510</v>
      </c>
      <c r="C2139" s="2" t="s">
        <v>967</v>
      </c>
      <c r="D2139" s="2" t="s">
        <v>968</v>
      </c>
      <c r="E2139" s="2" t="s">
        <v>543</v>
      </c>
      <c r="F2139" s="3">
        <v>486400</v>
      </c>
      <c r="G2139" s="4">
        <v>36</v>
      </c>
      <c r="H2139" s="5">
        <v>0</v>
      </c>
    </row>
    <row r="2140" spans="1:8" x14ac:dyDescent="0.35">
      <c r="A2140" s="2" t="s">
        <v>888</v>
      </c>
      <c r="B2140" s="2" t="s">
        <v>510</v>
      </c>
      <c r="C2140" s="2" t="s">
        <v>969</v>
      </c>
      <c r="D2140" s="2" t="s">
        <v>970</v>
      </c>
      <c r="E2140" s="2" t="s">
        <v>434</v>
      </c>
      <c r="F2140" s="3">
        <v>576000</v>
      </c>
      <c r="G2140" s="4">
        <v>36</v>
      </c>
      <c r="H2140" s="5">
        <v>0</v>
      </c>
    </row>
    <row r="2141" spans="1:8" x14ac:dyDescent="0.35">
      <c r="A2141" s="2" t="s">
        <v>888</v>
      </c>
      <c r="B2141" s="2" t="s">
        <v>749</v>
      </c>
      <c r="C2141" s="2" t="s">
        <v>889</v>
      </c>
      <c r="D2141" s="2" t="s">
        <v>890</v>
      </c>
      <c r="E2141" s="2" t="s">
        <v>260</v>
      </c>
      <c r="F2141" s="3">
        <v>25200</v>
      </c>
      <c r="G2141" s="4">
        <v>12</v>
      </c>
      <c r="H2141" s="5">
        <v>2.5000000000000001E-2</v>
      </c>
    </row>
    <row r="2142" spans="1:8" x14ac:dyDescent="0.35">
      <c r="A2142" s="2" t="s">
        <v>888</v>
      </c>
      <c r="B2142" s="2" t="s">
        <v>749</v>
      </c>
      <c r="C2142" s="2" t="s">
        <v>891</v>
      </c>
      <c r="D2142" s="2" t="s">
        <v>892</v>
      </c>
      <c r="E2142" s="2" t="s">
        <v>45</v>
      </c>
      <c r="F2142" s="3">
        <v>1800</v>
      </c>
      <c r="G2142" s="4">
        <v>12</v>
      </c>
      <c r="H2142" s="5">
        <v>2.5000000000000001E-2</v>
      </c>
    </row>
    <row r="2143" spans="1:8" x14ac:dyDescent="0.35">
      <c r="A2143" s="2" t="s">
        <v>888</v>
      </c>
      <c r="B2143" s="2" t="s">
        <v>749</v>
      </c>
      <c r="C2143" s="2" t="s">
        <v>893</v>
      </c>
      <c r="D2143" s="2" t="s">
        <v>894</v>
      </c>
      <c r="E2143" s="2" t="s">
        <v>895</v>
      </c>
      <c r="F2143" s="3">
        <v>51.38</v>
      </c>
      <c r="G2143" s="4">
        <v>12</v>
      </c>
      <c r="H2143" s="5">
        <v>0</v>
      </c>
    </row>
    <row r="2144" spans="1:8" x14ac:dyDescent="0.35">
      <c r="A2144" s="2" t="s">
        <v>888</v>
      </c>
      <c r="B2144" s="2" t="s">
        <v>749</v>
      </c>
      <c r="C2144" s="2" t="s">
        <v>896</v>
      </c>
      <c r="D2144" s="2" t="s">
        <v>897</v>
      </c>
      <c r="E2144" s="2" t="s">
        <v>898</v>
      </c>
      <c r="F2144" s="3">
        <v>780</v>
      </c>
      <c r="G2144" s="4">
        <v>12</v>
      </c>
      <c r="H2144" s="5">
        <v>0</v>
      </c>
    </row>
    <row r="2145" spans="1:8" x14ac:dyDescent="0.35">
      <c r="A2145" s="2" t="s">
        <v>888</v>
      </c>
      <c r="B2145" s="2" t="s">
        <v>749</v>
      </c>
      <c r="C2145" s="2" t="s">
        <v>899</v>
      </c>
      <c r="D2145" s="2" t="s">
        <v>900</v>
      </c>
      <c r="E2145" s="2" t="s">
        <v>297</v>
      </c>
      <c r="F2145" s="3">
        <v>32.28</v>
      </c>
      <c r="G2145" s="4">
        <v>12</v>
      </c>
      <c r="H2145" s="5">
        <v>0</v>
      </c>
    </row>
    <row r="2146" spans="1:8" x14ac:dyDescent="0.35">
      <c r="A2146" s="2" t="s">
        <v>888</v>
      </c>
      <c r="B2146" s="2" t="s">
        <v>749</v>
      </c>
      <c r="C2146" s="2" t="s">
        <v>901</v>
      </c>
      <c r="D2146" s="2" t="s">
        <v>902</v>
      </c>
      <c r="E2146" s="2" t="s">
        <v>48</v>
      </c>
      <c r="F2146" s="3">
        <v>612</v>
      </c>
      <c r="G2146" s="4">
        <v>12</v>
      </c>
      <c r="H2146" s="5">
        <v>0</v>
      </c>
    </row>
    <row r="2147" spans="1:8" x14ac:dyDescent="0.35">
      <c r="A2147" s="2" t="s">
        <v>888</v>
      </c>
      <c r="B2147" s="2" t="s">
        <v>749</v>
      </c>
      <c r="C2147" s="2" t="s">
        <v>903</v>
      </c>
      <c r="D2147" s="2" t="s">
        <v>904</v>
      </c>
      <c r="E2147" s="2" t="s">
        <v>48</v>
      </c>
      <c r="F2147" s="3">
        <v>612</v>
      </c>
      <c r="G2147" s="4">
        <v>12</v>
      </c>
      <c r="H2147" s="5">
        <v>0</v>
      </c>
    </row>
    <row r="2148" spans="1:8" x14ac:dyDescent="0.35">
      <c r="A2148" s="2" t="s">
        <v>888</v>
      </c>
      <c r="B2148" s="2" t="s">
        <v>749</v>
      </c>
      <c r="C2148" s="2" t="s">
        <v>905</v>
      </c>
      <c r="D2148" s="2" t="s">
        <v>906</v>
      </c>
      <c r="E2148" s="2" t="s">
        <v>907</v>
      </c>
      <c r="F2148" s="3">
        <v>51.79</v>
      </c>
      <c r="G2148" s="4">
        <v>12</v>
      </c>
      <c r="H2148" s="5">
        <v>0</v>
      </c>
    </row>
    <row r="2149" spans="1:8" x14ac:dyDescent="0.35">
      <c r="A2149" s="2" t="s">
        <v>888</v>
      </c>
      <c r="B2149" s="2" t="s">
        <v>749</v>
      </c>
      <c r="C2149" s="2" t="s">
        <v>908</v>
      </c>
      <c r="D2149" s="2" t="s">
        <v>909</v>
      </c>
      <c r="E2149" s="2" t="s">
        <v>92</v>
      </c>
      <c r="F2149" s="3">
        <v>958.8</v>
      </c>
      <c r="G2149" s="4">
        <v>12</v>
      </c>
      <c r="H2149" s="5">
        <v>0</v>
      </c>
    </row>
    <row r="2150" spans="1:8" x14ac:dyDescent="0.35">
      <c r="A2150" s="2" t="s">
        <v>888</v>
      </c>
      <c r="B2150" s="2" t="s">
        <v>749</v>
      </c>
      <c r="C2150" s="2" t="s">
        <v>910</v>
      </c>
      <c r="D2150" s="2" t="s">
        <v>911</v>
      </c>
      <c r="E2150" s="2" t="s">
        <v>92</v>
      </c>
      <c r="F2150" s="3">
        <v>958.8</v>
      </c>
      <c r="G2150" s="4">
        <v>12</v>
      </c>
      <c r="H2150" s="5">
        <v>0</v>
      </c>
    </row>
    <row r="2151" spans="1:8" x14ac:dyDescent="0.35">
      <c r="A2151" s="2" t="s">
        <v>888</v>
      </c>
      <c r="B2151" s="2" t="s">
        <v>749</v>
      </c>
      <c r="C2151" s="2" t="s">
        <v>912</v>
      </c>
      <c r="D2151" s="2" t="s">
        <v>913</v>
      </c>
      <c r="E2151" s="2" t="s">
        <v>92</v>
      </c>
      <c r="F2151" s="3">
        <v>958.8</v>
      </c>
      <c r="G2151" s="4">
        <v>12</v>
      </c>
      <c r="H2151" s="5">
        <v>0</v>
      </c>
    </row>
    <row r="2152" spans="1:8" x14ac:dyDescent="0.35">
      <c r="A2152" s="2" t="s">
        <v>888</v>
      </c>
      <c r="B2152" s="2" t="s">
        <v>749</v>
      </c>
      <c r="C2152" s="2" t="s">
        <v>914</v>
      </c>
      <c r="D2152" s="2" t="s">
        <v>915</v>
      </c>
      <c r="E2152" s="2" t="s">
        <v>916</v>
      </c>
      <c r="F2152" s="3">
        <v>63.48</v>
      </c>
      <c r="G2152" s="4">
        <v>12</v>
      </c>
      <c r="H2152" s="5">
        <v>0</v>
      </c>
    </row>
    <row r="2153" spans="1:8" x14ac:dyDescent="0.35">
      <c r="A2153" s="2" t="s">
        <v>888</v>
      </c>
      <c r="B2153" s="2" t="s">
        <v>749</v>
      </c>
      <c r="C2153" s="2" t="s">
        <v>917</v>
      </c>
      <c r="D2153" s="2" t="s">
        <v>918</v>
      </c>
      <c r="E2153" s="2" t="s">
        <v>115</v>
      </c>
      <c r="F2153" s="3">
        <v>539.88</v>
      </c>
      <c r="G2153" s="4">
        <v>12</v>
      </c>
      <c r="H2153" s="5">
        <v>0</v>
      </c>
    </row>
    <row r="2154" spans="1:8" x14ac:dyDescent="0.35">
      <c r="A2154" s="2" t="s">
        <v>888</v>
      </c>
      <c r="B2154" s="2" t="s">
        <v>749</v>
      </c>
      <c r="C2154" s="2" t="s">
        <v>919</v>
      </c>
      <c r="D2154" s="2" t="s">
        <v>920</v>
      </c>
      <c r="E2154" s="2" t="s">
        <v>115</v>
      </c>
      <c r="F2154" s="3">
        <v>175.45</v>
      </c>
      <c r="G2154" s="4">
        <v>12</v>
      </c>
      <c r="H2154" s="5">
        <v>0</v>
      </c>
    </row>
    <row r="2155" spans="1:8" x14ac:dyDescent="0.35">
      <c r="A2155" s="2" t="s">
        <v>888</v>
      </c>
      <c r="B2155" s="2" t="s">
        <v>749</v>
      </c>
      <c r="C2155" s="2" t="s">
        <v>921</v>
      </c>
      <c r="D2155" s="2" t="s">
        <v>922</v>
      </c>
      <c r="E2155" s="2" t="s">
        <v>923</v>
      </c>
      <c r="F2155" s="3">
        <v>3360</v>
      </c>
      <c r="G2155" s="4">
        <v>12</v>
      </c>
      <c r="H2155" s="5">
        <v>2.5000000000000001E-2</v>
      </c>
    </row>
    <row r="2156" spans="1:8" ht="14.5" customHeight="1" x14ac:dyDescent="0.35">
      <c r="A2156" s="2" t="s">
        <v>888</v>
      </c>
      <c r="B2156" s="2" t="s">
        <v>749</v>
      </c>
      <c r="C2156" s="2" t="s">
        <v>924</v>
      </c>
      <c r="D2156" s="2" t="s">
        <v>925</v>
      </c>
      <c r="E2156" s="2" t="s">
        <v>136</v>
      </c>
      <c r="F2156" s="3">
        <v>39.6</v>
      </c>
      <c r="G2156" s="4">
        <v>1</v>
      </c>
      <c r="H2156" s="5">
        <v>0</v>
      </c>
    </row>
    <row r="2157" spans="1:8" ht="14.5" customHeight="1" x14ac:dyDescent="0.35">
      <c r="A2157" s="2" t="s">
        <v>888</v>
      </c>
      <c r="B2157" s="2" t="s">
        <v>749</v>
      </c>
      <c r="C2157" s="2" t="s">
        <v>926</v>
      </c>
      <c r="D2157" s="2" t="s">
        <v>927</v>
      </c>
      <c r="E2157" s="2" t="s">
        <v>125</v>
      </c>
      <c r="F2157" s="3">
        <v>39.6</v>
      </c>
      <c r="G2157" s="4">
        <v>1</v>
      </c>
      <c r="H2157" s="5">
        <v>0</v>
      </c>
    </row>
    <row r="2158" spans="1:8" x14ac:dyDescent="0.35">
      <c r="A2158" s="2" t="s">
        <v>888</v>
      </c>
      <c r="B2158" s="2" t="s">
        <v>749</v>
      </c>
      <c r="C2158" s="2" t="s">
        <v>928</v>
      </c>
      <c r="D2158" s="2" t="s">
        <v>929</v>
      </c>
      <c r="E2158" s="2" t="s">
        <v>930</v>
      </c>
      <c r="F2158" s="3">
        <v>53.16</v>
      </c>
      <c r="G2158" s="4">
        <v>12</v>
      </c>
      <c r="H2158" s="5">
        <v>0</v>
      </c>
    </row>
    <row r="2159" spans="1:8" x14ac:dyDescent="0.35">
      <c r="A2159" s="2" t="s">
        <v>888</v>
      </c>
      <c r="B2159" s="2" t="s">
        <v>749</v>
      </c>
      <c r="C2159" s="2" t="s">
        <v>931</v>
      </c>
      <c r="D2159" s="2" t="s">
        <v>932</v>
      </c>
      <c r="E2159" s="2" t="s">
        <v>48</v>
      </c>
      <c r="F2159" s="3">
        <v>450.4</v>
      </c>
      <c r="G2159" s="4">
        <v>12</v>
      </c>
      <c r="H2159" s="5">
        <v>0</v>
      </c>
    </row>
    <row r="2160" spans="1:8" x14ac:dyDescent="0.35">
      <c r="A2160" s="2" t="s">
        <v>888</v>
      </c>
      <c r="B2160" s="2" t="s">
        <v>749</v>
      </c>
      <c r="C2160" s="2" t="s">
        <v>933</v>
      </c>
      <c r="D2160" s="2" t="s">
        <v>934</v>
      </c>
      <c r="E2160" s="6" t="s">
        <v>147</v>
      </c>
      <c r="F2160" s="3">
        <v>5760</v>
      </c>
      <c r="G2160" s="4">
        <v>12</v>
      </c>
      <c r="H2160" s="5">
        <v>2.5000000000000001E-2</v>
      </c>
    </row>
    <row r="2161" spans="1:8" x14ac:dyDescent="0.35">
      <c r="A2161" s="2" t="s">
        <v>888</v>
      </c>
      <c r="B2161" s="2" t="s">
        <v>749</v>
      </c>
      <c r="C2161" s="2" t="s">
        <v>935</v>
      </c>
      <c r="D2161" s="2" t="s">
        <v>936</v>
      </c>
      <c r="E2161" s="2" t="s">
        <v>237</v>
      </c>
      <c r="F2161" s="3">
        <v>1200</v>
      </c>
      <c r="G2161" s="4">
        <v>12</v>
      </c>
      <c r="H2161" s="5">
        <v>0</v>
      </c>
    </row>
    <row r="2162" spans="1:8" x14ac:dyDescent="0.35">
      <c r="A2162" s="2" t="s">
        <v>888</v>
      </c>
      <c r="B2162" s="2" t="s">
        <v>749</v>
      </c>
      <c r="C2162" s="2" t="s">
        <v>937</v>
      </c>
      <c r="D2162" s="2" t="s">
        <v>938</v>
      </c>
      <c r="E2162" s="2" t="s">
        <v>189</v>
      </c>
      <c r="F2162" s="3">
        <v>22800</v>
      </c>
      <c r="G2162" s="4">
        <v>12</v>
      </c>
      <c r="H2162" s="5">
        <v>2.5000000000000001E-2</v>
      </c>
    </row>
    <row r="2163" spans="1:8" x14ac:dyDescent="0.35">
      <c r="A2163" s="2" t="s">
        <v>888</v>
      </c>
      <c r="B2163" s="2" t="s">
        <v>749</v>
      </c>
      <c r="C2163" s="2" t="s">
        <v>939</v>
      </c>
      <c r="D2163" s="2" t="s">
        <v>940</v>
      </c>
      <c r="E2163" s="2" t="s">
        <v>248</v>
      </c>
      <c r="F2163" s="3">
        <v>404.28</v>
      </c>
      <c r="G2163" s="4">
        <v>12</v>
      </c>
      <c r="H2163" s="5">
        <v>0</v>
      </c>
    </row>
    <row r="2164" spans="1:8" x14ac:dyDescent="0.35">
      <c r="A2164" s="2" t="s">
        <v>888</v>
      </c>
      <c r="B2164" s="2" t="s">
        <v>749</v>
      </c>
      <c r="C2164" s="2" t="s">
        <v>941</v>
      </c>
      <c r="D2164" s="2" t="s">
        <v>942</v>
      </c>
      <c r="E2164" s="2" t="s">
        <v>226</v>
      </c>
      <c r="F2164" s="3">
        <v>2837.88</v>
      </c>
      <c r="G2164" s="4">
        <v>12</v>
      </c>
      <c r="H2164" s="5">
        <v>2.5000000000000001E-2</v>
      </c>
    </row>
    <row r="2165" spans="1:8" x14ac:dyDescent="0.35">
      <c r="A2165" s="2" t="s">
        <v>888</v>
      </c>
      <c r="B2165" s="2" t="s">
        <v>749</v>
      </c>
      <c r="C2165" s="2" t="s">
        <v>943</v>
      </c>
      <c r="D2165" s="2" t="s">
        <v>944</v>
      </c>
      <c r="E2165" s="2" t="s">
        <v>226</v>
      </c>
      <c r="F2165" s="3">
        <v>2040</v>
      </c>
      <c r="G2165" s="4">
        <v>12</v>
      </c>
      <c r="H2165" s="5">
        <v>2.5000000000000001E-2</v>
      </c>
    </row>
    <row r="2166" spans="1:8" x14ac:dyDescent="0.35">
      <c r="A2166" s="2" t="s">
        <v>888</v>
      </c>
      <c r="B2166" s="2" t="s">
        <v>749</v>
      </c>
      <c r="C2166" s="2" t="s">
        <v>783</v>
      </c>
      <c r="D2166" s="2" t="s">
        <v>784</v>
      </c>
      <c r="E2166" s="2" t="s">
        <v>260</v>
      </c>
      <c r="F2166" s="3">
        <v>11500</v>
      </c>
      <c r="G2166" s="4">
        <v>12</v>
      </c>
      <c r="H2166" s="5">
        <v>2.5000000000000001E-2</v>
      </c>
    </row>
    <row r="2167" spans="1:8" x14ac:dyDescent="0.35">
      <c r="A2167" s="2" t="s">
        <v>888</v>
      </c>
      <c r="B2167" s="2" t="s">
        <v>749</v>
      </c>
      <c r="C2167" s="2" t="s">
        <v>945</v>
      </c>
      <c r="D2167" s="2" t="s">
        <v>946</v>
      </c>
      <c r="E2167" s="2" t="s">
        <v>947</v>
      </c>
      <c r="F2167" s="3">
        <v>942.89</v>
      </c>
      <c r="G2167" s="4">
        <v>12</v>
      </c>
      <c r="H2167" s="5">
        <v>0</v>
      </c>
    </row>
    <row r="2168" spans="1:8" x14ac:dyDescent="0.35">
      <c r="A2168" s="2" t="s">
        <v>888</v>
      </c>
      <c r="B2168" s="2" t="s">
        <v>749</v>
      </c>
      <c r="C2168" s="2" t="s">
        <v>948</v>
      </c>
      <c r="D2168" s="2" t="s">
        <v>949</v>
      </c>
      <c r="E2168" s="2" t="s">
        <v>950</v>
      </c>
      <c r="F2168" s="3">
        <v>92</v>
      </c>
      <c r="G2168" s="4">
        <v>12</v>
      </c>
      <c r="H2168" s="5">
        <v>0</v>
      </c>
    </row>
    <row r="2169" spans="1:8" x14ac:dyDescent="0.35">
      <c r="A2169" s="2" t="s">
        <v>888</v>
      </c>
      <c r="B2169" s="2" t="s">
        <v>749</v>
      </c>
      <c r="C2169" s="2" t="s">
        <v>951</v>
      </c>
      <c r="D2169" s="2" t="s">
        <v>952</v>
      </c>
      <c r="E2169" s="2" t="s">
        <v>950</v>
      </c>
      <c r="F2169" s="3">
        <v>92</v>
      </c>
      <c r="G2169" s="4">
        <v>12</v>
      </c>
      <c r="H2169" s="5">
        <v>0</v>
      </c>
    </row>
    <row r="2170" spans="1:8" x14ac:dyDescent="0.35">
      <c r="A2170" s="2" t="s">
        <v>888</v>
      </c>
      <c r="B2170" s="2" t="s">
        <v>749</v>
      </c>
      <c r="C2170" s="2" t="s">
        <v>953</v>
      </c>
      <c r="D2170" s="2" t="s">
        <v>954</v>
      </c>
      <c r="E2170" s="2" t="s">
        <v>955</v>
      </c>
      <c r="F2170" s="3">
        <v>85.09</v>
      </c>
      <c r="G2170" s="4">
        <v>12</v>
      </c>
      <c r="H2170" s="5">
        <v>0</v>
      </c>
    </row>
    <row r="2171" spans="1:8" x14ac:dyDescent="0.35">
      <c r="A2171" s="2" t="s">
        <v>888</v>
      </c>
      <c r="B2171" s="2" t="s">
        <v>749</v>
      </c>
      <c r="C2171" s="2" t="s">
        <v>956</v>
      </c>
      <c r="D2171" s="2" t="s">
        <v>957</v>
      </c>
      <c r="E2171" s="2" t="s">
        <v>303</v>
      </c>
      <c r="F2171" s="3">
        <v>94.3</v>
      </c>
      <c r="G2171" s="4">
        <v>12</v>
      </c>
      <c r="H2171" s="5">
        <v>0</v>
      </c>
    </row>
    <row r="2172" spans="1:8" x14ac:dyDescent="0.35">
      <c r="A2172" s="2" t="s">
        <v>888</v>
      </c>
      <c r="B2172" s="2" t="s">
        <v>749</v>
      </c>
      <c r="C2172" s="2" t="s">
        <v>958</v>
      </c>
      <c r="D2172" s="2" t="s">
        <v>959</v>
      </c>
      <c r="E2172" s="2" t="s">
        <v>322</v>
      </c>
      <c r="F2172" s="3">
        <v>57.5</v>
      </c>
      <c r="G2172" s="4">
        <v>12</v>
      </c>
      <c r="H2172" s="5">
        <v>0</v>
      </c>
    </row>
    <row r="2173" spans="1:8" x14ac:dyDescent="0.35">
      <c r="A2173" s="2" t="s">
        <v>888</v>
      </c>
      <c r="B2173" s="2" t="s">
        <v>749</v>
      </c>
      <c r="C2173" s="2" t="s">
        <v>960</v>
      </c>
      <c r="D2173" s="2" t="s">
        <v>961</v>
      </c>
      <c r="E2173" s="2" t="s">
        <v>322</v>
      </c>
      <c r="F2173" s="3">
        <v>57.5</v>
      </c>
      <c r="G2173" s="4">
        <v>12</v>
      </c>
      <c r="H2173" s="5">
        <v>0</v>
      </c>
    </row>
    <row r="2174" spans="1:8" x14ac:dyDescent="0.35">
      <c r="A2174" s="2" t="s">
        <v>888</v>
      </c>
      <c r="B2174" s="2" t="s">
        <v>749</v>
      </c>
      <c r="C2174" s="2" t="s">
        <v>962</v>
      </c>
      <c r="D2174" s="2" t="s">
        <v>963</v>
      </c>
      <c r="E2174" s="2" t="s">
        <v>964</v>
      </c>
      <c r="F2174" s="3">
        <v>63.14</v>
      </c>
      <c r="G2174" s="4">
        <v>12</v>
      </c>
      <c r="H2174" s="5">
        <v>0</v>
      </c>
    </row>
    <row r="2175" spans="1:8" x14ac:dyDescent="0.35">
      <c r="A2175" s="2" t="s">
        <v>888</v>
      </c>
      <c r="B2175" s="2" t="s">
        <v>749</v>
      </c>
      <c r="C2175" s="2" t="s">
        <v>965</v>
      </c>
      <c r="D2175" s="2" t="s">
        <v>966</v>
      </c>
      <c r="E2175" s="2" t="s">
        <v>300</v>
      </c>
      <c r="F2175" s="3">
        <v>16.59</v>
      </c>
      <c r="G2175" s="4">
        <v>12</v>
      </c>
      <c r="H2175" s="5">
        <v>0</v>
      </c>
    </row>
    <row r="2176" spans="1:8" x14ac:dyDescent="0.35">
      <c r="A2176" s="2" t="s">
        <v>888</v>
      </c>
      <c r="B2176" s="2" t="s">
        <v>749</v>
      </c>
      <c r="C2176" s="2" t="s">
        <v>967</v>
      </c>
      <c r="D2176" s="2" t="s">
        <v>968</v>
      </c>
      <c r="E2176" s="2" t="s">
        <v>543</v>
      </c>
      <c r="F2176" s="3">
        <v>55000</v>
      </c>
      <c r="G2176" s="4">
        <v>12</v>
      </c>
      <c r="H2176" s="5">
        <v>2.5000000000000001E-2</v>
      </c>
    </row>
    <row r="2177" spans="1:8" x14ac:dyDescent="0.35">
      <c r="A2177" s="2" t="s">
        <v>888</v>
      </c>
      <c r="B2177" s="2" t="s">
        <v>749</v>
      </c>
      <c r="C2177" s="2" t="s">
        <v>969</v>
      </c>
      <c r="D2177" s="2" t="s">
        <v>970</v>
      </c>
      <c r="E2177" s="2" t="s">
        <v>434</v>
      </c>
      <c r="F2177" s="3">
        <v>1700</v>
      </c>
      <c r="G2177" s="4">
        <v>12</v>
      </c>
      <c r="H2177" s="5">
        <v>2.5000000000000001E-2</v>
      </c>
    </row>
    <row r="2178" spans="1:8" x14ac:dyDescent="0.35">
      <c r="A2178" s="2" t="s">
        <v>888</v>
      </c>
      <c r="B2178" s="2" t="s">
        <v>447</v>
      </c>
      <c r="C2178" s="2" t="s">
        <v>889</v>
      </c>
      <c r="D2178" s="2" t="s">
        <v>890</v>
      </c>
      <c r="E2178" s="2" t="s">
        <v>260</v>
      </c>
      <c r="F2178" s="3">
        <v>21000</v>
      </c>
      <c r="G2178" s="4">
        <v>60</v>
      </c>
      <c r="H2178" s="5">
        <v>7.4999999999999997E-3</v>
      </c>
    </row>
    <row r="2179" spans="1:8" x14ac:dyDescent="0.35">
      <c r="A2179" s="2" t="s">
        <v>888</v>
      </c>
      <c r="B2179" s="2" t="s">
        <v>447</v>
      </c>
      <c r="C2179" s="2" t="s">
        <v>891</v>
      </c>
      <c r="D2179" s="2" t="s">
        <v>892</v>
      </c>
      <c r="E2179" s="2" t="s">
        <v>45</v>
      </c>
      <c r="F2179" s="3">
        <v>1500</v>
      </c>
      <c r="G2179" s="4">
        <v>60</v>
      </c>
      <c r="H2179" s="5">
        <v>7.4999999999999997E-3</v>
      </c>
    </row>
    <row r="2180" spans="1:8" x14ac:dyDescent="0.35">
      <c r="A2180" s="2" t="s">
        <v>888</v>
      </c>
      <c r="B2180" s="2" t="s">
        <v>447</v>
      </c>
      <c r="C2180" s="2" t="s">
        <v>893</v>
      </c>
      <c r="D2180" s="2" t="s">
        <v>894</v>
      </c>
      <c r="E2180" s="2" t="s">
        <v>895</v>
      </c>
      <c r="F2180" s="3">
        <v>42.82</v>
      </c>
      <c r="G2180" s="4">
        <v>60</v>
      </c>
      <c r="H2180" s="5">
        <v>0</v>
      </c>
    </row>
    <row r="2181" spans="1:8" x14ac:dyDescent="0.35">
      <c r="A2181" s="2" t="s">
        <v>888</v>
      </c>
      <c r="B2181" s="2" t="s">
        <v>447</v>
      </c>
      <c r="C2181" s="2" t="s">
        <v>896</v>
      </c>
      <c r="D2181" s="2" t="s">
        <v>897</v>
      </c>
      <c r="E2181" s="2" t="s">
        <v>898</v>
      </c>
      <c r="F2181" s="3">
        <v>650</v>
      </c>
      <c r="G2181" s="4">
        <v>60</v>
      </c>
      <c r="H2181" s="5">
        <v>0</v>
      </c>
    </row>
    <row r="2182" spans="1:8" x14ac:dyDescent="0.35">
      <c r="A2182" s="2" t="s">
        <v>888</v>
      </c>
      <c r="B2182" s="2" t="s">
        <v>447</v>
      </c>
      <c r="C2182" s="2" t="s">
        <v>899</v>
      </c>
      <c r="D2182" s="2" t="s">
        <v>900</v>
      </c>
      <c r="E2182" s="2" t="s">
        <v>297</v>
      </c>
      <c r="F2182" s="3">
        <v>26.9</v>
      </c>
      <c r="G2182" s="4">
        <v>36</v>
      </c>
      <c r="H2182" s="5">
        <v>0</v>
      </c>
    </row>
    <row r="2183" spans="1:8" x14ac:dyDescent="0.35">
      <c r="A2183" s="2" t="s">
        <v>888</v>
      </c>
      <c r="B2183" s="2" t="s">
        <v>447</v>
      </c>
      <c r="C2183" s="2" t="s">
        <v>901</v>
      </c>
      <c r="D2183" s="2" t="s">
        <v>902</v>
      </c>
      <c r="E2183" s="2" t="s">
        <v>48</v>
      </c>
      <c r="F2183" s="3">
        <v>510</v>
      </c>
      <c r="G2183" s="4">
        <v>60</v>
      </c>
      <c r="H2183" s="5">
        <v>0</v>
      </c>
    </row>
    <row r="2184" spans="1:8" x14ac:dyDescent="0.35">
      <c r="A2184" s="2" t="s">
        <v>888</v>
      </c>
      <c r="B2184" s="2" t="s">
        <v>447</v>
      </c>
      <c r="C2184" s="2" t="s">
        <v>903</v>
      </c>
      <c r="D2184" s="2" t="s">
        <v>904</v>
      </c>
      <c r="E2184" s="2" t="s">
        <v>48</v>
      </c>
      <c r="F2184" s="3">
        <v>510</v>
      </c>
      <c r="G2184" s="4">
        <v>60</v>
      </c>
      <c r="H2184" s="5">
        <v>0</v>
      </c>
    </row>
    <row r="2185" spans="1:8" x14ac:dyDescent="0.35">
      <c r="A2185" s="2" t="s">
        <v>888</v>
      </c>
      <c r="B2185" s="2" t="s">
        <v>447</v>
      </c>
      <c r="C2185" s="2" t="s">
        <v>905</v>
      </c>
      <c r="D2185" s="2" t="s">
        <v>906</v>
      </c>
      <c r="E2185" s="2" t="s">
        <v>907</v>
      </c>
      <c r="F2185" s="3">
        <v>43.16</v>
      </c>
      <c r="G2185" s="4">
        <v>60</v>
      </c>
      <c r="H2185" s="5">
        <v>0</v>
      </c>
    </row>
    <row r="2186" spans="1:8" x14ac:dyDescent="0.35">
      <c r="A2186" s="2" t="s">
        <v>888</v>
      </c>
      <c r="B2186" s="2" t="s">
        <v>447</v>
      </c>
      <c r="C2186" s="2" t="s">
        <v>908</v>
      </c>
      <c r="D2186" s="2" t="s">
        <v>909</v>
      </c>
      <c r="E2186" s="2" t="s">
        <v>92</v>
      </c>
      <c r="F2186" s="3">
        <v>799</v>
      </c>
      <c r="G2186" s="4">
        <v>60</v>
      </c>
      <c r="H2186" s="5">
        <v>0</v>
      </c>
    </row>
    <row r="2187" spans="1:8" x14ac:dyDescent="0.35">
      <c r="A2187" s="2" t="s">
        <v>888</v>
      </c>
      <c r="B2187" s="2" t="s">
        <v>447</v>
      </c>
      <c r="C2187" s="2" t="s">
        <v>910</v>
      </c>
      <c r="D2187" s="2" t="s">
        <v>911</v>
      </c>
      <c r="E2187" s="2" t="s">
        <v>92</v>
      </c>
      <c r="F2187" s="3">
        <v>799</v>
      </c>
      <c r="G2187" s="4">
        <v>60</v>
      </c>
      <c r="H2187" s="5">
        <v>0</v>
      </c>
    </row>
    <row r="2188" spans="1:8" x14ac:dyDescent="0.35">
      <c r="A2188" s="2" t="s">
        <v>888</v>
      </c>
      <c r="B2188" s="2" t="s">
        <v>447</v>
      </c>
      <c r="C2188" s="2" t="s">
        <v>912</v>
      </c>
      <c r="D2188" s="2" t="s">
        <v>913</v>
      </c>
      <c r="E2188" s="2" t="s">
        <v>92</v>
      </c>
      <c r="F2188" s="3">
        <v>799</v>
      </c>
      <c r="G2188" s="4">
        <v>60</v>
      </c>
      <c r="H2188" s="5">
        <v>0</v>
      </c>
    </row>
    <row r="2189" spans="1:8" x14ac:dyDescent="0.35">
      <c r="A2189" s="2" t="s">
        <v>888</v>
      </c>
      <c r="B2189" s="2" t="s">
        <v>447</v>
      </c>
      <c r="C2189" s="2" t="s">
        <v>914</v>
      </c>
      <c r="D2189" s="2" t="s">
        <v>915</v>
      </c>
      <c r="E2189" s="2" t="s">
        <v>916</v>
      </c>
      <c r="F2189" s="3">
        <v>52.9</v>
      </c>
      <c r="G2189" s="4">
        <v>60</v>
      </c>
      <c r="H2189" s="5">
        <v>0</v>
      </c>
    </row>
    <row r="2190" spans="1:8" x14ac:dyDescent="0.35">
      <c r="A2190" s="2" t="s">
        <v>888</v>
      </c>
      <c r="B2190" s="2" t="s">
        <v>447</v>
      </c>
      <c r="C2190" s="2" t="s">
        <v>917</v>
      </c>
      <c r="D2190" s="2" t="s">
        <v>918</v>
      </c>
      <c r="E2190" s="2" t="s">
        <v>115</v>
      </c>
      <c r="F2190" s="3">
        <v>449.9</v>
      </c>
      <c r="G2190" s="4">
        <v>60</v>
      </c>
      <c r="H2190" s="5">
        <v>0</v>
      </c>
    </row>
    <row r="2191" spans="1:8" x14ac:dyDescent="0.35">
      <c r="A2191" s="2" t="s">
        <v>888</v>
      </c>
      <c r="B2191" s="2" t="s">
        <v>447</v>
      </c>
      <c r="C2191" s="2" t="s">
        <v>919</v>
      </c>
      <c r="D2191" s="2" t="s">
        <v>920</v>
      </c>
      <c r="E2191" s="2" t="s">
        <v>115</v>
      </c>
      <c r="F2191" s="3">
        <v>146.21</v>
      </c>
      <c r="G2191" s="4">
        <v>60</v>
      </c>
      <c r="H2191" s="5">
        <v>0</v>
      </c>
    </row>
    <row r="2192" spans="1:8" x14ac:dyDescent="0.35">
      <c r="A2192" s="2" t="s">
        <v>888</v>
      </c>
      <c r="B2192" s="2" t="s">
        <v>447</v>
      </c>
      <c r="C2192" s="2" t="s">
        <v>921</v>
      </c>
      <c r="D2192" s="2" t="s">
        <v>922</v>
      </c>
      <c r="E2192" s="2" t="s">
        <v>923</v>
      </c>
      <c r="F2192" s="3">
        <v>2800</v>
      </c>
      <c r="G2192" s="4">
        <v>60</v>
      </c>
      <c r="H2192" s="5">
        <v>7.4999999999999997E-3</v>
      </c>
    </row>
    <row r="2193" spans="1:8" ht="14.5" customHeight="1" x14ac:dyDescent="0.35">
      <c r="A2193" s="2" t="s">
        <v>888</v>
      </c>
      <c r="B2193" s="2" t="s">
        <v>447</v>
      </c>
      <c r="C2193" s="2" t="s">
        <v>924</v>
      </c>
      <c r="D2193" s="2" t="s">
        <v>925</v>
      </c>
      <c r="E2193" s="2" t="s">
        <v>136</v>
      </c>
      <c r="F2193" s="3">
        <v>33</v>
      </c>
      <c r="G2193" s="4">
        <v>2</v>
      </c>
      <c r="H2193" s="5">
        <v>0</v>
      </c>
    </row>
    <row r="2194" spans="1:8" ht="14.5" customHeight="1" x14ac:dyDescent="0.35">
      <c r="A2194" s="2" t="s">
        <v>888</v>
      </c>
      <c r="B2194" s="2" t="s">
        <v>447</v>
      </c>
      <c r="C2194" s="2" t="s">
        <v>926</v>
      </c>
      <c r="D2194" s="2" t="s">
        <v>927</v>
      </c>
      <c r="E2194" s="2" t="s">
        <v>125</v>
      </c>
      <c r="F2194" s="3">
        <v>33</v>
      </c>
      <c r="G2194" s="4">
        <v>2</v>
      </c>
      <c r="H2194" s="5">
        <v>0</v>
      </c>
    </row>
    <row r="2195" spans="1:8" x14ac:dyDescent="0.35">
      <c r="A2195" s="2" t="s">
        <v>888</v>
      </c>
      <c r="B2195" s="2" t="s">
        <v>447</v>
      </c>
      <c r="C2195" s="2" t="s">
        <v>928</v>
      </c>
      <c r="D2195" s="2" t="s">
        <v>929</v>
      </c>
      <c r="E2195" s="2" t="s">
        <v>930</v>
      </c>
      <c r="F2195" s="3">
        <v>44.3</v>
      </c>
      <c r="G2195" s="4">
        <v>60</v>
      </c>
      <c r="H2195" s="5">
        <v>0</v>
      </c>
    </row>
    <row r="2196" spans="1:8" x14ac:dyDescent="0.35">
      <c r="A2196" s="2" t="s">
        <v>888</v>
      </c>
      <c r="B2196" s="2" t="s">
        <v>447</v>
      </c>
      <c r="C2196" s="2" t="s">
        <v>931</v>
      </c>
      <c r="D2196" s="2" t="s">
        <v>932</v>
      </c>
      <c r="E2196" s="2" t="s">
        <v>48</v>
      </c>
      <c r="F2196" s="3">
        <v>375.33</v>
      </c>
      <c r="G2196" s="4">
        <v>60</v>
      </c>
      <c r="H2196" s="5">
        <v>0</v>
      </c>
    </row>
    <row r="2197" spans="1:8" x14ac:dyDescent="0.35">
      <c r="A2197" s="2" t="s">
        <v>888</v>
      </c>
      <c r="B2197" s="2" t="s">
        <v>447</v>
      </c>
      <c r="C2197" s="2" t="s">
        <v>933</v>
      </c>
      <c r="D2197" s="2" t="s">
        <v>934</v>
      </c>
      <c r="E2197" s="6" t="s">
        <v>147</v>
      </c>
      <c r="F2197" s="3">
        <v>4800</v>
      </c>
      <c r="G2197" s="4">
        <v>60</v>
      </c>
      <c r="H2197" s="5">
        <v>7.4999999999999997E-3</v>
      </c>
    </row>
    <row r="2198" spans="1:8" x14ac:dyDescent="0.35">
      <c r="A2198" s="2" t="s">
        <v>888</v>
      </c>
      <c r="B2198" s="2" t="s">
        <v>447</v>
      </c>
      <c r="C2198" s="2" t="s">
        <v>935</v>
      </c>
      <c r="D2198" s="2" t="s">
        <v>936</v>
      </c>
      <c r="E2198" s="2" t="s">
        <v>237</v>
      </c>
      <c r="F2198" s="3">
        <v>1000</v>
      </c>
      <c r="G2198" s="4">
        <v>60</v>
      </c>
      <c r="H2198" s="5">
        <v>0</v>
      </c>
    </row>
    <row r="2199" spans="1:8" x14ac:dyDescent="0.35">
      <c r="A2199" s="2" t="s">
        <v>888</v>
      </c>
      <c r="B2199" s="2" t="s">
        <v>447</v>
      </c>
      <c r="C2199" s="2" t="s">
        <v>937</v>
      </c>
      <c r="D2199" s="2" t="s">
        <v>938</v>
      </c>
      <c r="E2199" s="2" t="s">
        <v>189</v>
      </c>
      <c r="F2199" s="3">
        <v>19000</v>
      </c>
      <c r="G2199" s="4">
        <v>60</v>
      </c>
      <c r="H2199" s="5">
        <v>7.4999999999999997E-3</v>
      </c>
    </row>
    <row r="2200" spans="1:8" x14ac:dyDescent="0.35">
      <c r="A2200" s="2" t="s">
        <v>888</v>
      </c>
      <c r="B2200" s="2" t="s">
        <v>447</v>
      </c>
      <c r="C2200" s="2" t="s">
        <v>939</v>
      </c>
      <c r="D2200" s="2" t="s">
        <v>940</v>
      </c>
      <c r="E2200" s="2" t="s">
        <v>248</v>
      </c>
      <c r="F2200" s="3">
        <v>336.9</v>
      </c>
      <c r="G2200" s="4">
        <v>60</v>
      </c>
      <c r="H2200" s="5">
        <v>0</v>
      </c>
    </row>
    <row r="2201" spans="1:8" x14ac:dyDescent="0.35">
      <c r="A2201" s="2" t="s">
        <v>888</v>
      </c>
      <c r="B2201" s="2" t="s">
        <v>447</v>
      </c>
      <c r="C2201" s="2" t="s">
        <v>941</v>
      </c>
      <c r="D2201" s="2" t="s">
        <v>942</v>
      </c>
      <c r="E2201" s="2" t="s">
        <v>226</v>
      </c>
      <c r="F2201" s="3">
        <v>2364.9</v>
      </c>
      <c r="G2201" s="4">
        <v>60</v>
      </c>
      <c r="H2201" s="5">
        <v>7.4999999999999997E-3</v>
      </c>
    </row>
    <row r="2202" spans="1:8" x14ac:dyDescent="0.35">
      <c r="A2202" s="2" t="s">
        <v>888</v>
      </c>
      <c r="B2202" s="2" t="s">
        <v>447</v>
      </c>
      <c r="C2202" s="2" t="s">
        <v>943</v>
      </c>
      <c r="D2202" s="2" t="s">
        <v>944</v>
      </c>
      <c r="E2202" s="2" t="s">
        <v>226</v>
      </c>
      <c r="F2202" s="3">
        <v>1700</v>
      </c>
      <c r="G2202" s="4">
        <v>60</v>
      </c>
      <c r="H2202" s="5">
        <v>7.4999999999999997E-3</v>
      </c>
    </row>
    <row r="2203" spans="1:8" x14ac:dyDescent="0.35">
      <c r="A2203" s="2" t="s">
        <v>888</v>
      </c>
      <c r="B2203" s="2" t="s">
        <v>447</v>
      </c>
      <c r="C2203" s="2" t="s">
        <v>783</v>
      </c>
      <c r="D2203" s="2" t="s">
        <v>784</v>
      </c>
      <c r="E2203" s="2" t="s">
        <v>260</v>
      </c>
      <c r="F2203" s="3">
        <v>10000</v>
      </c>
      <c r="G2203" s="4">
        <v>60</v>
      </c>
      <c r="H2203" s="5">
        <v>7.4999999999999997E-3</v>
      </c>
    </row>
    <row r="2204" spans="1:8" x14ac:dyDescent="0.35">
      <c r="A2204" s="2" t="s">
        <v>888</v>
      </c>
      <c r="B2204" s="2" t="s">
        <v>447</v>
      </c>
      <c r="C2204" s="2" t="s">
        <v>945</v>
      </c>
      <c r="D2204" s="2" t="s">
        <v>946</v>
      </c>
      <c r="E2204" s="2" t="s">
        <v>947</v>
      </c>
      <c r="F2204" s="3">
        <v>819.9</v>
      </c>
      <c r="G2204" s="4">
        <v>60</v>
      </c>
      <c r="H2204" s="5">
        <v>0</v>
      </c>
    </row>
    <row r="2205" spans="1:8" x14ac:dyDescent="0.35">
      <c r="A2205" s="2" t="s">
        <v>888</v>
      </c>
      <c r="B2205" s="2" t="s">
        <v>447</v>
      </c>
      <c r="C2205" s="2" t="s">
        <v>948</v>
      </c>
      <c r="D2205" s="2" t="s">
        <v>949</v>
      </c>
      <c r="E2205" s="2" t="s">
        <v>950</v>
      </c>
      <c r="F2205" s="3">
        <v>80</v>
      </c>
      <c r="G2205" s="4">
        <v>60</v>
      </c>
      <c r="H2205" s="5">
        <v>0</v>
      </c>
    </row>
    <row r="2206" spans="1:8" x14ac:dyDescent="0.35">
      <c r="A2206" s="2" t="s">
        <v>888</v>
      </c>
      <c r="B2206" s="2" t="s">
        <v>447</v>
      </c>
      <c r="C2206" s="2" t="s">
        <v>951</v>
      </c>
      <c r="D2206" s="2" t="s">
        <v>952</v>
      </c>
      <c r="E2206" s="2" t="s">
        <v>950</v>
      </c>
      <c r="F2206" s="3">
        <v>80</v>
      </c>
      <c r="G2206" s="4">
        <v>60</v>
      </c>
      <c r="H2206" s="5">
        <v>0</v>
      </c>
    </row>
    <row r="2207" spans="1:8" x14ac:dyDescent="0.35">
      <c r="A2207" s="2" t="s">
        <v>888</v>
      </c>
      <c r="B2207" s="2" t="s">
        <v>447</v>
      </c>
      <c r="C2207" s="2" t="s">
        <v>953</v>
      </c>
      <c r="D2207" s="2" t="s">
        <v>954</v>
      </c>
      <c r="E2207" s="2" t="s">
        <v>955</v>
      </c>
      <c r="F2207" s="3">
        <v>73.989999999999995</v>
      </c>
      <c r="G2207" s="4">
        <v>60</v>
      </c>
      <c r="H2207" s="5">
        <v>0</v>
      </c>
    </row>
    <row r="2208" spans="1:8" x14ac:dyDescent="0.35">
      <c r="A2208" s="2" t="s">
        <v>888</v>
      </c>
      <c r="B2208" s="2" t="s">
        <v>447</v>
      </c>
      <c r="C2208" s="2" t="s">
        <v>956</v>
      </c>
      <c r="D2208" s="2" t="s">
        <v>957</v>
      </c>
      <c r="E2208" s="2" t="s">
        <v>303</v>
      </c>
      <c r="F2208" s="3">
        <v>82</v>
      </c>
      <c r="G2208" s="4">
        <v>60</v>
      </c>
      <c r="H2208" s="5">
        <v>0</v>
      </c>
    </row>
    <row r="2209" spans="1:8" x14ac:dyDescent="0.35">
      <c r="A2209" s="2" t="s">
        <v>888</v>
      </c>
      <c r="B2209" s="2" t="s">
        <v>447</v>
      </c>
      <c r="C2209" s="2" t="s">
        <v>958</v>
      </c>
      <c r="D2209" s="2" t="s">
        <v>959</v>
      </c>
      <c r="E2209" s="2" t="s">
        <v>322</v>
      </c>
      <c r="F2209" s="3">
        <v>50</v>
      </c>
      <c r="G2209" s="4">
        <v>60</v>
      </c>
      <c r="H2209" s="5">
        <v>0</v>
      </c>
    </row>
    <row r="2210" spans="1:8" x14ac:dyDescent="0.35">
      <c r="A2210" s="2" t="s">
        <v>888</v>
      </c>
      <c r="B2210" s="2" t="s">
        <v>447</v>
      </c>
      <c r="C2210" s="2" t="s">
        <v>960</v>
      </c>
      <c r="D2210" s="2" t="s">
        <v>961</v>
      </c>
      <c r="E2210" s="2" t="s">
        <v>322</v>
      </c>
      <c r="F2210" s="3">
        <v>50</v>
      </c>
      <c r="G2210" s="4">
        <v>60</v>
      </c>
      <c r="H2210" s="5">
        <v>0</v>
      </c>
    </row>
    <row r="2211" spans="1:8" x14ac:dyDescent="0.35">
      <c r="A2211" s="2" t="s">
        <v>888</v>
      </c>
      <c r="B2211" s="2" t="s">
        <v>447</v>
      </c>
      <c r="C2211" s="2" t="s">
        <v>962</v>
      </c>
      <c r="D2211" s="2" t="s">
        <v>963</v>
      </c>
      <c r="E2211" s="2" t="s">
        <v>964</v>
      </c>
      <c r="F2211" s="3">
        <v>54.9</v>
      </c>
      <c r="G2211" s="4">
        <v>60</v>
      </c>
      <c r="H2211" s="5">
        <v>0</v>
      </c>
    </row>
    <row r="2212" spans="1:8" x14ac:dyDescent="0.35">
      <c r="A2212" s="2" t="s">
        <v>888</v>
      </c>
      <c r="B2212" s="2" t="s">
        <v>447</v>
      </c>
      <c r="C2212" s="2" t="s">
        <v>965</v>
      </c>
      <c r="D2212" s="2" t="s">
        <v>966</v>
      </c>
      <c r="E2212" s="2" t="s">
        <v>300</v>
      </c>
      <c r="F2212" s="3">
        <v>16.59</v>
      </c>
      <c r="G2212" s="4">
        <v>60</v>
      </c>
      <c r="H2212" s="5">
        <v>0</v>
      </c>
    </row>
    <row r="2213" spans="1:8" x14ac:dyDescent="0.35">
      <c r="A2213" s="2" t="s">
        <v>888</v>
      </c>
      <c r="B2213" s="2" t="s">
        <v>447</v>
      </c>
      <c r="C2213" s="2" t="s">
        <v>967</v>
      </c>
      <c r="D2213" s="2" t="s">
        <v>968</v>
      </c>
      <c r="E2213" s="2" t="s">
        <v>543</v>
      </c>
      <c r="F2213" s="3">
        <v>55000</v>
      </c>
      <c r="G2213" s="4">
        <v>60</v>
      </c>
      <c r="H2213" s="5">
        <v>7.4999999999999997E-3</v>
      </c>
    </row>
    <row r="2214" spans="1:8" x14ac:dyDescent="0.35">
      <c r="A2214" s="2" t="s">
        <v>888</v>
      </c>
      <c r="B2214" s="2" t="s">
        <v>447</v>
      </c>
      <c r="C2214" s="2" t="s">
        <v>969</v>
      </c>
      <c r="D2214" s="2" t="s">
        <v>970</v>
      </c>
      <c r="E2214" s="2" t="s">
        <v>434</v>
      </c>
      <c r="F2214" s="3">
        <v>1700</v>
      </c>
      <c r="G2214" s="4">
        <v>60</v>
      </c>
      <c r="H2214" s="5">
        <v>7.4999999999999997E-3</v>
      </c>
    </row>
    <row r="2215" spans="1:8" x14ac:dyDescent="0.35">
      <c r="A2215" s="2" t="s">
        <v>888</v>
      </c>
      <c r="B2215" s="2" t="s">
        <v>786</v>
      </c>
      <c r="C2215" s="2" t="s">
        <v>889</v>
      </c>
      <c r="D2215" s="2" t="s">
        <v>890</v>
      </c>
      <c r="E2215" s="2" t="s">
        <v>260</v>
      </c>
      <c r="F2215" s="3">
        <v>25347.85</v>
      </c>
      <c r="G2215" s="4">
        <v>24</v>
      </c>
      <c r="H2215" s="5">
        <v>0</v>
      </c>
    </row>
    <row r="2216" spans="1:8" x14ac:dyDescent="0.35">
      <c r="A2216" s="2" t="s">
        <v>888</v>
      </c>
      <c r="B2216" s="2" t="s">
        <v>786</v>
      </c>
      <c r="C2216" s="2" t="s">
        <v>891</v>
      </c>
      <c r="D2216" s="2" t="s">
        <v>892</v>
      </c>
      <c r="E2216" s="2" t="s">
        <v>45</v>
      </c>
      <c r="F2216" s="3">
        <v>750</v>
      </c>
      <c r="G2216" s="4">
        <v>24</v>
      </c>
      <c r="H2216" s="5">
        <v>0</v>
      </c>
    </row>
    <row r="2217" spans="1:8" x14ac:dyDescent="0.35">
      <c r="A2217" s="2" t="s">
        <v>888</v>
      </c>
      <c r="B2217" s="2" t="s">
        <v>786</v>
      </c>
      <c r="C2217" s="2" t="s">
        <v>893</v>
      </c>
      <c r="D2217" s="2" t="s">
        <v>894</v>
      </c>
      <c r="E2217" s="2" t="s">
        <v>895</v>
      </c>
      <c r="F2217" s="3">
        <v>45</v>
      </c>
      <c r="G2217" s="4">
        <v>24</v>
      </c>
      <c r="H2217" s="5">
        <v>0</v>
      </c>
    </row>
    <row r="2218" spans="1:8" x14ac:dyDescent="0.35">
      <c r="A2218" s="2" t="s">
        <v>888</v>
      </c>
      <c r="B2218" s="2" t="s">
        <v>786</v>
      </c>
      <c r="C2218" s="2" t="s">
        <v>896</v>
      </c>
      <c r="D2218" s="2" t="s">
        <v>897</v>
      </c>
      <c r="E2218" s="2" t="s">
        <v>898</v>
      </c>
      <c r="F2218" s="3">
        <v>800</v>
      </c>
      <c r="G2218" s="4">
        <v>24</v>
      </c>
      <c r="H2218" s="5">
        <v>0</v>
      </c>
    </row>
    <row r="2219" spans="1:8" x14ac:dyDescent="0.35">
      <c r="A2219" s="2" t="s">
        <v>888</v>
      </c>
      <c r="B2219" s="2" t="s">
        <v>786</v>
      </c>
      <c r="C2219" s="2" t="s">
        <v>899</v>
      </c>
      <c r="D2219" s="2" t="s">
        <v>900</v>
      </c>
      <c r="E2219" s="2" t="s">
        <v>297</v>
      </c>
      <c r="F2219" s="3">
        <v>25</v>
      </c>
      <c r="G2219" s="4">
        <v>24</v>
      </c>
      <c r="H2219" s="5">
        <v>0</v>
      </c>
    </row>
    <row r="2220" spans="1:8" x14ac:dyDescent="0.35">
      <c r="A2220" s="2" t="s">
        <v>888</v>
      </c>
      <c r="B2220" s="2" t="s">
        <v>786</v>
      </c>
      <c r="C2220" s="2" t="s">
        <v>901</v>
      </c>
      <c r="D2220" s="2" t="s">
        <v>902</v>
      </c>
      <c r="E2220" s="2" t="s">
        <v>48</v>
      </c>
      <c r="F2220" s="3">
        <v>437.06</v>
      </c>
      <c r="G2220" s="4">
        <v>24</v>
      </c>
      <c r="H2220" s="5">
        <v>0</v>
      </c>
    </row>
    <row r="2221" spans="1:8" x14ac:dyDescent="0.35">
      <c r="A2221" s="2" t="s">
        <v>888</v>
      </c>
      <c r="B2221" s="2" t="s">
        <v>786</v>
      </c>
      <c r="C2221" s="2" t="s">
        <v>903</v>
      </c>
      <c r="D2221" s="2" t="s">
        <v>904</v>
      </c>
      <c r="E2221" s="2" t="s">
        <v>48</v>
      </c>
      <c r="F2221" s="3">
        <v>437.06</v>
      </c>
      <c r="G2221" s="4">
        <v>24</v>
      </c>
      <c r="H2221" s="5">
        <v>0</v>
      </c>
    </row>
    <row r="2222" spans="1:8" x14ac:dyDescent="0.35">
      <c r="A2222" s="2" t="s">
        <v>888</v>
      </c>
      <c r="B2222" s="2" t="s">
        <v>786</v>
      </c>
      <c r="C2222" s="2" t="s">
        <v>905</v>
      </c>
      <c r="D2222" s="2" t="s">
        <v>906</v>
      </c>
      <c r="E2222" s="2" t="s">
        <v>907</v>
      </c>
      <c r="F2222" s="3">
        <v>50.64</v>
      </c>
      <c r="G2222" s="4">
        <v>60</v>
      </c>
      <c r="H2222" s="5">
        <v>0</v>
      </c>
    </row>
    <row r="2223" spans="1:8" x14ac:dyDescent="0.35">
      <c r="A2223" s="2" t="s">
        <v>888</v>
      </c>
      <c r="B2223" s="2" t="s">
        <v>786</v>
      </c>
      <c r="C2223" s="2" t="s">
        <v>908</v>
      </c>
      <c r="D2223" s="2" t="s">
        <v>909</v>
      </c>
      <c r="E2223" s="2" t="s">
        <v>92</v>
      </c>
      <c r="F2223" s="3">
        <v>873.19</v>
      </c>
      <c r="G2223" s="4">
        <v>60</v>
      </c>
      <c r="H2223" s="5">
        <v>0</v>
      </c>
    </row>
    <row r="2224" spans="1:8" x14ac:dyDescent="0.35">
      <c r="A2224" s="2" t="s">
        <v>888</v>
      </c>
      <c r="B2224" s="2" t="s">
        <v>786</v>
      </c>
      <c r="C2224" s="2" t="s">
        <v>910</v>
      </c>
      <c r="D2224" s="2" t="s">
        <v>911</v>
      </c>
      <c r="E2224" s="2" t="s">
        <v>92</v>
      </c>
      <c r="F2224" s="3">
        <v>873.19</v>
      </c>
      <c r="G2224" s="4">
        <v>60</v>
      </c>
      <c r="H2224" s="5">
        <v>0</v>
      </c>
    </row>
    <row r="2225" spans="1:8" x14ac:dyDescent="0.35">
      <c r="A2225" s="2" t="s">
        <v>888</v>
      </c>
      <c r="B2225" s="2" t="s">
        <v>786</v>
      </c>
      <c r="C2225" s="2" t="s">
        <v>912</v>
      </c>
      <c r="D2225" s="2" t="s">
        <v>913</v>
      </c>
      <c r="E2225" s="2" t="s">
        <v>92</v>
      </c>
      <c r="F2225" s="3">
        <v>873.19</v>
      </c>
      <c r="G2225" s="4">
        <v>60</v>
      </c>
      <c r="H2225" s="5">
        <v>0</v>
      </c>
    </row>
    <row r="2226" spans="1:8" x14ac:dyDescent="0.35">
      <c r="A2226" s="2" t="s">
        <v>888</v>
      </c>
      <c r="B2226" s="2" t="s">
        <v>786</v>
      </c>
      <c r="C2226" s="2" t="s">
        <v>914</v>
      </c>
      <c r="D2226" s="2" t="s">
        <v>915</v>
      </c>
      <c r="E2226" s="2" t="s">
        <v>916</v>
      </c>
      <c r="F2226" s="3">
        <v>34.75</v>
      </c>
      <c r="G2226" s="4">
        <v>60</v>
      </c>
      <c r="H2226" s="5">
        <v>0</v>
      </c>
    </row>
    <row r="2227" spans="1:8" x14ac:dyDescent="0.35">
      <c r="A2227" s="2" t="s">
        <v>888</v>
      </c>
      <c r="B2227" s="2" t="s">
        <v>786</v>
      </c>
      <c r="C2227" s="2" t="s">
        <v>917</v>
      </c>
      <c r="D2227" s="2" t="s">
        <v>918</v>
      </c>
      <c r="E2227" s="2" t="s">
        <v>115</v>
      </c>
      <c r="F2227" s="3">
        <v>411.96</v>
      </c>
      <c r="G2227" s="4">
        <v>48</v>
      </c>
      <c r="H2227" s="5">
        <v>0</v>
      </c>
    </row>
    <row r="2228" spans="1:8" x14ac:dyDescent="0.35">
      <c r="A2228" s="2" t="s">
        <v>888</v>
      </c>
      <c r="B2228" s="2" t="s">
        <v>786</v>
      </c>
      <c r="C2228" s="2" t="s">
        <v>919</v>
      </c>
      <c r="D2228" s="2" t="s">
        <v>920</v>
      </c>
      <c r="E2228" s="2" t="s">
        <v>115</v>
      </c>
      <c r="F2228" s="3">
        <v>118.09</v>
      </c>
      <c r="G2228" s="4">
        <v>60</v>
      </c>
      <c r="H2228" s="5">
        <v>0</v>
      </c>
    </row>
    <row r="2229" spans="1:8" x14ac:dyDescent="0.35">
      <c r="A2229" s="2" t="s">
        <v>888</v>
      </c>
      <c r="B2229" s="2" t="s">
        <v>786</v>
      </c>
      <c r="C2229" s="2" t="s">
        <v>921</v>
      </c>
      <c r="D2229" s="2" t="s">
        <v>922</v>
      </c>
      <c r="E2229" s="2" t="s">
        <v>923</v>
      </c>
      <c r="F2229" s="3">
        <v>4622</v>
      </c>
      <c r="G2229" s="4">
        <v>60</v>
      </c>
      <c r="H2229" s="5">
        <v>0</v>
      </c>
    </row>
    <row r="2230" spans="1:8" ht="14.5" customHeight="1" x14ac:dyDescent="0.35">
      <c r="A2230" s="2" t="s">
        <v>888</v>
      </c>
      <c r="B2230" s="2" t="s">
        <v>786</v>
      </c>
      <c r="C2230" s="2" t="s">
        <v>924</v>
      </c>
      <c r="D2230" s="2" t="s">
        <v>925</v>
      </c>
      <c r="E2230" s="2" t="s">
        <v>136</v>
      </c>
      <c r="F2230" s="3">
        <v>72.650000000000006</v>
      </c>
      <c r="G2230" s="4">
        <v>60</v>
      </c>
      <c r="H2230" s="5">
        <v>0</v>
      </c>
    </row>
    <row r="2231" spans="1:8" ht="14.5" customHeight="1" x14ac:dyDescent="0.35">
      <c r="A2231" s="2" t="s">
        <v>888</v>
      </c>
      <c r="B2231" s="2" t="s">
        <v>786</v>
      </c>
      <c r="C2231" s="2" t="s">
        <v>926</v>
      </c>
      <c r="D2231" s="2" t="s">
        <v>927</v>
      </c>
      <c r="E2231" s="2" t="s">
        <v>125</v>
      </c>
      <c r="F2231" s="3">
        <v>72.650000000000006</v>
      </c>
      <c r="G2231" s="4">
        <v>60</v>
      </c>
      <c r="H2231" s="5">
        <v>0</v>
      </c>
    </row>
    <row r="2232" spans="1:8" x14ac:dyDescent="0.35">
      <c r="A2232" s="2" t="s">
        <v>888</v>
      </c>
      <c r="B2232" s="2" t="s">
        <v>786</v>
      </c>
      <c r="C2232" s="2" t="s">
        <v>928</v>
      </c>
      <c r="D2232" s="2" t="s">
        <v>929</v>
      </c>
      <c r="E2232" s="2" t="s">
        <v>930</v>
      </c>
      <c r="F2232" s="3">
        <v>43.01</v>
      </c>
      <c r="G2232" s="4">
        <v>60</v>
      </c>
      <c r="H2232" s="5">
        <v>0</v>
      </c>
    </row>
    <row r="2233" spans="1:8" x14ac:dyDescent="0.35">
      <c r="A2233" s="2" t="s">
        <v>888</v>
      </c>
      <c r="B2233" s="2" t="s">
        <v>786</v>
      </c>
      <c r="C2233" s="2" t="s">
        <v>931</v>
      </c>
      <c r="D2233" s="2" t="s">
        <v>932</v>
      </c>
      <c r="E2233" s="2" t="s">
        <v>48</v>
      </c>
      <c r="F2233" s="3">
        <v>296.52</v>
      </c>
      <c r="G2233" s="4">
        <v>60</v>
      </c>
      <c r="H2233" s="5">
        <v>0</v>
      </c>
    </row>
    <row r="2234" spans="1:8" x14ac:dyDescent="0.35">
      <c r="A2234" s="2" t="s">
        <v>888</v>
      </c>
      <c r="B2234" s="2" t="s">
        <v>786</v>
      </c>
      <c r="C2234" s="2" t="s">
        <v>933</v>
      </c>
      <c r="D2234" s="2" t="s">
        <v>934</v>
      </c>
      <c r="E2234" s="6" t="s">
        <v>147</v>
      </c>
      <c r="F2234" s="3">
        <v>3651.65</v>
      </c>
      <c r="G2234" s="4">
        <v>60</v>
      </c>
      <c r="H2234" s="5">
        <v>0</v>
      </c>
    </row>
    <row r="2235" spans="1:8" x14ac:dyDescent="0.35">
      <c r="A2235" s="2" t="s">
        <v>888</v>
      </c>
      <c r="B2235" s="2" t="s">
        <v>786</v>
      </c>
      <c r="C2235" s="2" t="s">
        <v>935</v>
      </c>
      <c r="D2235" s="2" t="s">
        <v>936</v>
      </c>
      <c r="E2235" s="2" t="s">
        <v>237</v>
      </c>
      <c r="F2235" s="3">
        <v>1845</v>
      </c>
      <c r="G2235" s="4">
        <v>60</v>
      </c>
      <c r="H2235" s="5">
        <v>0</v>
      </c>
    </row>
    <row r="2236" spans="1:8" x14ac:dyDescent="0.35">
      <c r="A2236" s="2" t="s">
        <v>888</v>
      </c>
      <c r="B2236" s="2" t="s">
        <v>786</v>
      </c>
      <c r="C2236" s="2" t="s">
        <v>937</v>
      </c>
      <c r="D2236" s="2" t="s">
        <v>938</v>
      </c>
      <c r="E2236" s="2" t="s">
        <v>189</v>
      </c>
      <c r="F2236" s="3">
        <v>22000</v>
      </c>
      <c r="G2236" s="4">
        <v>60</v>
      </c>
      <c r="H2236" s="5">
        <v>0</v>
      </c>
    </row>
    <row r="2237" spans="1:8" x14ac:dyDescent="0.35">
      <c r="A2237" s="2" t="s">
        <v>888</v>
      </c>
      <c r="B2237" s="2" t="s">
        <v>786</v>
      </c>
      <c r="C2237" s="2" t="s">
        <v>939</v>
      </c>
      <c r="D2237" s="2" t="s">
        <v>940</v>
      </c>
      <c r="E2237" s="2" t="s">
        <v>248</v>
      </c>
      <c r="F2237" s="3">
        <v>568.63</v>
      </c>
      <c r="G2237" s="4">
        <v>60</v>
      </c>
      <c r="H2237" s="5">
        <v>0</v>
      </c>
    </row>
    <row r="2238" spans="1:8" x14ac:dyDescent="0.35">
      <c r="A2238" s="2" t="s">
        <v>888</v>
      </c>
      <c r="B2238" s="2" t="s">
        <v>786</v>
      </c>
      <c r="C2238" s="2" t="s">
        <v>941</v>
      </c>
      <c r="D2238" s="2" t="s">
        <v>942</v>
      </c>
      <c r="E2238" s="2" t="s">
        <v>226</v>
      </c>
      <c r="F2238" s="3">
        <v>2400</v>
      </c>
      <c r="G2238" s="4">
        <v>60</v>
      </c>
      <c r="H2238" s="5">
        <v>0</v>
      </c>
    </row>
    <row r="2239" spans="1:8" x14ac:dyDescent="0.35">
      <c r="A2239" s="2" t="s">
        <v>888</v>
      </c>
      <c r="B2239" s="2" t="s">
        <v>786</v>
      </c>
      <c r="C2239" s="2" t="s">
        <v>943</v>
      </c>
      <c r="D2239" s="2" t="s">
        <v>944</v>
      </c>
      <c r="E2239" s="2" t="s">
        <v>226</v>
      </c>
      <c r="F2239" s="3">
        <v>2700</v>
      </c>
      <c r="G2239" s="4">
        <v>60</v>
      </c>
      <c r="H2239" s="5">
        <v>0</v>
      </c>
    </row>
    <row r="2240" spans="1:8" x14ac:dyDescent="0.35">
      <c r="A2240" s="2" t="s">
        <v>888</v>
      </c>
      <c r="B2240" s="2" t="s">
        <v>786</v>
      </c>
      <c r="C2240" s="2" t="s">
        <v>783</v>
      </c>
      <c r="D2240" s="2" t="s">
        <v>784</v>
      </c>
      <c r="E2240" s="2" t="s">
        <v>260</v>
      </c>
      <c r="F2240" s="3">
        <v>11971.2</v>
      </c>
      <c r="G2240" s="4">
        <v>60</v>
      </c>
      <c r="H2240" s="5">
        <v>0</v>
      </c>
    </row>
    <row r="2241" spans="1:8" x14ac:dyDescent="0.35">
      <c r="A2241" s="2" t="s">
        <v>888</v>
      </c>
      <c r="B2241" s="2" t="s">
        <v>786</v>
      </c>
      <c r="C2241" s="2" t="s">
        <v>945</v>
      </c>
      <c r="D2241" s="2" t="s">
        <v>946</v>
      </c>
      <c r="E2241" s="2" t="s">
        <v>947</v>
      </c>
      <c r="F2241" s="3">
        <v>1900</v>
      </c>
      <c r="G2241" s="4">
        <v>60</v>
      </c>
      <c r="H2241" s="5">
        <v>0</v>
      </c>
    </row>
    <row r="2242" spans="1:8" x14ac:dyDescent="0.35">
      <c r="A2242" s="2" t="s">
        <v>888</v>
      </c>
      <c r="B2242" s="2" t="s">
        <v>786</v>
      </c>
      <c r="C2242" s="2" t="s">
        <v>948</v>
      </c>
      <c r="D2242" s="2" t="s">
        <v>949</v>
      </c>
      <c r="E2242" s="2" t="s">
        <v>950</v>
      </c>
      <c r="F2242" s="3">
        <v>85.35</v>
      </c>
      <c r="G2242" s="4">
        <v>60</v>
      </c>
      <c r="H2242" s="5">
        <v>0</v>
      </c>
    </row>
    <row r="2243" spans="1:8" x14ac:dyDescent="0.35">
      <c r="A2243" s="2" t="s">
        <v>888</v>
      </c>
      <c r="B2243" s="2" t="s">
        <v>786</v>
      </c>
      <c r="C2243" s="2" t="s">
        <v>951</v>
      </c>
      <c r="D2243" s="2" t="s">
        <v>952</v>
      </c>
      <c r="E2243" s="2" t="s">
        <v>950</v>
      </c>
      <c r="F2243" s="3">
        <v>85.35</v>
      </c>
      <c r="G2243" s="4">
        <v>60</v>
      </c>
      <c r="H2243" s="5">
        <v>0</v>
      </c>
    </row>
    <row r="2244" spans="1:8" x14ac:dyDescent="0.35">
      <c r="A2244" s="2" t="s">
        <v>888</v>
      </c>
      <c r="B2244" s="2" t="s">
        <v>786</v>
      </c>
      <c r="C2244" s="2" t="s">
        <v>953</v>
      </c>
      <c r="D2244" s="2" t="s">
        <v>954</v>
      </c>
      <c r="E2244" s="2" t="s">
        <v>955</v>
      </c>
      <c r="F2244" s="3">
        <v>58</v>
      </c>
      <c r="G2244" s="4">
        <v>60</v>
      </c>
      <c r="H2244" s="5">
        <v>0</v>
      </c>
    </row>
    <row r="2245" spans="1:8" x14ac:dyDescent="0.35">
      <c r="A2245" s="2" t="s">
        <v>888</v>
      </c>
      <c r="B2245" s="2" t="s">
        <v>786</v>
      </c>
      <c r="C2245" s="2" t="s">
        <v>956</v>
      </c>
      <c r="D2245" s="2" t="s">
        <v>957</v>
      </c>
      <c r="E2245" s="2" t="s">
        <v>303</v>
      </c>
      <c r="F2245" s="3">
        <v>78</v>
      </c>
      <c r="G2245" s="4">
        <v>60</v>
      </c>
      <c r="H2245" s="5">
        <v>0</v>
      </c>
    </row>
    <row r="2246" spans="1:8" x14ac:dyDescent="0.35">
      <c r="A2246" s="2" t="s">
        <v>888</v>
      </c>
      <c r="B2246" s="2" t="s">
        <v>786</v>
      </c>
      <c r="C2246" s="2" t="s">
        <v>958</v>
      </c>
      <c r="D2246" s="2" t="s">
        <v>959</v>
      </c>
      <c r="E2246" s="2" t="s">
        <v>322</v>
      </c>
      <c r="F2246" s="3">
        <v>52.32</v>
      </c>
      <c r="G2246" s="4">
        <v>60</v>
      </c>
      <c r="H2246" s="5">
        <v>0</v>
      </c>
    </row>
    <row r="2247" spans="1:8" x14ac:dyDescent="0.35">
      <c r="A2247" s="2" t="s">
        <v>888</v>
      </c>
      <c r="B2247" s="2" t="s">
        <v>786</v>
      </c>
      <c r="C2247" s="2" t="s">
        <v>960</v>
      </c>
      <c r="D2247" s="2" t="s">
        <v>961</v>
      </c>
      <c r="E2247" s="2" t="s">
        <v>322</v>
      </c>
      <c r="F2247" s="3">
        <v>52.32</v>
      </c>
      <c r="G2247" s="4">
        <v>60</v>
      </c>
      <c r="H2247" s="5">
        <v>0</v>
      </c>
    </row>
    <row r="2248" spans="1:8" x14ac:dyDescent="0.35">
      <c r="A2248" s="2" t="s">
        <v>888</v>
      </c>
      <c r="B2248" s="2" t="s">
        <v>786</v>
      </c>
      <c r="C2248" s="2" t="s">
        <v>962</v>
      </c>
      <c r="D2248" s="2" t="s">
        <v>963</v>
      </c>
      <c r="E2248" s="2" t="s">
        <v>964</v>
      </c>
      <c r="F2248" s="3">
        <v>47.44</v>
      </c>
      <c r="G2248" s="4">
        <v>60</v>
      </c>
      <c r="H2248" s="5">
        <v>0</v>
      </c>
    </row>
    <row r="2249" spans="1:8" x14ac:dyDescent="0.35">
      <c r="A2249" s="2" t="s">
        <v>888</v>
      </c>
      <c r="B2249" s="2" t="s">
        <v>786</v>
      </c>
      <c r="C2249" s="2" t="s">
        <v>965</v>
      </c>
      <c r="D2249" s="2" t="s">
        <v>966</v>
      </c>
      <c r="E2249" s="2" t="s">
        <v>300</v>
      </c>
      <c r="F2249" s="3">
        <v>23.52</v>
      </c>
      <c r="G2249" s="4">
        <v>60</v>
      </c>
      <c r="H2249" s="5">
        <v>0</v>
      </c>
    </row>
    <row r="2250" spans="1:8" x14ac:dyDescent="0.35">
      <c r="A2250" s="2" t="s">
        <v>888</v>
      </c>
      <c r="B2250" s="2" t="s">
        <v>786</v>
      </c>
      <c r="C2250" s="2" t="s">
        <v>967</v>
      </c>
      <c r="D2250" s="2" t="s">
        <v>968</v>
      </c>
      <c r="E2250" s="2" t="s">
        <v>543</v>
      </c>
      <c r="F2250" s="3">
        <v>55111.19</v>
      </c>
      <c r="G2250" s="4">
        <v>60</v>
      </c>
      <c r="H2250" s="5">
        <v>0</v>
      </c>
    </row>
    <row r="2251" spans="1:8" x14ac:dyDescent="0.35">
      <c r="A2251" s="2" t="s">
        <v>888</v>
      </c>
      <c r="B2251" s="2" t="s">
        <v>786</v>
      </c>
      <c r="C2251" s="2" t="s">
        <v>969</v>
      </c>
      <c r="D2251" s="2" t="s">
        <v>970</v>
      </c>
      <c r="E2251" s="2" t="s">
        <v>434</v>
      </c>
      <c r="F2251" s="3">
        <v>3429.25</v>
      </c>
      <c r="G2251" s="4">
        <v>60</v>
      </c>
      <c r="H2251" s="5">
        <v>0</v>
      </c>
    </row>
    <row r="2252" spans="1:8" x14ac:dyDescent="0.35">
      <c r="A2252" s="2" t="s">
        <v>888</v>
      </c>
      <c r="B2252" s="2" t="s">
        <v>788</v>
      </c>
      <c r="C2252" s="2" t="s">
        <v>889</v>
      </c>
      <c r="D2252" s="2" t="s">
        <v>890</v>
      </c>
      <c r="E2252" s="2" t="s">
        <v>260</v>
      </c>
      <c r="F2252" s="3">
        <v>21000</v>
      </c>
      <c r="G2252" s="4">
        <v>60</v>
      </c>
      <c r="H2252" s="5">
        <v>7.4999999999999997E-3</v>
      </c>
    </row>
    <row r="2253" spans="1:8" x14ac:dyDescent="0.35">
      <c r="A2253" s="2" t="s">
        <v>888</v>
      </c>
      <c r="B2253" s="2" t="s">
        <v>788</v>
      </c>
      <c r="C2253" s="2" t="s">
        <v>891</v>
      </c>
      <c r="D2253" s="2" t="s">
        <v>892</v>
      </c>
      <c r="E2253" s="2" t="s">
        <v>45</v>
      </c>
      <c r="F2253" s="3">
        <v>1500</v>
      </c>
      <c r="G2253" s="4">
        <v>60</v>
      </c>
      <c r="H2253" s="5">
        <v>7.4999999999999997E-3</v>
      </c>
    </row>
    <row r="2254" spans="1:8" x14ac:dyDescent="0.35">
      <c r="A2254" s="2" t="s">
        <v>888</v>
      </c>
      <c r="B2254" s="2" t="s">
        <v>788</v>
      </c>
      <c r="C2254" s="2" t="s">
        <v>893</v>
      </c>
      <c r="D2254" s="2" t="s">
        <v>894</v>
      </c>
      <c r="E2254" s="2" t="s">
        <v>895</v>
      </c>
      <c r="F2254" s="3">
        <v>42.82</v>
      </c>
      <c r="G2254" s="4">
        <v>60</v>
      </c>
      <c r="H2254" s="5">
        <v>0</v>
      </c>
    </row>
    <row r="2255" spans="1:8" x14ac:dyDescent="0.35">
      <c r="A2255" s="2" t="s">
        <v>888</v>
      </c>
      <c r="B2255" s="2" t="s">
        <v>788</v>
      </c>
      <c r="C2255" s="2" t="s">
        <v>896</v>
      </c>
      <c r="D2255" s="2" t="s">
        <v>897</v>
      </c>
      <c r="E2255" s="2" t="s">
        <v>898</v>
      </c>
      <c r="F2255" s="3">
        <v>650</v>
      </c>
      <c r="G2255" s="4">
        <v>60</v>
      </c>
      <c r="H2255" s="5">
        <v>0</v>
      </c>
    </row>
    <row r="2256" spans="1:8" x14ac:dyDescent="0.35">
      <c r="A2256" s="2" t="s">
        <v>888</v>
      </c>
      <c r="B2256" s="2" t="s">
        <v>788</v>
      </c>
      <c r="C2256" s="2" t="s">
        <v>899</v>
      </c>
      <c r="D2256" s="2" t="s">
        <v>900</v>
      </c>
      <c r="E2256" s="2" t="s">
        <v>297</v>
      </c>
      <c r="F2256" s="3">
        <v>26.9</v>
      </c>
      <c r="G2256" s="4">
        <v>36</v>
      </c>
      <c r="H2256" s="5">
        <v>0</v>
      </c>
    </row>
    <row r="2257" spans="1:8" x14ac:dyDescent="0.35">
      <c r="A2257" s="2" t="s">
        <v>888</v>
      </c>
      <c r="B2257" s="2" t="s">
        <v>788</v>
      </c>
      <c r="C2257" s="2" t="s">
        <v>901</v>
      </c>
      <c r="D2257" s="2" t="s">
        <v>902</v>
      </c>
      <c r="E2257" s="2" t="s">
        <v>48</v>
      </c>
      <c r="F2257" s="3">
        <v>510</v>
      </c>
      <c r="G2257" s="4">
        <v>60</v>
      </c>
      <c r="H2257" s="5">
        <v>0</v>
      </c>
    </row>
    <row r="2258" spans="1:8" x14ac:dyDescent="0.35">
      <c r="A2258" s="2" t="s">
        <v>888</v>
      </c>
      <c r="B2258" s="2" t="s">
        <v>788</v>
      </c>
      <c r="C2258" s="2" t="s">
        <v>903</v>
      </c>
      <c r="D2258" s="2" t="s">
        <v>904</v>
      </c>
      <c r="E2258" s="2" t="s">
        <v>48</v>
      </c>
      <c r="F2258" s="3">
        <v>510</v>
      </c>
      <c r="G2258" s="4">
        <v>60</v>
      </c>
      <c r="H2258" s="5">
        <v>0</v>
      </c>
    </row>
    <row r="2259" spans="1:8" x14ac:dyDescent="0.35">
      <c r="A2259" s="2" t="s">
        <v>888</v>
      </c>
      <c r="B2259" s="2" t="s">
        <v>788</v>
      </c>
      <c r="C2259" s="2" t="s">
        <v>905</v>
      </c>
      <c r="D2259" s="2" t="s">
        <v>906</v>
      </c>
      <c r="E2259" s="2" t="s">
        <v>907</v>
      </c>
      <c r="F2259" s="3">
        <v>43.16</v>
      </c>
      <c r="G2259" s="4">
        <v>60</v>
      </c>
      <c r="H2259" s="5">
        <v>0</v>
      </c>
    </row>
    <row r="2260" spans="1:8" x14ac:dyDescent="0.35">
      <c r="A2260" s="2" t="s">
        <v>888</v>
      </c>
      <c r="B2260" s="2" t="s">
        <v>788</v>
      </c>
      <c r="C2260" s="2" t="s">
        <v>908</v>
      </c>
      <c r="D2260" s="2" t="s">
        <v>909</v>
      </c>
      <c r="E2260" s="2" t="s">
        <v>92</v>
      </c>
      <c r="F2260" s="3">
        <v>799</v>
      </c>
      <c r="G2260" s="4">
        <v>60</v>
      </c>
      <c r="H2260" s="5">
        <v>0</v>
      </c>
    </row>
    <row r="2261" spans="1:8" x14ac:dyDescent="0.35">
      <c r="A2261" s="2" t="s">
        <v>888</v>
      </c>
      <c r="B2261" s="2" t="s">
        <v>788</v>
      </c>
      <c r="C2261" s="2" t="s">
        <v>910</v>
      </c>
      <c r="D2261" s="2" t="s">
        <v>911</v>
      </c>
      <c r="E2261" s="2" t="s">
        <v>92</v>
      </c>
      <c r="F2261" s="3">
        <v>799</v>
      </c>
      <c r="G2261" s="4">
        <v>60</v>
      </c>
      <c r="H2261" s="5">
        <v>0</v>
      </c>
    </row>
    <row r="2262" spans="1:8" x14ac:dyDescent="0.35">
      <c r="A2262" s="2" t="s">
        <v>888</v>
      </c>
      <c r="B2262" s="2" t="s">
        <v>788</v>
      </c>
      <c r="C2262" s="2" t="s">
        <v>912</v>
      </c>
      <c r="D2262" s="2" t="s">
        <v>913</v>
      </c>
      <c r="E2262" s="2" t="s">
        <v>92</v>
      </c>
      <c r="F2262" s="3">
        <v>799</v>
      </c>
      <c r="G2262" s="4">
        <v>60</v>
      </c>
      <c r="H2262" s="5">
        <v>0</v>
      </c>
    </row>
    <row r="2263" spans="1:8" x14ac:dyDescent="0.35">
      <c r="A2263" s="2" t="s">
        <v>888</v>
      </c>
      <c r="B2263" s="2" t="s">
        <v>788</v>
      </c>
      <c r="C2263" s="2" t="s">
        <v>914</v>
      </c>
      <c r="D2263" s="2" t="s">
        <v>915</v>
      </c>
      <c r="E2263" s="2" t="s">
        <v>916</v>
      </c>
      <c r="F2263" s="3">
        <v>52.9</v>
      </c>
      <c r="G2263" s="4">
        <v>60</v>
      </c>
      <c r="H2263" s="5">
        <v>0</v>
      </c>
    </row>
    <row r="2264" spans="1:8" x14ac:dyDescent="0.35">
      <c r="A2264" s="2" t="s">
        <v>888</v>
      </c>
      <c r="B2264" s="2" t="s">
        <v>788</v>
      </c>
      <c r="C2264" s="2" t="s">
        <v>917</v>
      </c>
      <c r="D2264" s="2" t="s">
        <v>918</v>
      </c>
      <c r="E2264" s="2" t="s">
        <v>115</v>
      </c>
      <c r="F2264" s="3">
        <v>449.9</v>
      </c>
      <c r="G2264" s="4">
        <v>60</v>
      </c>
      <c r="H2264" s="5">
        <v>0</v>
      </c>
    </row>
    <row r="2265" spans="1:8" x14ac:dyDescent="0.35">
      <c r="A2265" s="2" t="s">
        <v>888</v>
      </c>
      <c r="B2265" s="2" t="s">
        <v>788</v>
      </c>
      <c r="C2265" s="2" t="s">
        <v>919</v>
      </c>
      <c r="D2265" s="2" t="s">
        <v>920</v>
      </c>
      <c r="E2265" s="2" t="s">
        <v>115</v>
      </c>
      <c r="F2265" s="3">
        <v>146.21</v>
      </c>
      <c r="G2265" s="4">
        <v>60</v>
      </c>
      <c r="H2265" s="5">
        <v>0</v>
      </c>
    </row>
    <row r="2266" spans="1:8" x14ac:dyDescent="0.35">
      <c r="A2266" s="2" t="s">
        <v>888</v>
      </c>
      <c r="B2266" s="2" t="s">
        <v>788</v>
      </c>
      <c r="C2266" s="2" t="s">
        <v>921</v>
      </c>
      <c r="D2266" s="2" t="s">
        <v>922</v>
      </c>
      <c r="E2266" s="2" t="s">
        <v>923</v>
      </c>
      <c r="F2266" s="3">
        <v>2800</v>
      </c>
      <c r="G2266" s="4">
        <v>60</v>
      </c>
      <c r="H2266" s="5">
        <v>7.4999999999999997E-3</v>
      </c>
    </row>
    <row r="2267" spans="1:8" ht="14.5" customHeight="1" x14ac:dyDescent="0.35">
      <c r="A2267" s="2" t="s">
        <v>888</v>
      </c>
      <c r="B2267" s="2" t="s">
        <v>788</v>
      </c>
      <c r="C2267" s="2" t="s">
        <v>924</v>
      </c>
      <c r="D2267" s="2" t="s">
        <v>925</v>
      </c>
      <c r="E2267" s="2" t="s">
        <v>136</v>
      </c>
      <c r="F2267" s="3">
        <v>33</v>
      </c>
      <c r="G2267" s="4">
        <v>2</v>
      </c>
      <c r="H2267" s="5">
        <v>0</v>
      </c>
    </row>
    <row r="2268" spans="1:8" ht="14.5" customHeight="1" x14ac:dyDescent="0.35">
      <c r="A2268" s="2" t="s">
        <v>888</v>
      </c>
      <c r="B2268" s="2" t="s">
        <v>788</v>
      </c>
      <c r="C2268" s="2" t="s">
        <v>926</v>
      </c>
      <c r="D2268" s="2" t="s">
        <v>927</v>
      </c>
      <c r="E2268" s="2" t="s">
        <v>125</v>
      </c>
      <c r="F2268" s="3">
        <v>33</v>
      </c>
      <c r="G2268" s="4">
        <v>2</v>
      </c>
      <c r="H2268" s="5">
        <v>0</v>
      </c>
    </row>
    <row r="2269" spans="1:8" x14ac:dyDescent="0.35">
      <c r="A2269" s="2" t="s">
        <v>888</v>
      </c>
      <c r="B2269" s="2" t="s">
        <v>788</v>
      </c>
      <c r="C2269" s="2" t="s">
        <v>928</v>
      </c>
      <c r="D2269" s="2" t="s">
        <v>929</v>
      </c>
      <c r="E2269" s="2" t="s">
        <v>930</v>
      </c>
      <c r="F2269" s="3">
        <v>44.3</v>
      </c>
      <c r="G2269" s="4">
        <v>60</v>
      </c>
      <c r="H2269" s="5">
        <v>0</v>
      </c>
    </row>
    <row r="2270" spans="1:8" x14ac:dyDescent="0.35">
      <c r="A2270" s="2" t="s">
        <v>888</v>
      </c>
      <c r="B2270" s="2" t="s">
        <v>788</v>
      </c>
      <c r="C2270" s="2" t="s">
        <v>931</v>
      </c>
      <c r="D2270" s="2" t="s">
        <v>932</v>
      </c>
      <c r="E2270" s="2" t="s">
        <v>48</v>
      </c>
      <c r="F2270" s="3">
        <v>375.33</v>
      </c>
      <c r="G2270" s="4">
        <v>60</v>
      </c>
      <c r="H2270" s="5">
        <v>0</v>
      </c>
    </row>
    <row r="2271" spans="1:8" x14ac:dyDescent="0.35">
      <c r="A2271" s="2" t="s">
        <v>888</v>
      </c>
      <c r="B2271" s="2" t="s">
        <v>788</v>
      </c>
      <c r="C2271" s="2" t="s">
        <v>933</v>
      </c>
      <c r="D2271" s="2" t="s">
        <v>934</v>
      </c>
      <c r="E2271" s="6" t="s">
        <v>147</v>
      </c>
      <c r="F2271" s="3">
        <v>4800</v>
      </c>
      <c r="G2271" s="4">
        <v>60</v>
      </c>
      <c r="H2271" s="5">
        <v>7.4999999999999997E-3</v>
      </c>
    </row>
    <row r="2272" spans="1:8" x14ac:dyDescent="0.35">
      <c r="A2272" s="2" t="s">
        <v>888</v>
      </c>
      <c r="B2272" s="2" t="s">
        <v>788</v>
      </c>
      <c r="C2272" s="2" t="s">
        <v>935</v>
      </c>
      <c r="D2272" s="2" t="s">
        <v>936</v>
      </c>
      <c r="E2272" s="2" t="s">
        <v>237</v>
      </c>
      <c r="F2272" s="3">
        <v>1000</v>
      </c>
      <c r="G2272" s="4">
        <v>60</v>
      </c>
      <c r="H2272" s="5">
        <v>0</v>
      </c>
    </row>
    <row r="2273" spans="1:8" x14ac:dyDescent="0.35">
      <c r="A2273" s="2" t="s">
        <v>888</v>
      </c>
      <c r="B2273" s="2" t="s">
        <v>788</v>
      </c>
      <c r="C2273" s="2" t="s">
        <v>937</v>
      </c>
      <c r="D2273" s="2" t="s">
        <v>938</v>
      </c>
      <c r="E2273" s="2" t="s">
        <v>189</v>
      </c>
      <c r="F2273" s="3">
        <v>19000</v>
      </c>
      <c r="G2273" s="4">
        <v>60</v>
      </c>
      <c r="H2273" s="5">
        <v>7.4999999999999997E-3</v>
      </c>
    </row>
    <row r="2274" spans="1:8" x14ac:dyDescent="0.35">
      <c r="A2274" s="2" t="s">
        <v>888</v>
      </c>
      <c r="B2274" s="2" t="s">
        <v>788</v>
      </c>
      <c r="C2274" s="2" t="s">
        <v>939</v>
      </c>
      <c r="D2274" s="2" t="s">
        <v>940</v>
      </c>
      <c r="E2274" s="2" t="s">
        <v>248</v>
      </c>
      <c r="F2274" s="3">
        <v>336.9</v>
      </c>
      <c r="G2274" s="4">
        <v>60</v>
      </c>
      <c r="H2274" s="5">
        <v>0</v>
      </c>
    </row>
    <row r="2275" spans="1:8" x14ac:dyDescent="0.35">
      <c r="A2275" s="2" t="s">
        <v>888</v>
      </c>
      <c r="B2275" s="2" t="s">
        <v>788</v>
      </c>
      <c r="C2275" s="2" t="s">
        <v>941</v>
      </c>
      <c r="D2275" s="2" t="s">
        <v>942</v>
      </c>
      <c r="E2275" s="2" t="s">
        <v>226</v>
      </c>
      <c r="F2275" s="3">
        <v>2364.9</v>
      </c>
      <c r="G2275" s="4">
        <v>60</v>
      </c>
      <c r="H2275" s="5">
        <v>7.4999999999999997E-3</v>
      </c>
    </row>
    <row r="2276" spans="1:8" x14ac:dyDescent="0.35">
      <c r="A2276" s="2" t="s">
        <v>888</v>
      </c>
      <c r="B2276" s="2" t="s">
        <v>788</v>
      </c>
      <c r="C2276" s="2" t="s">
        <v>943</v>
      </c>
      <c r="D2276" s="2" t="s">
        <v>944</v>
      </c>
      <c r="E2276" s="2" t="s">
        <v>226</v>
      </c>
      <c r="F2276" s="3">
        <v>1700</v>
      </c>
      <c r="G2276" s="4">
        <v>60</v>
      </c>
      <c r="H2276" s="5">
        <v>7.4999999999999997E-3</v>
      </c>
    </row>
    <row r="2277" spans="1:8" x14ac:dyDescent="0.35">
      <c r="A2277" s="2" t="s">
        <v>888</v>
      </c>
      <c r="B2277" s="2" t="s">
        <v>788</v>
      </c>
      <c r="C2277" s="2" t="s">
        <v>783</v>
      </c>
      <c r="D2277" s="2" t="s">
        <v>784</v>
      </c>
      <c r="E2277" s="2" t="s">
        <v>260</v>
      </c>
      <c r="F2277" s="3">
        <v>10000</v>
      </c>
      <c r="G2277" s="4">
        <v>60</v>
      </c>
      <c r="H2277" s="5">
        <v>7.4999999999999997E-3</v>
      </c>
    </row>
    <row r="2278" spans="1:8" x14ac:dyDescent="0.35">
      <c r="A2278" s="2" t="s">
        <v>888</v>
      </c>
      <c r="B2278" s="2" t="s">
        <v>788</v>
      </c>
      <c r="C2278" s="2" t="s">
        <v>945</v>
      </c>
      <c r="D2278" s="2" t="s">
        <v>946</v>
      </c>
      <c r="E2278" s="2" t="s">
        <v>947</v>
      </c>
      <c r="F2278" s="3">
        <v>819.9</v>
      </c>
      <c r="G2278" s="4">
        <v>60</v>
      </c>
      <c r="H2278" s="5">
        <v>0</v>
      </c>
    </row>
    <row r="2279" spans="1:8" x14ac:dyDescent="0.35">
      <c r="A2279" s="2" t="s">
        <v>888</v>
      </c>
      <c r="B2279" s="2" t="s">
        <v>788</v>
      </c>
      <c r="C2279" s="2" t="s">
        <v>948</v>
      </c>
      <c r="D2279" s="2" t="s">
        <v>949</v>
      </c>
      <c r="E2279" s="2" t="s">
        <v>950</v>
      </c>
      <c r="F2279" s="3">
        <v>80</v>
      </c>
      <c r="G2279" s="4">
        <v>60</v>
      </c>
      <c r="H2279" s="5">
        <v>0</v>
      </c>
    </row>
    <row r="2280" spans="1:8" x14ac:dyDescent="0.35">
      <c r="A2280" s="2" t="s">
        <v>888</v>
      </c>
      <c r="B2280" s="2" t="s">
        <v>788</v>
      </c>
      <c r="C2280" s="2" t="s">
        <v>951</v>
      </c>
      <c r="D2280" s="2" t="s">
        <v>952</v>
      </c>
      <c r="E2280" s="2" t="s">
        <v>950</v>
      </c>
      <c r="F2280" s="3">
        <v>80</v>
      </c>
      <c r="G2280" s="4">
        <v>60</v>
      </c>
      <c r="H2280" s="5">
        <v>0</v>
      </c>
    </row>
    <row r="2281" spans="1:8" x14ac:dyDescent="0.35">
      <c r="A2281" s="2" t="s">
        <v>888</v>
      </c>
      <c r="B2281" s="2" t="s">
        <v>788</v>
      </c>
      <c r="C2281" s="2" t="s">
        <v>953</v>
      </c>
      <c r="D2281" s="2" t="s">
        <v>954</v>
      </c>
      <c r="E2281" s="2" t="s">
        <v>955</v>
      </c>
      <c r="F2281" s="3">
        <v>73.989999999999995</v>
      </c>
      <c r="G2281" s="4">
        <v>60</v>
      </c>
      <c r="H2281" s="5">
        <v>0</v>
      </c>
    </row>
    <row r="2282" spans="1:8" x14ac:dyDescent="0.35">
      <c r="A2282" s="2" t="s">
        <v>888</v>
      </c>
      <c r="B2282" s="2" t="s">
        <v>788</v>
      </c>
      <c r="C2282" s="2" t="s">
        <v>956</v>
      </c>
      <c r="D2282" s="2" t="s">
        <v>957</v>
      </c>
      <c r="E2282" s="2" t="s">
        <v>303</v>
      </c>
      <c r="F2282" s="3">
        <v>82</v>
      </c>
      <c r="G2282" s="4">
        <v>60</v>
      </c>
      <c r="H2282" s="5">
        <v>0</v>
      </c>
    </row>
    <row r="2283" spans="1:8" x14ac:dyDescent="0.35">
      <c r="A2283" s="2" t="s">
        <v>888</v>
      </c>
      <c r="B2283" s="2" t="s">
        <v>788</v>
      </c>
      <c r="C2283" s="2" t="s">
        <v>958</v>
      </c>
      <c r="D2283" s="2" t="s">
        <v>959</v>
      </c>
      <c r="E2283" s="2" t="s">
        <v>322</v>
      </c>
      <c r="F2283" s="3">
        <v>50</v>
      </c>
      <c r="G2283" s="4">
        <v>60</v>
      </c>
      <c r="H2283" s="5">
        <v>0</v>
      </c>
    </row>
    <row r="2284" spans="1:8" x14ac:dyDescent="0.35">
      <c r="A2284" s="2" t="s">
        <v>888</v>
      </c>
      <c r="B2284" s="2" t="s">
        <v>788</v>
      </c>
      <c r="C2284" s="2" t="s">
        <v>960</v>
      </c>
      <c r="D2284" s="2" t="s">
        <v>961</v>
      </c>
      <c r="E2284" s="2" t="s">
        <v>322</v>
      </c>
      <c r="F2284" s="3">
        <v>50</v>
      </c>
      <c r="G2284" s="4">
        <v>60</v>
      </c>
      <c r="H2284" s="5">
        <v>0</v>
      </c>
    </row>
    <row r="2285" spans="1:8" x14ac:dyDescent="0.35">
      <c r="A2285" s="2" t="s">
        <v>888</v>
      </c>
      <c r="B2285" s="2" t="s">
        <v>788</v>
      </c>
      <c r="C2285" s="2" t="s">
        <v>962</v>
      </c>
      <c r="D2285" s="2" t="s">
        <v>963</v>
      </c>
      <c r="E2285" s="2" t="s">
        <v>964</v>
      </c>
      <c r="F2285" s="3">
        <v>54.9</v>
      </c>
      <c r="G2285" s="4">
        <v>60</v>
      </c>
      <c r="H2285" s="5">
        <v>0</v>
      </c>
    </row>
    <row r="2286" spans="1:8" x14ac:dyDescent="0.35">
      <c r="A2286" s="2" t="s">
        <v>888</v>
      </c>
      <c r="B2286" s="2" t="s">
        <v>788</v>
      </c>
      <c r="C2286" s="2" t="s">
        <v>965</v>
      </c>
      <c r="D2286" s="2" t="s">
        <v>966</v>
      </c>
      <c r="E2286" s="2" t="s">
        <v>300</v>
      </c>
      <c r="F2286" s="3">
        <v>16.59</v>
      </c>
      <c r="G2286" s="4">
        <v>60</v>
      </c>
      <c r="H2286" s="5">
        <v>0</v>
      </c>
    </row>
    <row r="2287" spans="1:8" x14ac:dyDescent="0.35">
      <c r="A2287" s="2" t="s">
        <v>888</v>
      </c>
      <c r="B2287" s="2" t="s">
        <v>788</v>
      </c>
      <c r="C2287" s="2" t="s">
        <v>967</v>
      </c>
      <c r="D2287" s="2" t="s">
        <v>968</v>
      </c>
      <c r="E2287" s="2" t="s">
        <v>543</v>
      </c>
      <c r="F2287" s="3">
        <v>55000</v>
      </c>
      <c r="G2287" s="4">
        <v>60</v>
      </c>
      <c r="H2287" s="5">
        <v>7.4999999999999997E-3</v>
      </c>
    </row>
    <row r="2288" spans="1:8" x14ac:dyDescent="0.35">
      <c r="A2288" s="2" t="s">
        <v>888</v>
      </c>
      <c r="B2288" s="2" t="s">
        <v>788</v>
      </c>
      <c r="C2288" s="2" t="s">
        <v>969</v>
      </c>
      <c r="D2288" s="2" t="s">
        <v>970</v>
      </c>
      <c r="E2288" s="2" t="s">
        <v>434</v>
      </c>
      <c r="F2288" s="3">
        <v>1700</v>
      </c>
      <c r="G2288" s="4">
        <v>60</v>
      </c>
      <c r="H2288" s="5">
        <v>7.4999999999999997E-3</v>
      </c>
    </row>
    <row r="2289" spans="1:8" x14ac:dyDescent="0.35">
      <c r="A2289" s="2" t="s">
        <v>888</v>
      </c>
      <c r="B2289" s="2" t="s">
        <v>787</v>
      </c>
      <c r="C2289" s="2" t="s">
        <v>889</v>
      </c>
      <c r="D2289" s="2" t="s">
        <v>890</v>
      </c>
      <c r="E2289" s="2" t="s">
        <v>260</v>
      </c>
      <c r="F2289" s="3">
        <v>21000</v>
      </c>
      <c r="G2289" s="4">
        <v>60</v>
      </c>
      <c r="H2289" s="5">
        <v>4.7E-2</v>
      </c>
    </row>
    <row r="2290" spans="1:8" x14ac:dyDescent="0.35">
      <c r="A2290" s="2" t="s">
        <v>888</v>
      </c>
      <c r="B2290" s="2" t="s">
        <v>787</v>
      </c>
      <c r="C2290" s="2" t="s">
        <v>891</v>
      </c>
      <c r="D2290" s="2" t="s">
        <v>892</v>
      </c>
      <c r="E2290" s="2" t="s">
        <v>45</v>
      </c>
      <c r="F2290" s="3">
        <v>1500</v>
      </c>
      <c r="G2290" s="4">
        <v>60</v>
      </c>
      <c r="H2290" s="5">
        <v>7.4999999999999997E-3</v>
      </c>
    </row>
    <row r="2291" spans="1:8" x14ac:dyDescent="0.35">
      <c r="A2291" s="2" t="s">
        <v>888</v>
      </c>
      <c r="B2291" s="2" t="s">
        <v>787</v>
      </c>
      <c r="C2291" s="2" t="s">
        <v>893</v>
      </c>
      <c r="D2291" s="2" t="s">
        <v>894</v>
      </c>
      <c r="E2291" s="2" t="s">
        <v>895</v>
      </c>
      <c r="F2291" s="3">
        <v>42.82</v>
      </c>
      <c r="G2291" s="4">
        <v>60</v>
      </c>
      <c r="H2291" s="5">
        <v>0</v>
      </c>
    </row>
    <row r="2292" spans="1:8" x14ac:dyDescent="0.35">
      <c r="A2292" s="2" t="s">
        <v>888</v>
      </c>
      <c r="B2292" s="2" t="s">
        <v>787</v>
      </c>
      <c r="C2292" s="2" t="s">
        <v>896</v>
      </c>
      <c r="D2292" s="2" t="s">
        <v>897</v>
      </c>
      <c r="E2292" s="2" t="s">
        <v>898</v>
      </c>
      <c r="F2292" s="3">
        <v>400</v>
      </c>
      <c r="G2292" s="4">
        <v>60</v>
      </c>
      <c r="H2292" s="5">
        <v>0</v>
      </c>
    </row>
    <row r="2293" spans="1:8" x14ac:dyDescent="0.35">
      <c r="A2293" s="2" t="s">
        <v>888</v>
      </c>
      <c r="B2293" s="2" t="s">
        <v>787</v>
      </c>
      <c r="C2293" s="2" t="s">
        <v>899</v>
      </c>
      <c r="D2293" s="2" t="s">
        <v>900</v>
      </c>
      <c r="E2293" s="2" t="s">
        <v>297</v>
      </c>
      <c r="F2293" s="3">
        <v>26.9</v>
      </c>
      <c r="G2293" s="4">
        <v>36</v>
      </c>
      <c r="H2293" s="5">
        <v>0</v>
      </c>
    </row>
    <row r="2294" spans="1:8" x14ac:dyDescent="0.35">
      <c r="A2294" s="2" t="s">
        <v>888</v>
      </c>
      <c r="B2294" s="2" t="s">
        <v>787</v>
      </c>
      <c r="C2294" s="2" t="s">
        <v>901</v>
      </c>
      <c r="D2294" s="2" t="s">
        <v>902</v>
      </c>
      <c r="E2294" s="2" t="s">
        <v>48</v>
      </c>
      <c r="F2294" s="3">
        <v>510</v>
      </c>
      <c r="G2294" s="4">
        <v>60</v>
      </c>
      <c r="H2294" s="5">
        <v>0</v>
      </c>
    </row>
    <row r="2295" spans="1:8" x14ac:dyDescent="0.35">
      <c r="A2295" s="2" t="s">
        <v>888</v>
      </c>
      <c r="B2295" s="2" t="s">
        <v>787</v>
      </c>
      <c r="C2295" s="2" t="s">
        <v>903</v>
      </c>
      <c r="D2295" s="2" t="s">
        <v>904</v>
      </c>
      <c r="E2295" s="2" t="s">
        <v>48</v>
      </c>
      <c r="F2295" s="3">
        <v>510</v>
      </c>
      <c r="G2295" s="4">
        <v>60</v>
      </c>
      <c r="H2295" s="5">
        <v>0</v>
      </c>
    </row>
    <row r="2296" spans="1:8" x14ac:dyDescent="0.35">
      <c r="A2296" s="2" t="s">
        <v>888</v>
      </c>
      <c r="B2296" s="2" t="s">
        <v>787</v>
      </c>
      <c r="C2296" s="2" t="s">
        <v>905</v>
      </c>
      <c r="D2296" s="2" t="s">
        <v>906</v>
      </c>
      <c r="E2296" s="2" t="s">
        <v>907</v>
      </c>
      <c r="F2296" s="3">
        <v>48.29</v>
      </c>
      <c r="G2296" s="4">
        <v>60</v>
      </c>
      <c r="H2296" s="5">
        <v>0</v>
      </c>
    </row>
    <row r="2297" spans="1:8" x14ac:dyDescent="0.35">
      <c r="A2297" s="2" t="s">
        <v>888</v>
      </c>
      <c r="B2297" s="2" t="s">
        <v>787</v>
      </c>
      <c r="C2297" s="2" t="s">
        <v>908</v>
      </c>
      <c r="D2297" s="2" t="s">
        <v>909</v>
      </c>
      <c r="E2297" s="2" t="s">
        <v>92</v>
      </c>
      <c r="F2297" s="3">
        <v>821.26</v>
      </c>
      <c r="G2297" s="4">
        <v>60</v>
      </c>
      <c r="H2297" s="5">
        <v>0</v>
      </c>
    </row>
    <row r="2298" spans="1:8" x14ac:dyDescent="0.35">
      <c r="A2298" s="2" t="s">
        <v>888</v>
      </c>
      <c r="B2298" s="2" t="s">
        <v>787</v>
      </c>
      <c r="C2298" s="2" t="s">
        <v>910</v>
      </c>
      <c r="D2298" s="2" t="s">
        <v>911</v>
      </c>
      <c r="E2298" s="2" t="s">
        <v>92</v>
      </c>
      <c r="F2298" s="3">
        <v>821.26</v>
      </c>
      <c r="G2298" s="4">
        <v>60</v>
      </c>
      <c r="H2298" s="5">
        <v>0</v>
      </c>
    </row>
    <row r="2299" spans="1:8" x14ac:dyDescent="0.35">
      <c r="A2299" s="2" t="s">
        <v>888</v>
      </c>
      <c r="B2299" s="2" t="s">
        <v>787</v>
      </c>
      <c r="C2299" s="2" t="s">
        <v>912</v>
      </c>
      <c r="D2299" s="2" t="s">
        <v>913</v>
      </c>
      <c r="E2299" s="2" t="s">
        <v>92</v>
      </c>
      <c r="F2299" s="3">
        <v>821.26</v>
      </c>
      <c r="G2299" s="4">
        <v>60</v>
      </c>
      <c r="H2299" s="5">
        <v>0</v>
      </c>
    </row>
    <row r="2300" spans="1:8" x14ac:dyDescent="0.35">
      <c r="A2300" s="2" t="s">
        <v>888</v>
      </c>
      <c r="B2300" s="2" t="s">
        <v>787</v>
      </c>
      <c r="C2300" s="2" t="s">
        <v>914</v>
      </c>
      <c r="D2300" s="2" t="s">
        <v>915</v>
      </c>
      <c r="E2300" s="2" t="s">
        <v>916</v>
      </c>
      <c r="F2300" s="3">
        <v>52.9</v>
      </c>
      <c r="G2300" s="4">
        <v>60</v>
      </c>
      <c r="H2300" s="5">
        <v>0</v>
      </c>
    </row>
    <row r="2301" spans="1:8" x14ac:dyDescent="0.35">
      <c r="A2301" s="2" t="s">
        <v>888</v>
      </c>
      <c r="B2301" s="2" t="s">
        <v>787</v>
      </c>
      <c r="C2301" s="2" t="s">
        <v>917</v>
      </c>
      <c r="D2301" s="2" t="s">
        <v>918</v>
      </c>
      <c r="E2301" s="2" t="s">
        <v>115</v>
      </c>
      <c r="F2301" s="3">
        <v>449.9</v>
      </c>
      <c r="G2301" s="4">
        <v>60</v>
      </c>
      <c r="H2301" s="5">
        <v>0</v>
      </c>
    </row>
    <row r="2302" spans="1:8" x14ac:dyDescent="0.35">
      <c r="A2302" s="2" t="s">
        <v>888</v>
      </c>
      <c r="B2302" s="2" t="s">
        <v>787</v>
      </c>
      <c r="C2302" s="2" t="s">
        <v>919</v>
      </c>
      <c r="D2302" s="2" t="s">
        <v>920</v>
      </c>
      <c r="E2302" s="2" t="s">
        <v>115</v>
      </c>
      <c r="F2302" s="3">
        <v>146.21</v>
      </c>
      <c r="G2302" s="4">
        <v>60</v>
      </c>
      <c r="H2302" s="5">
        <v>0</v>
      </c>
    </row>
    <row r="2303" spans="1:8" x14ac:dyDescent="0.35">
      <c r="A2303" s="2" t="s">
        <v>888</v>
      </c>
      <c r="B2303" s="2" t="s">
        <v>787</v>
      </c>
      <c r="C2303" s="2" t="s">
        <v>921</v>
      </c>
      <c r="D2303" s="2" t="s">
        <v>922</v>
      </c>
      <c r="E2303" s="2" t="s">
        <v>923</v>
      </c>
      <c r="F2303" s="3">
        <v>2800</v>
      </c>
      <c r="G2303" s="4">
        <v>60</v>
      </c>
      <c r="H2303" s="5">
        <v>7.4999999999999997E-3</v>
      </c>
    </row>
    <row r="2304" spans="1:8" ht="14.5" customHeight="1" x14ac:dyDescent="0.35">
      <c r="A2304" s="2" t="s">
        <v>888</v>
      </c>
      <c r="B2304" s="2" t="s">
        <v>787</v>
      </c>
      <c r="C2304" s="2" t="s">
        <v>924</v>
      </c>
      <c r="D2304" s="2" t="s">
        <v>925</v>
      </c>
      <c r="E2304" s="2" t="s">
        <v>136</v>
      </c>
      <c r="F2304" s="3">
        <v>33</v>
      </c>
      <c r="G2304" s="4">
        <v>2</v>
      </c>
      <c r="H2304" s="5">
        <v>0</v>
      </c>
    </row>
    <row r="2305" spans="1:8" ht="14.5" customHeight="1" x14ac:dyDescent="0.35">
      <c r="A2305" s="2" t="s">
        <v>888</v>
      </c>
      <c r="B2305" s="2" t="s">
        <v>787</v>
      </c>
      <c r="C2305" s="2" t="s">
        <v>926</v>
      </c>
      <c r="D2305" s="2" t="s">
        <v>927</v>
      </c>
      <c r="E2305" s="2" t="s">
        <v>125</v>
      </c>
      <c r="F2305" s="3">
        <v>33</v>
      </c>
      <c r="G2305" s="4">
        <v>2</v>
      </c>
      <c r="H2305" s="5">
        <v>0</v>
      </c>
    </row>
    <row r="2306" spans="1:8" x14ac:dyDescent="0.35">
      <c r="A2306" s="2" t="s">
        <v>888</v>
      </c>
      <c r="B2306" s="2" t="s">
        <v>787</v>
      </c>
      <c r="C2306" s="2" t="s">
        <v>928</v>
      </c>
      <c r="D2306" s="2" t="s">
        <v>929</v>
      </c>
      <c r="E2306" s="2" t="s">
        <v>930</v>
      </c>
      <c r="F2306" s="3">
        <v>44.3</v>
      </c>
      <c r="G2306" s="4">
        <v>60</v>
      </c>
      <c r="H2306" s="5">
        <v>0</v>
      </c>
    </row>
    <row r="2307" spans="1:8" x14ac:dyDescent="0.35">
      <c r="A2307" s="2" t="s">
        <v>888</v>
      </c>
      <c r="B2307" s="2" t="s">
        <v>787</v>
      </c>
      <c r="C2307" s="2" t="s">
        <v>931</v>
      </c>
      <c r="D2307" s="2" t="s">
        <v>932</v>
      </c>
      <c r="E2307" s="2" t="s">
        <v>48</v>
      </c>
      <c r="F2307" s="3">
        <v>510.1</v>
      </c>
      <c r="G2307" s="4">
        <v>60</v>
      </c>
      <c r="H2307" s="5">
        <v>0</v>
      </c>
    </row>
    <row r="2308" spans="1:8" x14ac:dyDescent="0.35">
      <c r="A2308" s="2" t="s">
        <v>888</v>
      </c>
      <c r="B2308" s="2" t="s">
        <v>787</v>
      </c>
      <c r="C2308" s="2" t="s">
        <v>933</v>
      </c>
      <c r="D2308" s="2" t="s">
        <v>934</v>
      </c>
      <c r="E2308" s="6" t="s">
        <v>147</v>
      </c>
      <c r="F2308" s="3">
        <v>4800</v>
      </c>
      <c r="G2308" s="4">
        <v>60</v>
      </c>
      <c r="H2308" s="5">
        <v>7.4999999999999997E-3</v>
      </c>
    </row>
    <row r="2309" spans="1:8" x14ac:dyDescent="0.35">
      <c r="A2309" s="2" t="s">
        <v>888</v>
      </c>
      <c r="B2309" s="2" t="s">
        <v>787</v>
      </c>
      <c r="C2309" s="2" t="s">
        <v>935</v>
      </c>
      <c r="D2309" s="2" t="s">
        <v>936</v>
      </c>
      <c r="E2309" s="2" t="s">
        <v>237</v>
      </c>
      <c r="F2309" s="3">
        <v>1000</v>
      </c>
      <c r="G2309" s="4">
        <v>60</v>
      </c>
      <c r="H2309" s="5">
        <v>0</v>
      </c>
    </row>
    <row r="2310" spans="1:8" x14ac:dyDescent="0.35">
      <c r="A2310" s="2" t="s">
        <v>888</v>
      </c>
      <c r="B2310" s="2" t="s">
        <v>787</v>
      </c>
      <c r="C2310" s="2" t="s">
        <v>937</v>
      </c>
      <c r="D2310" s="2" t="s">
        <v>938</v>
      </c>
      <c r="E2310" s="2" t="s">
        <v>189</v>
      </c>
      <c r="F2310" s="3">
        <v>29000</v>
      </c>
      <c r="G2310" s="4">
        <v>60</v>
      </c>
      <c r="H2310" s="5">
        <v>7.4999999999999997E-3</v>
      </c>
    </row>
    <row r="2311" spans="1:8" x14ac:dyDescent="0.35">
      <c r="A2311" s="2" t="s">
        <v>888</v>
      </c>
      <c r="B2311" s="2" t="s">
        <v>787</v>
      </c>
      <c r="C2311" s="2" t="s">
        <v>939</v>
      </c>
      <c r="D2311" s="2" t="s">
        <v>940</v>
      </c>
      <c r="E2311" s="2" t="s">
        <v>248</v>
      </c>
      <c r="F2311" s="3">
        <v>54.61</v>
      </c>
      <c r="G2311" s="4">
        <v>60</v>
      </c>
      <c r="H2311" s="5">
        <v>0</v>
      </c>
    </row>
    <row r="2312" spans="1:8" x14ac:dyDescent="0.35">
      <c r="A2312" s="2" t="s">
        <v>888</v>
      </c>
      <c r="B2312" s="2" t="s">
        <v>787</v>
      </c>
      <c r="C2312" s="2" t="s">
        <v>941</v>
      </c>
      <c r="D2312" s="2" t="s">
        <v>942</v>
      </c>
      <c r="E2312" s="2" t="s">
        <v>226</v>
      </c>
      <c r="F2312" s="3">
        <v>2364.9</v>
      </c>
      <c r="G2312" s="4">
        <v>60</v>
      </c>
      <c r="H2312" s="5">
        <v>7.4999999999999997E-3</v>
      </c>
    </row>
    <row r="2313" spans="1:8" x14ac:dyDescent="0.35">
      <c r="A2313" s="2" t="s">
        <v>888</v>
      </c>
      <c r="B2313" s="2" t="s">
        <v>787</v>
      </c>
      <c r="C2313" s="2" t="s">
        <v>943</v>
      </c>
      <c r="D2313" s="2" t="s">
        <v>944</v>
      </c>
      <c r="E2313" s="2" t="s">
        <v>226</v>
      </c>
      <c r="F2313" s="3">
        <v>3450</v>
      </c>
      <c r="G2313" s="4">
        <v>60</v>
      </c>
      <c r="H2313" s="5">
        <v>7.4999999999999997E-3</v>
      </c>
    </row>
    <row r="2314" spans="1:8" x14ac:dyDescent="0.35">
      <c r="A2314" s="2" t="s">
        <v>888</v>
      </c>
      <c r="B2314" s="2" t="s">
        <v>787</v>
      </c>
      <c r="C2314" s="2" t="s">
        <v>783</v>
      </c>
      <c r="D2314" s="2" t="s">
        <v>784</v>
      </c>
      <c r="E2314" s="2" t="s">
        <v>260</v>
      </c>
      <c r="F2314" s="3">
        <v>10900</v>
      </c>
      <c r="G2314" s="4">
        <v>60</v>
      </c>
      <c r="H2314" s="5">
        <v>7.4999999999999997E-3</v>
      </c>
    </row>
    <row r="2315" spans="1:8" x14ac:dyDescent="0.35">
      <c r="A2315" s="2" t="s">
        <v>888</v>
      </c>
      <c r="B2315" s="2" t="s">
        <v>787</v>
      </c>
      <c r="C2315" s="2" t="s">
        <v>945</v>
      </c>
      <c r="D2315" s="2" t="s">
        <v>946</v>
      </c>
      <c r="E2315" s="2" t="s">
        <v>947</v>
      </c>
      <c r="F2315" s="3">
        <v>819.9</v>
      </c>
      <c r="G2315" s="4">
        <v>60</v>
      </c>
      <c r="H2315" s="5">
        <v>0</v>
      </c>
    </row>
    <row r="2316" spans="1:8" x14ac:dyDescent="0.35">
      <c r="A2316" s="2" t="s">
        <v>888</v>
      </c>
      <c r="B2316" s="2" t="s">
        <v>787</v>
      </c>
      <c r="C2316" s="2" t="s">
        <v>948</v>
      </c>
      <c r="D2316" s="2" t="s">
        <v>949</v>
      </c>
      <c r="E2316" s="2" t="s">
        <v>950</v>
      </c>
      <c r="F2316" s="3">
        <v>80</v>
      </c>
      <c r="G2316" s="4">
        <v>60</v>
      </c>
      <c r="H2316" s="5">
        <v>0</v>
      </c>
    </row>
    <row r="2317" spans="1:8" x14ac:dyDescent="0.35">
      <c r="A2317" s="2" t="s">
        <v>888</v>
      </c>
      <c r="B2317" s="2" t="s">
        <v>787</v>
      </c>
      <c r="C2317" s="2" t="s">
        <v>951</v>
      </c>
      <c r="D2317" s="2" t="s">
        <v>952</v>
      </c>
      <c r="E2317" s="2" t="s">
        <v>950</v>
      </c>
      <c r="F2317" s="3">
        <v>80</v>
      </c>
      <c r="G2317" s="4">
        <v>60</v>
      </c>
      <c r="H2317" s="5">
        <v>0</v>
      </c>
    </row>
    <row r="2318" spans="1:8" x14ac:dyDescent="0.35">
      <c r="A2318" s="2" t="s">
        <v>888</v>
      </c>
      <c r="B2318" s="2" t="s">
        <v>787</v>
      </c>
      <c r="C2318" s="2" t="s">
        <v>953</v>
      </c>
      <c r="D2318" s="2" t="s">
        <v>954</v>
      </c>
      <c r="E2318" s="2" t="s">
        <v>955</v>
      </c>
      <c r="F2318" s="3">
        <v>73.989999999999995</v>
      </c>
      <c r="G2318" s="4">
        <v>60</v>
      </c>
      <c r="H2318" s="5">
        <v>0</v>
      </c>
    </row>
    <row r="2319" spans="1:8" x14ac:dyDescent="0.35">
      <c r="A2319" s="2" t="s">
        <v>888</v>
      </c>
      <c r="B2319" s="2" t="s">
        <v>787</v>
      </c>
      <c r="C2319" s="2" t="s">
        <v>956</v>
      </c>
      <c r="D2319" s="2" t="s">
        <v>957</v>
      </c>
      <c r="E2319" s="2" t="s">
        <v>303</v>
      </c>
      <c r="F2319" s="3">
        <v>82</v>
      </c>
      <c r="G2319" s="4">
        <v>60</v>
      </c>
      <c r="H2319" s="5">
        <v>0</v>
      </c>
    </row>
    <row r="2320" spans="1:8" x14ac:dyDescent="0.35">
      <c r="A2320" s="2" t="s">
        <v>888</v>
      </c>
      <c r="B2320" s="2" t="s">
        <v>787</v>
      </c>
      <c r="C2320" s="2" t="s">
        <v>958</v>
      </c>
      <c r="D2320" s="2" t="s">
        <v>959</v>
      </c>
      <c r="E2320" s="2" t="s">
        <v>322</v>
      </c>
      <c r="F2320" s="3">
        <v>50</v>
      </c>
      <c r="G2320" s="4">
        <v>60</v>
      </c>
      <c r="H2320" s="5">
        <v>0</v>
      </c>
    </row>
    <row r="2321" spans="1:8" x14ac:dyDescent="0.35">
      <c r="A2321" s="2" t="s">
        <v>888</v>
      </c>
      <c r="B2321" s="2" t="s">
        <v>787</v>
      </c>
      <c r="C2321" s="2" t="s">
        <v>960</v>
      </c>
      <c r="D2321" s="2" t="s">
        <v>961</v>
      </c>
      <c r="E2321" s="2" t="s">
        <v>322</v>
      </c>
      <c r="F2321" s="3">
        <v>50</v>
      </c>
      <c r="G2321" s="4">
        <v>60</v>
      </c>
      <c r="H2321" s="5">
        <v>0</v>
      </c>
    </row>
    <row r="2322" spans="1:8" x14ac:dyDescent="0.35">
      <c r="A2322" s="2" t="s">
        <v>888</v>
      </c>
      <c r="B2322" s="2" t="s">
        <v>787</v>
      </c>
      <c r="C2322" s="2" t="s">
        <v>962</v>
      </c>
      <c r="D2322" s="2" t="s">
        <v>963</v>
      </c>
      <c r="E2322" s="2" t="s">
        <v>964</v>
      </c>
      <c r="F2322" s="3">
        <v>82</v>
      </c>
      <c r="G2322" s="4">
        <v>60</v>
      </c>
      <c r="H2322" s="5">
        <v>0</v>
      </c>
    </row>
    <row r="2323" spans="1:8" x14ac:dyDescent="0.35">
      <c r="A2323" s="2" t="s">
        <v>888</v>
      </c>
      <c r="B2323" s="2" t="s">
        <v>787</v>
      </c>
      <c r="C2323" s="2" t="s">
        <v>965</v>
      </c>
      <c r="D2323" s="2" t="s">
        <v>966</v>
      </c>
      <c r="E2323" s="2" t="s">
        <v>300</v>
      </c>
      <c r="F2323" s="3">
        <v>44.9</v>
      </c>
      <c r="G2323" s="4">
        <v>60</v>
      </c>
      <c r="H2323" s="5">
        <v>0</v>
      </c>
    </row>
    <row r="2324" spans="1:8" x14ac:dyDescent="0.35">
      <c r="A2324" s="2" t="s">
        <v>888</v>
      </c>
      <c r="B2324" s="2" t="s">
        <v>787</v>
      </c>
      <c r="C2324" s="2" t="s">
        <v>967</v>
      </c>
      <c r="D2324" s="2" t="s">
        <v>968</v>
      </c>
      <c r="E2324" s="2" t="s">
        <v>543</v>
      </c>
      <c r="F2324" s="3">
        <v>55000</v>
      </c>
      <c r="G2324" s="4">
        <v>60</v>
      </c>
      <c r="H2324" s="5">
        <v>7.4999999999999997E-3</v>
      </c>
    </row>
    <row r="2325" spans="1:8" x14ac:dyDescent="0.35">
      <c r="A2325" s="2" t="s">
        <v>888</v>
      </c>
      <c r="B2325" s="2" t="s">
        <v>787</v>
      </c>
      <c r="C2325" s="2" t="s">
        <v>969</v>
      </c>
      <c r="D2325" s="2" t="s">
        <v>970</v>
      </c>
      <c r="E2325" s="2" t="s">
        <v>434</v>
      </c>
      <c r="F2325" s="3">
        <v>2465.5</v>
      </c>
      <c r="G2325" s="4">
        <v>60</v>
      </c>
      <c r="H2325" s="5">
        <v>7.4999999999999997E-3</v>
      </c>
    </row>
    <row r="2326" spans="1:8" x14ac:dyDescent="0.35">
      <c r="A2326" s="2" t="s">
        <v>888</v>
      </c>
      <c r="B2326" s="2" t="s">
        <v>291</v>
      </c>
      <c r="C2326" s="2" t="s">
        <v>889</v>
      </c>
      <c r="D2326" s="2" t="s">
        <v>890</v>
      </c>
      <c r="E2326" s="2" t="s">
        <v>260</v>
      </c>
      <c r="F2326" s="3">
        <v>21000</v>
      </c>
      <c r="G2326" s="4">
        <v>60</v>
      </c>
      <c r="H2326" s="5">
        <v>7.4999999999999997E-3</v>
      </c>
    </row>
    <row r="2327" spans="1:8" x14ac:dyDescent="0.35">
      <c r="A2327" s="2" t="s">
        <v>888</v>
      </c>
      <c r="B2327" s="2" t="s">
        <v>291</v>
      </c>
      <c r="C2327" s="2" t="s">
        <v>891</v>
      </c>
      <c r="D2327" s="2" t="s">
        <v>892</v>
      </c>
      <c r="E2327" s="2" t="s">
        <v>45</v>
      </c>
      <c r="F2327" s="3">
        <v>1500</v>
      </c>
      <c r="G2327" s="4">
        <v>60</v>
      </c>
      <c r="H2327" s="5">
        <v>7.4999999999999997E-3</v>
      </c>
    </row>
    <row r="2328" spans="1:8" x14ac:dyDescent="0.35">
      <c r="A2328" s="2" t="s">
        <v>888</v>
      </c>
      <c r="B2328" s="2" t="s">
        <v>291</v>
      </c>
      <c r="C2328" s="2" t="s">
        <v>893</v>
      </c>
      <c r="D2328" s="2" t="s">
        <v>894</v>
      </c>
      <c r="E2328" s="2" t="s">
        <v>895</v>
      </c>
      <c r="F2328" s="3">
        <v>42.82</v>
      </c>
      <c r="G2328" s="4">
        <v>60</v>
      </c>
      <c r="H2328" s="5">
        <v>0</v>
      </c>
    </row>
    <row r="2329" spans="1:8" x14ac:dyDescent="0.35">
      <c r="A2329" s="2" t="s">
        <v>888</v>
      </c>
      <c r="B2329" s="2" t="s">
        <v>291</v>
      </c>
      <c r="C2329" s="2" t="s">
        <v>896</v>
      </c>
      <c r="D2329" s="2" t="s">
        <v>897</v>
      </c>
      <c r="E2329" s="2" t="s">
        <v>898</v>
      </c>
      <c r="F2329" s="3">
        <v>650</v>
      </c>
      <c r="G2329" s="4">
        <v>60</v>
      </c>
      <c r="H2329" s="5">
        <v>0</v>
      </c>
    </row>
    <row r="2330" spans="1:8" x14ac:dyDescent="0.35">
      <c r="A2330" s="2" t="s">
        <v>888</v>
      </c>
      <c r="B2330" s="2" t="s">
        <v>291</v>
      </c>
      <c r="C2330" s="2" t="s">
        <v>899</v>
      </c>
      <c r="D2330" s="2" t="s">
        <v>900</v>
      </c>
      <c r="E2330" s="2" t="s">
        <v>297</v>
      </c>
      <c r="F2330" s="3">
        <v>26.9</v>
      </c>
      <c r="G2330" s="4">
        <v>36</v>
      </c>
      <c r="H2330" s="5">
        <v>0</v>
      </c>
    </row>
    <row r="2331" spans="1:8" x14ac:dyDescent="0.35">
      <c r="A2331" s="2" t="s">
        <v>888</v>
      </c>
      <c r="B2331" s="2" t="s">
        <v>291</v>
      </c>
      <c r="C2331" s="2" t="s">
        <v>901</v>
      </c>
      <c r="D2331" s="2" t="s">
        <v>902</v>
      </c>
      <c r="E2331" s="2" t="s">
        <v>48</v>
      </c>
      <c r="F2331" s="3">
        <v>510</v>
      </c>
      <c r="G2331" s="4">
        <v>60</v>
      </c>
      <c r="H2331" s="5">
        <v>0</v>
      </c>
    </row>
    <row r="2332" spans="1:8" x14ac:dyDescent="0.35">
      <c r="A2332" s="2" t="s">
        <v>888</v>
      </c>
      <c r="B2332" s="2" t="s">
        <v>291</v>
      </c>
      <c r="C2332" s="2" t="s">
        <v>903</v>
      </c>
      <c r="D2332" s="2" t="s">
        <v>904</v>
      </c>
      <c r="E2332" s="2" t="s">
        <v>48</v>
      </c>
      <c r="F2332" s="3">
        <v>510</v>
      </c>
      <c r="G2332" s="4">
        <v>60</v>
      </c>
      <c r="H2332" s="5">
        <v>0</v>
      </c>
    </row>
    <row r="2333" spans="1:8" x14ac:dyDescent="0.35">
      <c r="A2333" s="2" t="s">
        <v>888</v>
      </c>
      <c r="B2333" s="2" t="s">
        <v>291</v>
      </c>
      <c r="C2333" s="2" t="s">
        <v>905</v>
      </c>
      <c r="D2333" s="2" t="s">
        <v>906</v>
      </c>
      <c r="E2333" s="2" t="s">
        <v>907</v>
      </c>
      <c r="F2333" s="3">
        <v>43.16</v>
      </c>
      <c r="G2333" s="4">
        <v>60</v>
      </c>
      <c r="H2333" s="5">
        <v>0</v>
      </c>
    </row>
    <row r="2334" spans="1:8" x14ac:dyDescent="0.35">
      <c r="A2334" s="2" t="s">
        <v>888</v>
      </c>
      <c r="B2334" s="2" t="s">
        <v>291</v>
      </c>
      <c r="C2334" s="2" t="s">
        <v>908</v>
      </c>
      <c r="D2334" s="2" t="s">
        <v>909</v>
      </c>
      <c r="E2334" s="2" t="s">
        <v>92</v>
      </c>
      <c r="F2334" s="3">
        <v>799</v>
      </c>
      <c r="G2334" s="4">
        <v>60</v>
      </c>
      <c r="H2334" s="5">
        <v>0</v>
      </c>
    </row>
    <row r="2335" spans="1:8" x14ac:dyDescent="0.35">
      <c r="A2335" s="2" t="s">
        <v>888</v>
      </c>
      <c r="B2335" s="2" t="s">
        <v>291</v>
      </c>
      <c r="C2335" s="2" t="s">
        <v>910</v>
      </c>
      <c r="D2335" s="2" t="s">
        <v>911</v>
      </c>
      <c r="E2335" s="2" t="s">
        <v>92</v>
      </c>
      <c r="F2335" s="3">
        <v>799</v>
      </c>
      <c r="G2335" s="4">
        <v>60</v>
      </c>
      <c r="H2335" s="5">
        <v>0</v>
      </c>
    </row>
    <row r="2336" spans="1:8" x14ac:dyDescent="0.35">
      <c r="A2336" s="2" t="s">
        <v>888</v>
      </c>
      <c r="B2336" s="2" t="s">
        <v>291</v>
      </c>
      <c r="C2336" s="2" t="s">
        <v>912</v>
      </c>
      <c r="D2336" s="2" t="s">
        <v>913</v>
      </c>
      <c r="E2336" s="2" t="s">
        <v>92</v>
      </c>
      <c r="F2336" s="3">
        <v>799</v>
      </c>
      <c r="G2336" s="4">
        <v>60</v>
      </c>
      <c r="H2336" s="5">
        <v>0</v>
      </c>
    </row>
    <row r="2337" spans="1:8" x14ac:dyDescent="0.35">
      <c r="A2337" s="2" t="s">
        <v>888</v>
      </c>
      <c r="B2337" s="2" t="s">
        <v>291</v>
      </c>
      <c r="C2337" s="2" t="s">
        <v>914</v>
      </c>
      <c r="D2337" s="2" t="s">
        <v>915</v>
      </c>
      <c r="E2337" s="2" t="s">
        <v>916</v>
      </c>
      <c r="F2337" s="3">
        <v>52.9</v>
      </c>
      <c r="G2337" s="4">
        <v>60</v>
      </c>
      <c r="H2337" s="5">
        <v>0</v>
      </c>
    </row>
    <row r="2338" spans="1:8" x14ac:dyDescent="0.35">
      <c r="A2338" s="2" t="s">
        <v>888</v>
      </c>
      <c r="B2338" s="2" t="s">
        <v>291</v>
      </c>
      <c r="C2338" s="2" t="s">
        <v>917</v>
      </c>
      <c r="D2338" s="2" t="s">
        <v>918</v>
      </c>
      <c r="E2338" s="2" t="s">
        <v>115</v>
      </c>
      <c r="F2338" s="3">
        <v>449.9</v>
      </c>
      <c r="G2338" s="4">
        <v>60</v>
      </c>
      <c r="H2338" s="5">
        <v>0</v>
      </c>
    </row>
    <row r="2339" spans="1:8" x14ac:dyDescent="0.35">
      <c r="A2339" s="2" t="s">
        <v>888</v>
      </c>
      <c r="B2339" s="2" t="s">
        <v>291</v>
      </c>
      <c r="C2339" s="2" t="s">
        <v>919</v>
      </c>
      <c r="D2339" s="2" t="s">
        <v>920</v>
      </c>
      <c r="E2339" s="2" t="s">
        <v>115</v>
      </c>
      <c r="F2339" s="3">
        <v>146.21</v>
      </c>
      <c r="G2339" s="4">
        <v>60</v>
      </c>
      <c r="H2339" s="5">
        <v>0</v>
      </c>
    </row>
    <row r="2340" spans="1:8" x14ac:dyDescent="0.35">
      <c r="A2340" s="2" t="s">
        <v>888</v>
      </c>
      <c r="B2340" s="2" t="s">
        <v>291</v>
      </c>
      <c r="C2340" s="2" t="s">
        <v>921</v>
      </c>
      <c r="D2340" s="2" t="s">
        <v>922</v>
      </c>
      <c r="E2340" s="2" t="s">
        <v>923</v>
      </c>
      <c r="F2340" s="3">
        <v>2800</v>
      </c>
      <c r="G2340" s="4">
        <v>60</v>
      </c>
      <c r="H2340" s="5">
        <v>7.4999999999999997E-3</v>
      </c>
    </row>
    <row r="2341" spans="1:8" ht="14.5" customHeight="1" x14ac:dyDescent="0.35">
      <c r="A2341" s="2" t="s">
        <v>888</v>
      </c>
      <c r="B2341" s="2" t="s">
        <v>291</v>
      </c>
      <c r="C2341" s="2" t="s">
        <v>924</v>
      </c>
      <c r="D2341" s="2" t="s">
        <v>925</v>
      </c>
      <c r="E2341" s="2" t="s">
        <v>136</v>
      </c>
      <c r="F2341" s="3">
        <v>33</v>
      </c>
      <c r="G2341" s="4">
        <v>2</v>
      </c>
      <c r="H2341" s="5">
        <v>0</v>
      </c>
    </row>
    <row r="2342" spans="1:8" ht="14.5" customHeight="1" x14ac:dyDescent="0.35">
      <c r="A2342" s="2" t="s">
        <v>888</v>
      </c>
      <c r="B2342" s="2" t="s">
        <v>291</v>
      </c>
      <c r="C2342" s="2" t="s">
        <v>926</v>
      </c>
      <c r="D2342" s="2" t="s">
        <v>927</v>
      </c>
      <c r="E2342" s="2" t="s">
        <v>125</v>
      </c>
      <c r="F2342" s="3">
        <v>33</v>
      </c>
      <c r="G2342" s="4">
        <v>2</v>
      </c>
      <c r="H2342" s="5">
        <v>0</v>
      </c>
    </row>
    <row r="2343" spans="1:8" x14ac:dyDescent="0.35">
      <c r="A2343" s="2" t="s">
        <v>888</v>
      </c>
      <c r="B2343" s="2" t="s">
        <v>291</v>
      </c>
      <c r="C2343" s="2" t="s">
        <v>928</v>
      </c>
      <c r="D2343" s="2" t="s">
        <v>929</v>
      </c>
      <c r="E2343" s="2" t="s">
        <v>930</v>
      </c>
      <c r="F2343" s="3">
        <v>44.3</v>
      </c>
      <c r="G2343" s="4">
        <v>60</v>
      </c>
      <c r="H2343" s="5">
        <v>0</v>
      </c>
    </row>
    <row r="2344" spans="1:8" x14ac:dyDescent="0.35">
      <c r="A2344" s="2" t="s">
        <v>888</v>
      </c>
      <c r="B2344" s="2" t="s">
        <v>291</v>
      </c>
      <c r="C2344" s="2" t="s">
        <v>931</v>
      </c>
      <c r="D2344" s="2" t="s">
        <v>932</v>
      </c>
      <c r="E2344" s="2" t="s">
        <v>48</v>
      </c>
      <c r="F2344" s="3">
        <v>375.33</v>
      </c>
      <c r="G2344" s="4">
        <v>60</v>
      </c>
      <c r="H2344" s="5">
        <v>0</v>
      </c>
    </row>
    <row r="2345" spans="1:8" x14ac:dyDescent="0.35">
      <c r="A2345" s="2" t="s">
        <v>888</v>
      </c>
      <c r="B2345" s="2" t="s">
        <v>291</v>
      </c>
      <c r="C2345" s="2" t="s">
        <v>933</v>
      </c>
      <c r="D2345" s="2" t="s">
        <v>934</v>
      </c>
      <c r="E2345" s="6" t="s">
        <v>147</v>
      </c>
      <c r="F2345" s="3">
        <v>4800</v>
      </c>
      <c r="G2345" s="4">
        <v>60</v>
      </c>
      <c r="H2345" s="5">
        <v>7.4999999999999997E-3</v>
      </c>
    </row>
    <row r="2346" spans="1:8" x14ac:dyDescent="0.35">
      <c r="A2346" s="2" t="s">
        <v>888</v>
      </c>
      <c r="B2346" s="2" t="s">
        <v>291</v>
      </c>
      <c r="C2346" s="2" t="s">
        <v>935</v>
      </c>
      <c r="D2346" s="2" t="s">
        <v>936</v>
      </c>
      <c r="E2346" s="2" t="s">
        <v>237</v>
      </c>
      <c r="F2346" s="3">
        <v>1000</v>
      </c>
      <c r="G2346" s="4">
        <v>60</v>
      </c>
      <c r="H2346" s="5">
        <v>0</v>
      </c>
    </row>
    <row r="2347" spans="1:8" x14ac:dyDescent="0.35">
      <c r="A2347" s="2" t="s">
        <v>888</v>
      </c>
      <c r="B2347" s="2" t="s">
        <v>291</v>
      </c>
      <c r="C2347" s="2" t="s">
        <v>937</v>
      </c>
      <c r="D2347" s="2" t="s">
        <v>938</v>
      </c>
      <c r="E2347" s="2" t="s">
        <v>189</v>
      </c>
      <c r="F2347" s="3">
        <v>19000</v>
      </c>
      <c r="G2347" s="4">
        <v>60</v>
      </c>
      <c r="H2347" s="5">
        <v>7.4999999999999997E-3</v>
      </c>
    </row>
    <row r="2348" spans="1:8" x14ac:dyDescent="0.35">
      <c r="A2348" s="2" t="s">
        <v>888</v>
      </c>
      <c r="B2348" s="2" t="s">
        <v>291</v>
      </c>
      <c r="C2348" s="2" t="s">
        <v>939</v>
      </c>
      <c r="D2348" s="2" t="s">
        <v>940</v>
      </c>
      <c r="E2348" s="2" t="s">
        <v>248</v>
      </c>
      <c r="F2348" s="3">
        <v>336.9</v>
      </c>
      <c r="G2348" s="4">
        <v>60</v>
      </c>
      <c r="H2348" s="5">
        <v>0</v>
      </c>
    </row>
    <row r="2349" spans="1:8" x14ac:dyDescent="0.35">
      <c r="A2349" s="2" t="s">
        <v>888</v>
      </c>
      <c r="B2349" s="2" t="s">
        <v>291</v>
      </c>
      <c r="C2349" s="2" t="s">
        <v>941</v>
      </c>
      <c r="D2349" s="2" t="s">
        <v>942</v>
      </c>
      <c r="E2349" s="2" t="s">
        <v>226</v>
      </c>
      <c r="F2349" s="3">
        <v>2364.9</v>
      </c>
      <c r="G2349" s="4">
        <v>60</v>
      </c>
      <c r="H2349" s="5">
        <v>7.4999999999999997E-3</v>
      </c>
    </row>
    <row r="2350" spans="1:8" x14ac:dyDescent="0.35">
      <c r="A2350" s="2" t="s">
        <v>888</v>
      </c>
      <c r="B2350" s="2" t="s">
        <v>291</v>
      </c>
      <c r="C2350" s="2" t="s">
        <v>943</v>
      </c>
      <c r="D2350" s="2" t="s">
        <v>944</v>
      </c>
      <c r="E2350" s="2" t="s">
        <v>226</v>
      </c>
      <c r="F2350" s="3">
        <v>1700</v>
      </c>
      <c r="G2350" s="4">
        <v>60</v>
      </c>
      <c r="H2350" s="5">
        <v>7.4999999999999997E-3</v>
      </c>
    </row>
    <row r="2351" spans="1:8" x14ac:dyDescent="0.35">
      <c r="A2351" s="2" t="s">
        <v>888</v>
      </c>
      <c r="B2351" s="2" t="s">
        <v>291</v>
      </c>
      <c r="C2351" s="2" t="s">
        <v>783</v>
      </c>
      <c r="D2351" s="2" t="s">
        <v>784</v>
      </c>
      <c r="E2351" s="2" t="s">
        <v>260</v>
      </c>
      <c r="F2351" s="3">
        <v>10000</v>
      </c>
      <c r="G2351" s="4">
        <v>60</v>
      </c>
      <c r="H2351" s="5">
        <v>7.4999999999999997E-3</v>
      </c>
    </row>
    <row r="2352" spans="1:8" x14ac:dyDescent="0.35">
      <c r="A2352" s="2" t="s">
        <v>888</v>
      </c>
      <c r="B2352" s="2" t="s">
        <v>291</v>
      </c>
      <c r="C2352" s="2" t="s">
        <v>945</v>
      </c>
      <c r="D2352" s="2" t="s">
        <v>946</v>
      </c>
      <c r="E2352" s="2" t="s">
        <v>947</v>
      </c>
      <c r="F2352" s="3">
        <v>819.9</v>
      </c>
      <c r="G2352" s="4">
        <v>60</v>
      </c>
      <c r="H2352" s="5">
        <v>0</v>
      </c>
    </row>
    <row r="2353" spans="1:8" x14ac:dyDescent="0.35">
      <c r="A2353" s="2" t="s">
        <v>888</v>
      </c>
      <c r="B2353" s="2" t="s">
        <v>291</v>
      </c>
      <c r="C2353" s="2" t="s">
        <v>948</v>
      </c>
      <c r="D2353" s="2" t="s">
        <v>949</v>
      </c>
      <c r="E2353" s="2" t="s">
        <v>950</v>
      </c>
      <c r="F2353" s="3">
        <v>80</v>
      </c>
      <c r="G2353" s="4">
        <v>60</v>
      </c>
      <c r="H2353" s="5">
        <v>0</v>
      </c>
    </row>
    <row r="2354" spans="1:8" x14ac:dyDescent="0.35">
      <c r="A2354" s="2" t="s">
        <v>888</v>
      </c>
      <c r="B2354" s="2" t="s">
        <v>291</v>
      </c>
      <c r="C2354" s="2" t="s">
        <v>951</v>
      </c>
      <c r="D2354" s="2" t="s">
        <v>952</v>
      </c>
      <c r="E2354" s="2" t="s">
        <v>950</v>
      </c>
      <c r="F2354" s="3">
        <v>80</v>
      </c>
      <c r="G2354" s="4">
        <v>60</v>
      </c>
      <c r="H2354" s="5">
        <v>0</v>
      </c>
    </row>
    <row r="2355" spans="1:8" x14ac:dyDescent="0.35">
      <c r="A2355" s="2" t="s">
        <v>888</v>
      </c>
      <c r="B2355" s="2" t="s">
        <v>291</v>
      </c>
      <c r="C2355" s="2" t="s">
        <v>953</v>
      </c>
      <c r="D2355" s="2" t="s">
        <v>954</v>
      </c>
      <c r="E2355" s="2" t="s">
        <v>955</v>
      </c>
      <c r="F2355" s="3">
        <v>73.989999999999995</v>
      </c>
      <c r="G2355" s="4">
        <v>60</v>
      </c>
      <c r="H2355" s="5">
        <v>0</v>
      </c>
    </row>
    <row r="2356" spans="1:8" x14ac:dyDescent="0.35">
      <c r="A2356" s="2" t="s">
        <v>888</v>
      </c>
      <c r="B2356" s="2" t="s">
        <v>291</v>
      </c>
      <c r="C2356" s="2" t="s">
        <v>956</v>
      </c>
      <c r="D2356" s="2" t="s">
        <v>957</v>
      </c>
      <c r="E2356" s="2" t="s">
        <v>303</v>
      </c>
      <c r="F2356" s="3">
        <v>82</v>
      </c>
      <c r="G2356" s="4">
        <v>60</v>
      </c>
      <c r="H2356" s="5">
        <v>0</v>
      </c>
    </row>
    <row r="2357" spans="1:8" x14ac:dyDescent="0.35">
      <c r="A2357" s="2" t="s">
        <v>888</v>
      </c>
      <c r="B2357" s="2" t="s">
        <v>291</v>
      </c>
      <c r="C2357" s="2" t="s">
        <v>958</v>
      </c>
      <c r="D2357" s="2" t="s">
        <v>959</v>
      </c>
      <c r="E2357" s="2" t="s">
        <v>322</v>
      </c>
      <c r="F2357" s="3">
        <v>50</v>
      </c>
      <c r="G2357" s="4">
        <v>60</v>
      </c>
      <c r="H2357" s="5">
        <v>0</v>
      </c>
    </row>
    <row r="2358" spans="1:8" x14ac:dyDescent="0.35">
      <c r="A2358" s="2" t="s">
        <v>888</v>
      </c>
      <c r="B2358" s="2" t="s">
        <v>291</v>
      </c>
      <c r="C2358" s="2" t="s">
        <v>960</v>
      </c>
      <c r="D2358" s="2" t="s">
        <v>961</v>
      </c>
      <c r="E2358" s="2" t="s">
        <v>322</v>
      </c>
      <c r="F2358" s="3">
        <v>50</v>
      </c>
      <c r="G2358" s="4">
        <v>60</v>
      </c>
      <c r="H2358" s="5">
        <v>0</v>
      </c>
    </row>
    <row r="2359" spans="1:8" x14ac:dyDescent="0.35">
      <c r="A2359" s="2" t="s">
        <v>888</v>
      </c>
      <c r="B2359" s="2" t="s">
        <v>291</v>
      </c>
      <c r="C2359" s="2" t="s">
        <v>962</v>
      </c>
      <c r="D2359" s="2" t="s">
        <v>963</v>
      </c>
      <c r="E2359" s="2" t="s">
        <v>964</v>
      </c>
      <c r="F2359" s="3">
        <v>54.9</v>
      </c>
      <c r="G2359" s="4">
        <v>60</v>
      </c>
      <c r="H2359" s="5">
        <v>0</v>
      </c>
    </row>
    <row r="2360" spans="1:8" x14ac:dyDescent="0.35">
      <c r="A2360" s="2" t="s">
        <v>888</v>
      </c>
      <c r="B2360" s="2" t="s">
        <v>291</v>
      </c>
      <c r="C2360" s="2" t="s">
        <v>965</v>
      </c>
      <c r="D2360" s="2" t="s">
        <v>966</v>
      </c>
      <c r="E2360" s="2" t="s">
        <v>300</v>
      </c>
      <c r="F2360" s="3">
        <v>16.59</v>
      </c>
      <c r="G2360" s="4">
        <v>60</v>
      </c>
      <c r="H2360" s="5">
        <v>0</v>
      </c>
    </row>
    <row r="2361" spans="1:8" x14ac:dyDescent="0.35">
      <c r="A2361" s="2" t="s">
        <v>888</v>
      </c>
      <c r="B2361" s="2" t="s">
        <v>291</v>
      </c>
      <c r="C2361" s="2" t="s">
        <v>967</v>
      </c>
      <c r="D2361" s="2" t="s">
        <v>968</v>
      </c>
      <c r="E2361" s="2" t="s">
        <v>543</v>
      </c>
      <c r="F2361" s="3">
        <v>55000</v>
      </c>
      <c r="G2361" s="4">
        <v>60</v>
      </c>
      <c r="H2361" s="5">
        <v>7.4999999999999997E-3</v>
      </c>
    </row>
    <row r="2362" spans="1:8" x14ac:dyDescent="0.35">
      <c r="A2362" s="2" t="s">
        <v>888</v>
      </c>
      <c r="B2362" s="2" t="s">
        <v>291</v>
      </c>
      <c r="C2362" s="2" t="s">
        <v>969</v>
      </c>
      <c r="D2362" s="2" t="s">
        <v>970</v>
      </c>
      <c r="E2362" s="2" t="s">
        <v>434</v>
      </c>
      <c r="F2362" s="3">
        <v>1700</v>
      </c>
      <c r="G2362" s="4">
        <v>60</v>
      </c>
      <c r="H2362" s="5">
        <v>7.4999999999999997E-3</v>
      </c>
    </row>
    <row r="2363" spans="1:8" x14ac:dyDescent="0.35">
      <c r="A2363" s="2" t="s">
        <v>888</v>
      </c>
      <c r="B2363" s="2" t="s">
        <v>339</v>
      </c>
      <c r="C2363" s="2" t="s">
        <v>889</v>
      </c>
      <c r="D2363" s="2" t="s">
        <v>890</v>
      </c>
      <c r="E2363" s="2" t="s">
        <v>260</v>
      </c>
      <c r="F2363" s="3">
        <v>758.22</v>
      </c>
      <c r="G2363" s="4">
        <v>1</v>
      </c>
      <c r="H2363" s="5">
        <v>0</v>
      </c>
    </row>
    <row r="2364" spans="1:8" x14ac:dyDescent="0.35">
      <c r="A2364" s="2" t="s">
        <v>888</v>
      </c>
      <c r="B2364" s="2" t="s">
        <v>339</v>
      </c>
      <c r="C2364" s="2" t="s">
        <v>891</v>
      </c>
      <c r="D2364" s="2" t="s">
        <v>892</v>
      </c>
      <c r="E2364" s="2" t="s">
        <v>45</v>
      </c>
      <c r="F2364" s="3">
        <v>1796.58</v>
      </c>
      <c r="G2364" s="4">
        <v>60</v>
      </c>
      <c r="H2364" s="5">
        <v>1.67E-2</v>
      </c>
    </row>
    <row r="2365" spans="1:8" x14ac:dyDescent="0.35">
      <c r="A2365" s="2" t="s">
        <v>888</v>
      </c>
      <c r="B2365" s="2" t="s">
        <v>339</v>
      </c>
      <c r="C2365" s="2" t="s">
        <v>893</v>
      </c>
      <c r="D2365" s="2" t="s">
        <v>894</v>
      </c>
      <c r="E2365" s="2" t="s">
        <v>895</v>
      </c>
      <c r="F2365" s="3">
        <v>0.01</v>
      </c>
      <c r="G2365" s="4">
        <v>0</v>
      </c>
      <c r="H2365" s="5">
        <v>0</v>
      </c>
    </row>
    <row r="2366" spans="1:8" x14ac:dyDescent="0.35">
      <c r="A2366" s="2" t="s">
        <v>888</v>
      </c>
      <c r="B2366" s="2" t="s">
        <v>339</v>
      </c>
      <c r="C2366" s="2" t="s">
        <v>896</v>
      </c>
      <c r="D2366" s="2" t="s">
        <v>897</v>
      </c>
      <c r="E2366" s="2" t="s">
        <v>898</v>
      </c>
      <c r="F2366" s="3">
        <v>0.01</v>
      </c>
      <c r="G2366" s="4">
        <v>0</v>
      </c>
      <c r="H2366" s="5">
        <v>0</v>
      </c>
    </row>
    <row r="2367" spans="1:8" x14ac:dyDescent="0.35">
      <c r="A2367" s="2" t="s">
        <v>888</v>
      </c>
      <c r="B2367" s="2" t="s">
        <v>339</v>
      </c>
      <c r="C2367" s="2" t="s">
        <v>899</v>
      </c>
      <c r="D2367" s="2" t="s">
        <v>900</v>
      </c>
      <c r="E2367" s="2" t="s">
        <v>297</v>
      </c>
      <c r="F2367" s="3">
        <v>0.01</v>
      </c>
      <c r="G2367" s="4">
        <v>0</v>
      </c>
      <c r="H2367" s="5">
        <v>0</v>
      </c>
    </row>
    <row r="2368" spans="1:8" x14ac:dyDescent="0.35">
      <c r="A2368" s="2" t="s">
        <v>888</v>
      </c>
      <c r="B2368" s="2" t="s">
        <v>339</v>
      </c>
      <c r="C2368" s="2" t="s">
        <v>901</v>
      </c>
      <c r="D2368" s="2" t="s">
        <v>902</v>
      </c>
      <c r="E2368" s="2" t="s">
        <v>48</v>
      </c>
      <c r="F2368" s="3">
        <v>220</v>
      </c>
      <c r="G2368" s="4">
        <v>60</v>
      </c>
      <c r="H2368" s="5">
        <v>1.67E-2</v>
      </c>
    </row>
    <row r="2369" spans="1:8" x14ac:dyDescent="0.35">
      <c r="A2369" s="2" t="s">
        <v>888</v>
      </c>
      <c r="B2369" s="2" t="s">
        <v>339</v>
      </c>
      <c r="C2369" s="2" t="s">
        <v>903</v>
      </c>
      <c r="D2369" s="2" t="s">
        <v>904</v>
      </c>
      <c r="E2369" s="2" t="s">
        <v>48</v>
      </c>
      <c r="F2369" s="3">
        <v>0.01</v>
      </c>
      <c r="G2369" s="4">
        <v>0</v>
      </c>
      <c r="H2369" s="5">
        <v>0</v>
      </c>
    </row>
    <row r="2370" spans="1:8" x14ac:dyDescent="0.35">
      <c r="A2370" s="2" t="s">
        <v>888</v>
      </c>
      <c r="B2370" s="2" t="s">
        <v>339</v>
      </c>
      <c r="C2370" s="2" t="s">
        <v>905</v>
      </c>
      <c r="D2370" s="2" t="s">
        <v>906</v>
      </c>
      <c r="E2370" s="2" t="s">
        <v>907</v>
      </c>
      <c r="F2370" s="3">
        <v>29.82</v>
      </c>
      <c r="G2370" s="4">
        <v>60</v>
      </c>
      <c r="H2370" s="5">
        <v>1.67E-2</v>
      </c>
    </row>
    <row r="2371" spans="1:8" x14ac:dyDescent="0.35">
      <c r="A2371" s="2" t="s">
        <v>888</v>
      </c>
      <c r="B2371" s="2" t="s">
        <v>339</v>
      </c>
      <c r="C2371" s="2" t="s">
        <v>908</v>
      </c>
      <c r="D2371" s="2" t="s">
        <v>909</v>
      </c>
      <c r="E2371" s="2" t="s">
        <v>92</v>
      </c>
      <c r="F2371" s="3">
        <v>0.01</v>
      </c>
      <c r="G2371" s="4">
        <v>0</v>
      </c>
      <c r="H2371" s="5">
        <v>0</v>
      </c>
    </row>
    <row r="2372" spans="1:8" x14ac:dyDescent="0.35">
      <c r="A2372" s="2" t="s">
        <v>888</v>
      </c>
      <c r="B2372" s="2" t="s">
        <v>339</v>
      </c>
      <c r="C2372" s="2" t="s">
        <v>910</v>
      </c>
      <c r="D2372" s="2" t="s">
        <v>911</v>
      </c>
      <c r="E2372" s="2" t="s">
        <v>92</v>
      </c>
      <c r="F2372" s="3">
        <v>1018</v>
      </c>
      <c r="G2372" s="4">
        <v>30</v>
      </c>
      <c r="H2372" s="5">
        <v>2.7799999999999998E-2</v>
      </c>
    </row>
    <row r="2373" spans="1:8" x14ac:dyDescent="0.35">
      <c r="A2373" s="2" t="s">
        <v>888</v>
      </c>
      <c r="B2373" s="2" t="s">
        <v>339</v>
      </c>
      <c r="C2373" s="2" t="s">
        <v>912</v>
      </c>
      <c r="D2373" s="2" t="s">
        <v>913</v>
      </c>
      <c r="E2373" s="2" t="s">
        <v>92</v>
      </c>
      <c r="F2373" s="3">
        <v>1018</v>
      </c>
      <c r="G2373" s="4">
        <v>30</v>
      </c>
      <c r="H2373" s="5">
        <v>2.7799999999999998E-2</v>
      </c>
    </row>
    <row r="2374" spans="1:8" x14ac:dyDescent="0.35">
      <c r="A2374" s="2" t="s">
        <v>888</v>
      </c>
      <c r="B2374" s="2" t="s">
        <v>339</v>
      </c>
      <c r="C2374" s="2" t="s">
        <v>914</v>
      </c>
      <c r="D2374" s="2" t="s">
        <v>915</v>
      </c>
      <c r="E2374" s="2" t="s">
        <v>916</v>
      </c>
      <c r="F2374" s="3">
        <v>0.01</v>
      </c>
      <c r="G2374" s="4">
        <v>0</v>
      </c>
      <c r="H2374" s="5">
        <v>0</v>
      </c>
    </row>
    <row r="2375" spans="1:8" x14ac:dyDescent="0.35">
      <c r="A2375" s="2" t="s">
        <v>888</v>
      </c>
      <c r="B2375" s="2" t="s">
        <v>339</v>
      </c>
      <c r="C2375" s="2" t="s">
        <v>917</v>
      </c>
      <c r="D2375" s="2" t="s">
        <v>918</v>
      </c>
      <c r="E2375" s="2" t="s">
        <v>115</v>
      </c>
      <c r="F2375" s="3">
        <v>0.01</v>
      </c>
      <c r="G2375" s="4">
        <v>0</v>
      </c>
      <c r="H2375" s="5">
        <v>0</v>
      </c>
    </row>
    <row r="2376" spans="1:8" x14ac:dyDescent="0.35">
      <c r="A2376" s="2" t="s">
        <v>888</v>
      </c>
      <c r="B2376" s="2" t="s">
        <v>339</v>
      </c>
      <c r="C2376" s="2" t="s">
        <v>919</v>
      </c>
      <c r="D2376" s="2" t="s">
        <v>920</v>
      </c>
      <c r="E2376" s="2" t="s">
        <v>115</v>
      </c>
      <c r="F2376" s="3">
        <v>0.01</v>
      </c>
      <c r="G2376" s="4">
        <v>0</v>
      </c>
      <c r="H2376" s="5">
        <v>0</v>
      </c>
    </row>
    <row r="2377" spans="1:8" x14ac:dyDescent="0.35">
      <c r="A2377" s="2" t="s">
        <v>888</v>
      </c>
      <c r="B2377" s="2" t="s">
        <v>339</v>
      </c>
      <c r="C2377" s="2" t="s">
        <v>921</v>
      </c>
      <c r="D2377" s="2" t="s">
        <v>922</v>
      </c>
      <c r="E2377" s="2" t="s">
        <v>923</v>
      </c>
      <c r="F2377" s="3">
        <v>0.01</v>
      </c>
      <c r="G2377" s="4">
        <v>0</v>
      </c>
      <c r="H2377" s="5">
        <v>0</v>
      </c>
    </row>
    <row r="2378" spans="1:8" ht="14.5" customHeight="1" x14ac:dyDescent="0.35">
      <c r="A2378" s="2" t="s">
        <v>888</v>
      </c>
      <c r="B2378" s="2" t="s">
        <v>339</v>
      </c>
      <c r="C2378" s="2" t="s">
        <v>924</v>
      </c>
      <c r="D2378" s="2" t="s">
        <v>925</v>
      </c>
      <c r="E2378" s="2" t="s">
        <v>136</v>
      </c>
      <c r="F2378" s="3">
        <v>0.01</v>
      </c>
      <c r="G2378" s="4">
        <v>0</v>
      </c>
      <c r="H2378" s="5">
        <v>0</v>
      </c>
    </row>
    <row r="2379" spans="1:8" ht="14.5" customHeight="1" x14ac:dyDescent="0.35">
      <c r="A2379" s="2" t="s">
        <v>888</v>
      </c>
      <c r="B2379" s="2" t="s">
        <v>339</v>
      </c>
      <c r="C2379" s="2" t="s">
        <v>926</v>
      </c>
      <c r="D2379" s="2" t="s">
        <v>927</v>
      </c>
      <c r="E2379" s="2" t="s">
        <v>125</v>
      </c>
      <c r="F2379" s="3">
        <v>0.01</v>
      </c>
      <c r="G2379" s="4">
        <v>0</v>
      </c>
      <c r="H2379" s="5">
        <v>0</v>
      </c>
    </row>
    <row r="2380" spans="1:8" x14ac:dyDescent="0.35">
      <c r="A2380" s="2" t="s">
        <v>888</v>
      </c>
      <c r="B2380" s="2" t="s">
        <v>339</v>
      </c>
      <c r="C2380" s="2" t="s">
        <v>928</v>
      </c>
      <c r="D2380" s="2" t="s">
        <v>929</v>
      </c>
      <c r="E2380" s="2" t="s">
        <v>930</v>
      </c>
      <c r="F2380" s="3">
        <v>13.2</v>
      </c>
      <c r="G2380" s="4">
        <v>60</v>
      </c>
      <c r="H2380" s="5">
        <v>1.67E-2</v>
      </c>
    </row>
    <row r="2381" spans="1:8" x14ac:dyDescent="0.35">
      <c r="A2381" s="2" t="s">
        <v>888</v>
      </c>
      <c r="B2381" s="2" t="s">
        <v>339</v>
      </c>
      <c r="C2381" s="2" t="s">
        <v>931</v>
      </c>
      <c r="D2381" s="2" t="s">
        <v>932</v>
      </c>
      <c r="E2381" s="2" t="s">
        <v>48</v>
      </c>
      <c r="F2381" s="3">
        <v>220</v>
      </c>
      <c r="G2381" s="4">
        <v>60</v>
      </c>
      <c r="H2381" s="5">
        <v>1.67E-2</v>
      </c>
    </row>
    <row r="2382" spans="1:8" x14ac:dyDescent="0.35">
      <c r="A2382" s="2" t="s">
        <v>888</v>
      </c>
      <c r="B2382" s="2" t="s">
        <v>339</v>
      </c>
      <c r="C2382" s="2" t="s">
        <v>933</v>
      </c>
      <c r="D2382" s="2" t="s">
        <v>934</v>
      </c>
      <c r="E2382" s="6" t="s">
        <v>147</v>
      </c>
      <c r="F2382" s="3">
        <v>0.01</v>
      </c>
      <c r="G2382" s="4">
        <v>0</v>
      </c>
      <c r="H2382" s="5">
        <v>0</v>
      </c>
    </row>
    <row r="2383" spans="1:8" x14ac:dyDescent="0.35">
      <c r="A2383" s="2" t="s">
        <v>888</v>
      </c>
      <c r="B2383" s="2" t="s">
        <v>339</v>
      </c>
      <c r="C2383" s="2" t="s">
        <v>935</v>
      </c>
      <c r="D2383" s="2" t="s">
        <v>936</v>
      </c>
      <c r="E2383" s="2" t="s">
        <v>237</v>
      </c>
      <c r="F2383" s="3">
        <v>0.01</v>
      </c>
      <c r="G2383" s="4">
        <v>0</v>
      </c>
      <c r="H2383" s="5">
        <v>0</v>
      </c>
    </row>
    <row r="2384" spans="1:8" x14ac:dyDescent="0.35">
      <c r="A2384" s="2" t="s">
        <v>888</v>
      </c>
      <c r="B2384" s="2" t="s">
        <v>339</v>
      </c>
      <c r="C2384" s="2" t="s">
        <v>937</v>
      </c>
      <c r="D2384" s="2" t="s">
        <v>938</v>
      </c>
      <c r="E2384" s="2" t="s">
        <v>189</v>
      </c>
      <c r="F2384" s="3">
        <v>1400</v>
      </c>
      <c r="G2384" s="4">
        <v>1</v>
      </c>
      <c r="H2384" s="5">
        <v>0</v>
      </c>
    </row>
    <row r="2385" spans="1:8" x14ac:dyDescent="0.35">
      <c r="A2385" s="2" t="s">
        <v>888</v>
      </c>
      <c r="B2385" s="2" t="s">
        <v>339</v>
      </c>
      <c r="C2385" s="2" t="s">
        <v>939</v>
      </c>
      <c r="D2385" s="2" t="s">
        <v>940</v>
      </c>
      <c r="E2385" s="2" t="s">
        <v>248</v>
      </c>
      <c r="F2385" s="3">
        <v>68.5</v>
      </c>
      <c r="G2385" s="4">
        <v>60</v>
      </c>
      <c r="H2385" s="5">
        <v>1.67E-2</v>
      </c>
    </row>
    <row r="2386" spans="1:8" x14ac:dyDescent="0.35">
      <c r="A2386" s="2" t="s">
        <v>888</v>
      </c>
      <c r="B2386" s="2" t="s">
        <v>339</v>
      </c>
      <c r="C2386" s="2" t="s">
        <v>941</v>
      </c>
      <c r="D2386" s="2" t="s">
        <v>942</v>
      </c>
      <c r="E2386" s="2" t="s">
        <v>226</v>
      </c>
      <c r="F2386" s="3">
        <v>4690</v>
      </c>
      <c r="G2386" s="4">
        <v>60</v>
      </c>
      <c r="H2386" s="5">
        <v>1.67E-2</v>
      </c>
    </row>
    <row r="2387" spans="1:8" x14ac:dyDescent="0.35">
      <c r="A2387" s="2" t="s">
        <v>888</v>
      </c>
      <c r="B2387" s="2" t="s">
        <v>339</v>
      </c>
      <c r="C2387" s="2" t="s">
        <v>943</v>
      </c>
      <c r="D2387" s="2" t="s">
        <v>944</v>
      </c>
      <c r="E2387" s="2" t="s">
        <v>226</v>
      </c>
      <c r="F2387" s="3">
        <v>0.01</v>
      </c>
      <c r="G2387" s="4">
        <v>0</v>
      </c>
      <c r="H2387" s="5">
        <v>0</v>
      </c>
    </row>
    <row r="2388" spans="1:8" x14ac:dyDescent="0.35">
      <c r="A2388" s="2" t="s">
        <v>888</v>
      </c>
      <c r="B2388" s="2" t="s">
        <v>339</v>
      </c>
      <c r="C2388" s="2" t="s">
        <v>783</v>
      </c>
      <c r="D2388" s="2" t="s">
        <v>784</v>
      </c>
      <c r="E2388" s="2" t="s">
        <v>260</v>
      </c>
      <c r="F2388" s="3">
        <v>835</v>
      </c>
      <c r="G2388" s="4">
        <v>1</v>
      </c>
      <c r="H2388" s="5">
        <v>0</v>
      </c>
    </row>
    <row r="2389" spans="1:8" x14ac:dyDescent="0.35">
      <c r="A2389" s="2" t="s">
        <v>888</v>
      </c>
      <c r="B2389" s="2" t="s">
        <v>339</v>
      </c>
      <c r="C2389" s="2" t="s">
        <v>945</v>
      </c>
      <c r="D2389" s="2" t="s">
        <v>946</v>
      </c>
      <c r="E2389" s="2" t="s">
        <v>947</v>
      </c>
      <c r="F2389" s="3">
        <v>0.01</v>
      </c>
      <c r="G2389" s="4">
        <v>0</v>
      </c>
      <c r="H2389" s="5">
        <v>0</v>
      </c>
    </row>
    <row r="2390" spans="1:8" x14ac:dyDescent="0.35">
      <c r="A2390" s="2" t="s">
        <v>888</v>
      </c>
      <c r="B2390" s="2" t="s">
        <v>339</v>
      </c>
      <c r="C2390" s="2" t="s">
        <v>948</v>
      </c>
      <c r="D2390" s="2" t="s">
        <v>949</v>
      </c>
      <c r="E2390" s="2" t="s">
        <v>950</v>
      </c>
      <c r="F2390" s="3">
        <v>46</v>
      </c>
      <c r="G2390" s="4">
        <v>60</v>
      </c>
      <c r="H2390" s="5">
        <v>1.67E-2</v>
      </c>
    </row>
    <row r="2391" spans="1:8" x14ac:dyDescent="0.35">
      <c r="A2391" s="2" t="s">
        <v>888</v>
      </c>
      <c r="B2391" s="2" t="s">
        <v>339</v>
      </c>
      <c r="C2391" s="2" t="s">
        <v>951</v>
      </c>
      <c r="D2391" s="2" t="s">
        <v>952</v>
      </c>
      <c r="E2391" s="2" t="s">
        <v>950</v>
      </c>
      <c r="F2391" s="3">
        <v>46</v>
      </c>
      <c r="G2391" s="4">
        <v>60</v>
      </c>
      <c r="H2391" s="5">
        <v>1.67E-2</v>
      </c>
    </row>
    <row r="2392" spans="1:8" x14ac:dyDescent="0.35">
      <c r="A2392" s="2" t="s">
        <v>888</v>
      </c>
      <c r="B2392" s="2" t="s">
        <v>339</v>
      </c>
      <c r="C2392" s="2" t="s">
        <v>953</v>
      </c>
      <c r="D2392" s="2" t="s">
        <v>954</v>
      </c>
      <c r="E2392" s="2" t="s">
        <v>955</v>
      </c>
      <c r="F2392" s="3">
        <v>0.01</v>
      </c>
      <c r="G2392" s="4">
        <v>0</v>
      </c>
      <c r="H2392" s="5">
        <v>0</v>
      </c>
    </row>
    <row r="2393" spans="1:8" x14ac:dyDescent="0.35">
      <c r="A2393" s="2" t="s">
        <v>888</v>
      </c>
      <c r="B2393" s="2" t="s">
        <v>339</v>
      </c>
      <c r="C2393" s="2" t="s">
        <v>956</v>
      </c>
      <c r="D2393" s="2" t="s">
        <v>957</v>
      </c>
      <c r="E2393" s="2" t="s">
        <v>303</v>
      </c>
      <c r="F2393" s="3">
        <v>19.5</v>
      </c>
      <c r="G2393" s="4">
        <v>60</v>
      </c>
      <c r="H2393" s="5">
        <v>1.67E-2</v>
      </c>
    </row>
    <row r="2394" spans="1:8" x14ac:dyDescent="0.35">
      <c r="A2394" s="2" t="s">
        <v>888</v>
      </c>
      <c r="B2394" s="2" t="s">
        <v>339</v>
      </c>
      <c r="C2394" s="2" t="s">
        <v>958</v>
      </c>
      <c r="D2394" s="2" t="s">
        <v>959</v>
      </c>
      <c r="E2394" s="2" t="s">
        <v>322</v>
      </c>
      <c r="F2394" s="3">
        <v>20.45</v>
      </c>
      <c r="G2394" s="4">
        <v>60</v>
      </c>
      <c r="H2394" s="5">
        <v>1.67E-2</v>
      </c>
    </row>
    <row r="2395" spans="1:8" x14ac:dyDescent="0.35">
      <c r="A2395" s="2" t="s">
        <v>888</v>
      </c>
      <c r="B2395" s="2" t="s">
        <v>339</v>
      </c>
      <c r="C2395" s="2" t="s">
        <v>960</v>
      </c>
      <c r="D2395" s="2" t="s">
        <v>961</v>
      </c>
      <c r="E2395" s="2" t="s">
        <v>322</v>
      </c>
      <c r="F2395" s="3">
        <v>20.45</v>
      </c>
      <c r="G2395" s="4">
        <v>60</v>
      </c>
      <c r="H2395" s="5">
        <v>1.67E-2</v>
      </c>
    </row>
    <row r="2396" spans="1:8" x14ac:dyDescent="0.35">
      <c r="A2396" s="2" t="s">
        <v>888</v>
      </c>
      <c r="B2396" s="2" t="s">
        <v>339</v>
      </c>
      <c r="C2396" s="2" t="s">
        <v>962</v>
      </c>
      <c r="D2396" s="2" t="s">
        <v>963</v>
      </c>
      <c r="E2396" s="2" t="s">
        <v>964</v>
      </c>
      <c r="F2396" s="3">
        <v>48.85</v>
      </c>
      <c r="G2396" s="4">
        <v>60</v>
      </c>
      <c r="H2396" s="5">
        <v>1.67E-2</v>
      </c>
    </row>
    <row r="2397" spans="1:8" x14ac:dyDescent="0.35">
      <c r="A2397" s="2" t="s">
        <v>888</v>
      </c>
      <c r="B2397" s="2" t="s">
        <v>339</v>
      </c>
      <c r="C2397" s="2" t="s">
        <v>965</v>
      </c>
      <c r="D2397" s="2" t="s">
        <v>966</v>
      </c>
      <c r="E2397" s="2" t="s">
        <v>300</v>
      </c>
      <c r="F2397" s="3">
        <v>21.5</v>
      </c>
      <c r="G2397" s="4">
        <v>60</v>
      </c>
      <c r="H2397" s="5">
        <v>1.67E-2</v>
      </c>
    </row>
    <row r="2398" spans="1:8" x14ac:dyDescent="0.35">
      <c r="A2398" s="2" t="s">
        <v>888</v>
      </c>
      <c r="B2398" s="2" t="s">
        <v>339</v>
      </c>
      <c r="C2398" s="2" t="s">
        <v>967</v>
      </c>
      <c r="D2398" s="2" t="s">
        <v>968</v>
      </c>
      <c r="E2398" s="2" t="s">
        <v>543</v>
      </c>
      <c r="F2398" s="3">
        <v>0.01</v>
      </c>
      <c r="G2398" s="4">
        <v>0</v>
      </c>
      <c r="H2398" s="5">
        <v>0</v>
      </c>
    </row>
    <row r="2399" spans="1:8" x14ac:dyDescent="0.35">
      <c r="A2399" s="2" t="s">
        <v>888</v>
      </c>
      <c r="B2399" s="2" t="s">
        <v>339</v>
      </c>
      <c r="C2399" s="2" t="s">
        <v>969</v>
      </c>
      <c r="D2399" s="2" t="s">
        <v>970</v>
      </c>
      <c r="E2399" s="2" t="s">
        <v>434</v>
      </c>
      <c r="F2399" s="3">
        <v>4006.1</v>
      </c>
      <c r="G2399" s="4">
        <v>60</v>
      </c>
      <c r="H2399" s="5">
        <v>1.67E-2</v>
      </c>
    </row>
    <row r="2400" spans="1:8" x14ac:dyDescent="0.35">
      <c r="A2400" s="2" t="s">
        <v>888</v>
      </c>
      <c r="B2400" s="2" t="s">
        <v>785</v>
      </c>
      <c r="C2400" s="2" t="s">
        <v>889</v>
      </c>
      <c r="D2400" s="2" t="s">
        <v>890</v>
      </c>
      <c r="E2400" s="2" t="s">
        <v>260</v>
      </c>
      <c r="F2400" s="3">
        <v>33000</v>
      </c>
      <c r="G2400" s="4">
        <v>12</v>
      </c>
      <c r="H2400" s="5">
        <v>7.4999999999999997E-3</v>
      </c>
    </row>
    <row r="2401" spans="1:8" x14ac:dyDescent="0.35">
      <c r="A2401" s="2" t="s">
        <v>888</v>
      </c>
      <c r="B2401" s="2" t="s">
        <v>785</v>
      </c>
      <c r="C2401" s="2" t="s">
        <v>891</v>
      </c>
      <c r="D2401" s="2" t="s">
        <v>892</v>
      </c>
      <c r="E2401" s="2" t="s">
        <v>45</v>
      </c>
      <c r="F2401" s="3">
        <v>1500</v>
      </c>
      <c r="G2401" s="4">
        <v>12</v>
      </c>
      <c r="H2401" s="5">
        <v>7.4999999999999997E-3</v>
      </c>
    </row>
    <row r="2402" spans="1:8" x14ac:dyDescent="0.35">
      <c r="A2402" s="2" t="s">
        <v>888</v>
      </c>
      <c r="B2402" s="2" t="s">
        <v>785</v>
      </c>
      <c r="C2402" s="2" t="s">
        <v>893</v>
      </c>
      <c r="D2402" s="2" t="s">
        <v>894</v>
      </c>
      <c r="E2402" s="2" t="s">
        <v>895</v>
      </c>
      <c r="F2402" s="3">
        <v>42.82</v>
      </c>
      <c r="G2402" s="4">
        <v>12</v>
      </c>
      <c r="H2402" s="5">
        <v>0</v>
      </c>
    </row>
    <row r="2403" spans="1:8" x14ac:dyDescent="0.35">
      <c r="A2403" s="2" t="s">
        <v>888</v>
      </c>
      <c r="B2403" s="2" t="s">
        <v>785</v>
      </c>
      <c r="C2403" s="2" t="s">
        <v>896</v>
      </c>
      <c r="D2403" s="2" t="s">
        <v>897</v>
      </c>
      <c r="E2403" s="2" t="s">
        <v>898</v>
      </c>
      <c r="F2403" s="3">
        <v>650</v>
      </c>
      <c r="G2403" s="4">
        <v>12</v>
      </c>
      <c r="H2403" s="5">
        <v>0</v>
      </c>
    </row>
    <row r="2404" spans="1:8" x14ac:dyDescent="0.35">
      <c r="A2404" s="2" t="s">
        <v>888</v>
      </c>
      <c r="B2404" s="2" t="s">
        <v>785</v>
      </c>
      <c r="C2404" s="2" t="s">
        <v>899</v>
      </c>
      <c r="D2404" s="2" t="s">
        <v>900</v>
      </c>
      <c r="E2404" s="2" t="s">
        <v>297</v>
      </c>
      <c r="F2404" s="3">
        <v>26.9</v>
      </c>
      <c r="G2404" s="4">
        <v>12</v>
      </c>
      <c r="H2404" s="5">
        <v>0</v>
      </c>
    </row>
    <row r="2405" spans="1:8" x14ac:dyDescent="0.35">
      <c r="A2405" s="2" t="s">
        <v>888</v>
      </c>
      <c r="B2405" s="2" t="s">
        <v>785</v>
      </c>
      <c r="C2405" s="2" t="s">
        <v>901</v>
      </c>
      <c r="D2405" s="2" t="s">
        <v>902</v>
      </c>
      <c r="E2405" s="2" t="s">
        <v>48</v>
      </c>
      <c r="F2405" s="3">
        <v>510</v>
      </c>
      <c r="G2405" s="4">
        <v>12</v>
      </c>
      <c r="H2405" s="5">
        <v>0</v>
      </c>
    </row>
    <row r="2406" spans="1:8" x14ac:dyDescent="0.35">
      <c r="A2406" s="2" t="s">
        <v>888</v>
      </c>
      <c r="B2406" s="2" t="s">
        <v>785</v>
      </c>
      <c r="C2406" s="2" t="s">
        <v>903</v>
      </c>
      <c r="D2406" s="2" t="s">
        <v>904</v>
      </c>
      <c r="E2406" s="2" t="s">
        <v>48</v>
      </c>
      <c r="F2406" s="3">
        <v>510</v>
      </c>
      <c r="G2406" s="4">
        <v>12</v>
      </c>
      <c r="H2406" s="5">
        <v>0</v>
      </c>
    </row>
    <row r="2407" spans="1:8" x14ac:dyDescent="0.35">
      <c r="A2407" s="2" t="s">
        <v>888</v>
      </c>
      <c r="B2407" s="2" t="s">
        <v>785</v>
      </c>
      <c r="C2407" s="2" t="s">
        <v>905</v>
      </c>
      <c r="D2407" s="2" t="s">
        <v>906</v>
      </c>
      <c r="E2407" s="2" t="s">
        <v>907</v>
      </c>
      <c r="F2407" s="3">
        <v>43.16</v>
      </c>
      <c r="G2407" s="4">
        <v>12</v>
      </c>
      <c r="H2407" s="5">
        <v>0</v>
      </c>
    </row>
    <row r="2408" spans="1:8" x14ac:dyDescent="0.35">
      <c r="A2408" s="2" t="s">
        <v>888</v>
      </c>
      <c r="B2408" s="2" t="s">
        <v>785</v>
      </c>
      <c r="C2408" s="2" t="s">
        <v>908</v>
      </c>
      <c r="D2408" s="2" t="s">
        <v>909</v>
      </c>
      <c r="E2408" s="2" t="s">
        <v>92</v>
      </c>
      <c r="F2408" s="3">
        <v>799</v>
      </c>
      <c r="G2408" s="4">
        <v>12</v>
      </c>
      <c r="H2408" s="5">
        <v>0</v>
      </c>
    </row>
    <row r="2409" spans="1:8" x14ac:dyDescent="0.35">
      <c r="A2409" s="2" t="s">
        <v>888</v>
      </c>
      <c r="B2409" s="2" t="s">
        <v>785</v>
      </c>
      <c r="C2409" s="2" t="s">
        <v>910</v>
      </c>
      <c r="D2409" s="2" t="s">
        <v>911</v>
      </c>
      <c r="E2409" s="2" t="s">
        <v>92</v>
      </c>
      <c r="F2409" s="3">
        <v>799</v>
      </c>
      <c r="G2409" s="4">
        <v>12</v>
      </c>
      <c r="H2409" s="5">
        <v>0</v>
      </c>
    </row>
    <row r="2410" spans="1:8" x14ac:dyDescent="0.35">
      <c r="A2410" s="2" t="s">
        <v>888</v>
      </c>
      <c r="B2410" s="2" t="s">
        <v>785</v>
      </c>
      <c r="C2410" s="2" t="s">
        <v>912</v>
      </c>
      <c r="D2410" s="2" t="s">
        <v>913</v>
      </c>
      <c r="E2410" s="2" t="s">
        <v>92</v>
      </c>
      <c r="F2410" s="3">
        <v>799</v>
      </c>
      <c r="G2410" s="4">
        <v>12</v>
      </c>
      <c r="H2410" s="5">
        <v>0</v>
      </c>
    </row>
    <row r="2411" spans="1:8" x14ac:dyDescent="0.35">
      <c r="A2411" s="2" t="s">
        <v>888</v>
      </c>
      <c r="B2411" s="2" t="s">
        <v>785</v>
      </c>
      <c r="C2411" s="2" t="s">
        <v>914</v>
      </c>
      <c r="D2411" s="2" t="s">
        <v>915</v>
      </c>
      <c r="E2411" s="2" t="s">
        <v>916</v>
      </c>
      <c r="F2411" s="3">
        <v>52.9</v>
      </c>
      <c r="G2411" s="4">
        <v>12</v>
      </c>
      <c r="H2411" s="5">
        <v>0</v>
      </c>
    </row>
    <row r="2412" spans="1:8" x14ac:dyDescent="0.35">
      <c r="A2412" s="2" t="s">
        <v>888</v>
      </c>
      <c r="B2412" s="2" t="s">
        <v>785</v>
      </c>
      <c r="C2412" s="2" t="s">
        <v>917</v>
      </c>
      <c r="D2412" s="2" t="s">
        <v>918</v>
      </c>
      <c r="E2412" s="2" t="s">
        <v>115</v>
      </c>
      <c r="F2412" s="3">
        <v>449.9</v>
      </c>
      <c r="G2412" s="4">
        <v>12</v>
      </c>
      <c r="H2412" s="5">
        <v>0</v>
      </c>
    </row>
    <row r="2413" spans="1:8" x14ac:dyDescent="0.35">
      <c r="A2413" s="2" t="s">
        <v>888</v>
      </c>
      <c r="B2413" s="2" t="s">
        <v>785</v>
      </c>
      <c r="C2413" s="2" t="s">
        <v>919</v>
      </c>
      <c r="D2413" s="2" t="s">
        <v>920</v>
      </c>
      <c r="E2413" s="2" t="s">
        <v>115</v>
      </c>
      <c r="F2413" s="3">
        <v>146.21</v>
      </c>
      <c r="G2413" s="4">
        <v>12</v>
      </c>
      <c r="H2413" s="5">
        <v>0</v>
      </c>
    </row>
    <row r="2414" spans="1:8" x14ac:dyDescent="0.35">
      <c r="A2414" s="2" t="s">
        <v>888</v>
      </c>
      <c r="B2414" s="2" t="s">
        <v>785</v>
      </c>
      <c r="C2414" s="2" t="s">
        <v>921</v>
      </c>
      <c r="D2414" s="2" t="s">
        <v>922</v>
      </c>
      <c r="E2414" s="2" t="s">
        <v>923</v>
      </c>
      <c r="F2414" s="3">
        <v>2800</v>
      </c>
      <c r="G2414" s="4">
        <v>12</v>
      </c>
      <c r="H2414" s="5">
        <v>7.4999999999999997E-3</v>
      </c>
    </row>
    <row r="2415" spans="1:8" ht="14.5" customHeight="1" x14ac:dyDescent="0.35">
      <c r="A2415" s="2" t="s">
        <v>888</v>
      </c>
      <c r="B2415" s="2" t="s">
        <v>785</v>
      </c>
      <c r="C2415" s="2" t="s">
        <v>924</v>
      </c>
      <c r="D2415" s="2" t="s">
        <v>925</v>
      </c>
      <c r="E2415" s="2" t="s">
        <v>136</v>
      </c>
      <c r="F2415" s="3">
        <v>33</v>
      </c>
      <c r="G2415" s="4">
        <v>2</v>
      </c>
      <c r="H2415" s="5">
        <v>0</v>
      </c>
    </row>
    <row r="2416" spans="1:8" ht="14.5" customHeight="1" x14ac:dyDescent="0.35">
      <c r="A2416" s="2" t="s">
        <v>888</v>
      </c>
      <c r="B2416" s="2" t="s">
        <v>785</v>
      </c>
      <c r="C2416" s="2" t="s">
        <v>926</v>
      </c>
      <c r="D2416" s="2" t="s">
        <v>927</v>
      </c>
      <c r="E2416" s="2" t="s">
        <v>125</v>
      </c>
      <c r="F2416" s="3">
        <v>33</v>
      </c>
      <c r="G2416" s="4">
        <v>2</v>
      </c>
      <c r="H2416" s="5">
        <v>0</v>
      </c>
    </row>
    <row r="2417" spans="1:8" x14ac:dyDescent="0.35">
      <c r="A2417" s="2" t="s">
        <v>888</v>
      </c>
      <c r="B2417" s="2" t="s">
        <v>785</v>
      </c>
      <c r="C2417" s="2" t="s">
        <v>928</v>
      </c>
      <c r="D2417" s="2" t="s">
        <v>929</v>
      </c>
      <c r="E2417" s="2" t="s">
        <v>930</v>
      </c>
      <c r="F2417" s="3">
        <v>44.3</v>
      </c>
      <c r="G2417" s="4">
        <v>12</v>
      </c>
      <c r="H2417" s="5">
        <v>0</v>
      </c>
    </row>
    <row r="2418" spans="1:8" x14ac:dyDescent="0.35">
      <c r="A2418" s="2" t="s">
        <v>888</v>
      </c>
      <c r="B2418" s="2" t="s">
        <v>785</v>
      </c>
      <c r="C2418" s="2" t="s">
        <v>931</v>
      </c>
      <c r="D2418" s="2" t="s">
        <v>932</v>
      </c>
      <c r="E2418" s="2" t="s">
        <v>48</v>
      </c>
      <c r="F2418" s="3">
        <v>375.33</v>
      </c>
      <c r="G2418" s="4">
        <v>12</v>
      </c>
      <c r="H2418" s="5">
        <v>0</v>
      </c>
    </row>
    <row r="2419" spans="1:8" x14ac:dyDescent="0.35">
      <c r="A2419" s="2" t="s">
        <v>888</v>
      </c>
      <c r="B2419" s="2" t="s">
        <v>785</v>
      </c>
      <c r="C2419" s="2" t="s">
        <v>933</v>
      </c>
      <c r="D2419" s="2" t="s">
        <v>934</v>
      </c>
      <c r="E2419" s="6" t="s">
        <v>147</v>
      </c>
      <c r="F2419" s="3">
        <v>4800</v>
      </c>
      <c r="G2419" s="4">
        <v>12</v>
      </c>
      <c r="H2419" s="5">
        <v>7.4999999999999997E-3</v>
      </c>
    </row>
    <row r="2420" spans="1:8" x14ac:dyDescent="0.35">
      <c r="A2420" s="2" t="s">
        <v>888</v>
      </c>
      <c r="B2420" s="2" t="s">
        <v>785</v>
      </c>
      <c r="C2420" s="2" t="s">
        <v>935</v>
      </c>
      <c r="D2420" s="2" t="s">
        <v>936</v>
      </c>
      <c r="E2420" s="2" t="s">
        <v>237</v>
      </c>
      <c r="F2420" s="3">
        <v>2500</v>
      </c>
      <c r="G2420" s="4">
        <v>12</v>
      </c>
      <c r="H2420" s="5">
        <v>0</v>
      </c>
    </row>
    <row r="2421" spans="1:8" x14ac:dyDescent="0.35">
      <c r="A2421" s="2" t="s">
        <v>888</v>
      </c>
      <c r="B2421" s="2" t="s">
        <v>785</v>
      </c>
      <c r="C2421" s="2" t="s">
        <v>937</v>
      </c>
      <c r="D2421" s="2" t="s">
        <v>938</v>
      </c>
      <c r="E2421" s="2" t="s">
        <v>189</v>
      </c>
      <c r="F2421" s="3">
        <v>30000</v>
      </c>
      <c r="G2421" s="4">
        <v>12</v>
      </c>
      <c r="H2421" s="5">
        <v>7.4999999999999997E-3</v>
      </c>
    </row>
    <row r="2422" spans="1:8" x14ac:dyDescent="0.35">
      <c r="A2422" s="2" t="s">
        <v>888</v>
      </c>
      <c r="B2422" s="2" t="s">
        <v>785</v>
      </c>
      <c r="C2422" s="2" t="s">
        <v>939</v>
      </c>
      <c r="D2422" s="2" t="s">
        <v>940</v>
      </c>
      <c r="E2422" s="2" t="s">
        <v>248</v>
      </c>
      <c r="F2422" s="3">
        <v>336.9</v>
      </c>
      <c r="G2422" s="4">
        <v>12</v>
      </c>
      <c r="H2422" s="5">
        <v>0</v>
      </c>
    </row>
    <row r="2423" spans="1:8" x14ac:dyDescent="0.35">
      <c r="A2423" s="2" t="s">
        <v>888</v>
      </c>
      <c r="B2423" s="2" t="s">
        <v>785</v>
      </c>
      <c r="C2423" s="2" t="s">
        <v>941</v>
      </c>
      <c r="D2423" s="2" t="s">
        <v>942</v>
      </c>
      <c r="E2423" s="2" t="s">
        <v>226</v>
      </c>
      <c r="F2423" s="3">
        <v>2364.9</v>
      </c>
      <c r="G2423" s="4">
        <v>12</v>
      </c>
      <c r="H2423" s="5">
        <v>7.4999999999999997E-3</v>
      </c>
    </row>
    <row r="2424" spans="1:8" x14ac:dyDescent="0.35">
      <c r="A2424" s="2" t="s">
        <v>888</v>
      </c>
      <c r="B2424" s="2" t="s">
        <v>785</v>
      </c>
      <c r="C2424" s="2" t="s">
        <v>943</v>
      </c>
      <c r="D2424" s="2" t="s">
        <v>944</v>
      </c>
      <c r="E2424" s="2" t="s">
        <v>226</v>
      </c>
      <c r="F2424" s="3">
        <v>1700</v>
      </c>
      <c r="G2424" s="4">
        <v>12</v>
      </c>
      <c r="H2424" s="5">
        <v>7.4999999999999997E-3</v>
      </c>
    </row>
    <row r="2425" spans="1:8" x14ac:dyDescent="0.35">
      <c r="A2425" s="2" t="s">
        <v>888</v>
      </c>
      <c r="B2425" s="2" t="s">
        <v>785</v>
      </c>
      <c r="C2425" s="2" t="s">
        <v>783</v>
      </c>
      <c r="D2425" s="2" t="s">
        <v>784</v>
      </c>
      <c r="E2425" s="2" t="s">
        <v>260</v>
      </c>
      <c r="F2425" s="3">
        <v>14000</v>
      </c>
      <c r="G2425" s="4">
        <v>12</v>
      </c>
      <c r="H2425" s="5">
        <v>7.4999999999999997E-3</v>
      </c>
    </row>
    <row r="2426" spans="1:8" x14ac:dyDescent="0.35">
      <c r="A2426" s="2" t="s">
        <v>888</v>
      </c>
      <c r="B2426" s="2" t="s">
        <v>785</v>
      </c>
      <c r="C2426" s="2" t="s">
        <v>945</v>
      </c>
      <c r="D2426" s="2" t="s">
        <v>946</v>
      </c>
      <c r="E2426" s="2" t="s">
        <v>947</v>
      </c>
      <c r="F2426" s="3">
        <v>819.9</v>
      </c>
      <c r="G2426" s="4">
        <v>12</v>
      </c>
      <c r="H2426" s="5">
        <v>0</v>
      </c>
    </row>
    <row r="2427" spans="1:8" x14ac:dyDescent="0.35">
      <c r="A2427" s="2" t="s">
        <v>888</v>
      </c>
      <c r="B2427" s="2" t="s">
        <v>785</v>
      </c>
      <c r="C2427" s="2" t="s">
        <v>948</v>
      </c>
      <c r="D2427" s="2" t="s">
        <v>949</v>
      </c>
      <c r="E2427" s="2" t="s">
        <v>950</v>
      </c>
      <c r="F2427" s="3">
        <v>80</v>
      </c>
      <c r="G2427" s="4">
        <v>12</v>
      </c>
      <c r="H2427" s="5">
        <v>0</v>
      </c>
    </row>
    <row r="2428" spans="1:8" x14ac:dyDescent="0.35">
      <c r="A2428" s="2" t="s">
        <v>888</v>
      </c>
      <c r="B2428" s="2" t="s">
        <v>785</v>
      </c>
      <c r="C2428" s="2" t="s">
        <v>951</v>
      </c>
      <c r="D2428" s="2" t="s">
        <v>952</v>
      </c>
      <c r="E2428" s="2" t="s">
        <v>950</v>
      </c>
      <c r="F2428" s="3">
        <v>80</v>
      </c>
      <c r="G2428" s="4">
        <v>12</v>
      </c>
      <c r="H2428" s="5">
        <v>0</v>
      </c>
    </row>
    <row r="2429" spans="1:8" x14ac:dyDescent="0.35">
      <c r="A2429" s="2" t="s">
        <v>888</v>
      </c>
      <c r="B2429" s="2" t="s">
        <v>785</v>
      </c>
      <c r="C2429" s="2" t="s">
        <v>953</v>
      </c>
      <c r="D2429" s="2" t="s">
        <v>954</v>
      </c>
      <c r="E2429" s="2" t="s">
        <v>955</v>
      </c>
      <c r="F2429" s="3">
        <v>73.989999999999995</v>
      </c>
      <c r="G2429" s="4">
        <v>12</v>
      </c>
      <c r="H2429" s="5">
        <v>0</v>
      </c>
    </row>
    <row r="2430" spans="1:8" x14ac:dyDescent="0.35">
      <c r="A2430" s="2" t="s">
        <v>888</v>
      </c>
      <c r="B2430" s="2" t="s">
        <v>785</v>
      </c>
      <c r="C2430" s="2" t="s">
        <v>956</v>
      </c>
      <c r="D2430" s="2" t="s">
        <v>957</v>
      </c>
      <c r="E2430" s="2" t="s">
        <v>303</v>
      </c>
      <c r="F2430" s="3">
        <v>82</v>
      </c>
      <c r="G2430" s="4">
        <v>12</v>
      </c>
      <c r="H2430" s="5">
        <v>0</v>
      </c>
    </row>
    <row r="2431" spans="1:8" x14ac:dyDescent="0.35">
      <c r="A2431" s="2" t="s">
        <v>888</v>
      </c>
      <c r="B2431" s="2" t="s">
        <v>785</v>
      </c>
      <c r="C2431" s="2" t="s">
        <v>958</v>
      </c>
      <c r="D2431" s="2" t="s">
        <v>959</v>
      </c>
      <c r="E2431" s="2" t="s">
        <v>322</v>
      </c>
      <c r="F2431" s="3">
        <v>50</v>
      </c>
      <c r="G2431" s="4">
        <v>12</v>
      </c>
      <c r="H2431" s="5">
        <v>0</v>
      </c>
    </row>
    <row r="2432" spans="1:8" x14ac:dyDescent="0.35">
      <c r="A2432" s="2" t="s">
        <v>888</v>
      </c>
      <c r="B2432" s="2" t="s">
        <v>785</v>
      </c>
      <c r="C2432" s="2" t="s">
        <v>960</v>
      </c>
      <c r="D2432" s="2" t="s">
        <v>961</v>
      </c>
      <c r="E2432" s="2" t="s">
        <v>322</v>
      </c>
      <c r="F2432" s="3">
        <v>50</v>
      </c>
      <c r="G2432" s="4">
        <v>12</v>
      </c>
      <c r="H2432" s="5">
        <v>0</v>
      </c>
    </row>
    <row r="2433" spans="1:8" x14ac:dyDescent="0.35">
      <c r="A2433" s="2" t="s">
        <v>888</v>
      </c>
      <c r="B2433" s="2" t="s">
        <v>785</v>
      </c>
      <c r="C2433" s="2" t="s">
        <v>962</v>
      </c>
      <c r="D2433" s="2" t="s">
        <v>963</v>
      </c>
      <c r="E2433" s="2" t="s">
        <v>964</v>
      </c>
      <c r="F2433" s="3">
        <v>54.9</v>
      </c>
      <c r="G2433" s="4">
        <v>12</v>
      </c>
      <c r="H2433" s="5">
        <v>0</v>
      </c>
    </row>
    <row r="2434" spans="1:8" x14ac:dyDescent="0.35">
      <c r="A2434" s="2" t="s">
        <v>888</v>
      </c>
      <c r="B2434" s="2" t="s">
        <v>785</v>
      </c>
      <c r="C2434" s="2" t="s">
        <v>965</v>
      </c>
      <c r="D2434" s="2" t="s">
        <v>966</v>
      </c>
      <c r="E2434" s="2" t="s">
        <v>300</v>
      </c>
      <c r="F2434" s="3">
        <v>16.59</v>
      </c>
      <c r="G2434" s="4">
        <v>12</v>
      </c>
      <c r="H2434" s="5">
        <v>0</v>
      </c>
    </row>
    <row r="2435" spans="1:8" x14ac:dyDescent="0.35">
      <c r="A2435" s="2" t="s">
        <v>888</v>
      </c>
      <c r="B2435" s="2" t="s">
        <v>785</v>
      </c>
      <c r="C2435" s="2" t="s">
        <v>967</v>
      </c>
      <c r="D2435" s="2" t="s">
        <v>968</v>
      </c>
      <c r="E2435" s="2" t="s">
        <v>543</v>
      </c>
      <c r="F2435" s="3">
        <v>75000</v>
      </c>
      <c r="G2435" s="4">
        <v>12</v>
      </c>
      <c r="H2435" s="5">
        <v>7.4999999999999997E-3</v>
      </c>
    </row>
    <row r="2436" spans="1:8" x14ac:dyDescent="0.35">
      <c r="A2436" s="2" t="s">
        <v>888</v>
      </c>
      <c r="B2436" s="2" t="s">
        <v>785</v>
      </c>
      <c r="C2436" s="2" t="s">
        <v>969</v>
      </c>
      <c r="D2436" s="2" t="s">
        <v>970</v>
      </c>
      <c r="E2436" s="2" t="s">
        <v>434</v>
      </c>
      <c r="F2436" s="3">
        <v>2700</v>
      </c>
      <c r="G2436" s="4">
        <v>12</v>
      </c>
      <c r="H2436" s="5">
        <v>7.4999999999999997E-3</v>
      </c>
    </row>
    <row r="2437" spans="1:8" x14ac:dyDescent="0.35">
      <c r="A2437" s="2" t="s">
        <v>888</v>
      </c>
      <c r="B2437" s="2" t="s">
        <v>509</v>
      </c>
      <c r="C2437" s="2" t="s">
        <v>889</v>
      </c>
      <c r="D2437" s="2" t="s">
        <v>890</v>
      </c>
      <c r="E2437" s="2" t="s">
        <v>260</v>
      </c>
      <c r="F2437" s="3">
        <v>755.65</v>
      </c>
      <c r="G2437" s="4">
        <v>1</v>
      </c>
      <c r="H2437" s="5">
        <v>0</v>
      </c>
    </row>
    <row r="2438" spans="1:8" x14ac:dyDescent="0.35">
      <c r="A2438" s="2" t="s">
        <v>888</v>
      </c>
      <c r="B2438" s="2" t="s">
        <v>509</v>
      </c>
      <c r="C2438" s="2" t="s">
        <v>891</v>
      </c>
      <c r="D2438" s="2" t="s">
        <v>892</v>
      </c>
      <c r="E2438" s="2" t="s">
        <v>45</v>
      </c>
      <c r="F2438" s="3">
        <v>473.49</v>
      </c>
      <c r="G2438" s="4">
        <v>24</v>
      </c>
      <c r="H2438" s="5">
        <v>0.01</v>
      </c>
    </row>
    <row r="2439" spans="1:8" x14ac:dyDescent="0.35">
      <c r="A2439" s="2" t="s">
        <v>888</v>
      </c>
      <c r="B2439" s="2" t="s">
        <v>509</v>
      </c>
      <c r="C2439" s="2" t="s">
        <v>893</v>
      </c>
      <c r="D2439" s="2" t="s">
        <v>894</v>
      </c>
      <c r="E2439" s="2" t="s">
        <v>895</v>
      </c>
      <c r="F2439" s="3">
        <v>50</v>
      </c>
      <c r="G2439" s="4">
        <v>24</v>
      </c>
      <c r="H2439" s="5">
        <v>0</v>
      </c>
    </row>
    <row r="2440" spans="1:8" x14ac:dyDescent="0.35">
      <c r="A2440" s="2" t="s">
        <v>888</v>
      </c>
      <c r="B2440" s="2" t="s">
        <v>509</v>
      </c>
      <c r="C2440" s="2" t="s">
        <v>896</v>
      </c>
      <c r="D2440" s="2" t="s">
        <v>897</v>
      </c>
      <c r="E2440" s="2" t="s">
        <v>898</v>
      </c>
      <c r="F2440" s="3">
        <v>1500</v>
      </c>
      <c r="G2440" s="4">
        <v>24</v>
      </c>
      <c r="H2440" s="5">
        <v>0</v>
      </c>
    </row>
    <row r="2441" spans="1:8" x14ac:dyDescent="0.35">
      <c r="A2441" s="2" t="s">
        <v>888</v>
      </c>
      <c r="B2441" s="2" t="s">
        <v>509</v>
      </c>
      <c r="C2441" s="2" t="s">
        <v>899</v>
      </c>
      <c r="D2441" s="2" t="s">
        <v>900</v>
      </c>
      <c r="E2441" s="2" t="s">
        <v>297</v>
      </c>
      <c r="F2441" s="3">
        <v>26.9</v>
      </c>
      <c r="G2441" s="4">
        <v>24</v>
      </c>
      <c r="H2441" s="5">
        <v>0</v>
      </c>
    </row>
    <row r="2442" spans="1:8" x14ac:dyDescent="0.35">
      <c r="A2442" s="2" t="s">
        <v>888</v>
      </c>
      <c r="B2442" s="2" t="s">
        <v>509</v>
      </c>
      <c r="C2442" s="2" t="s">
        <v>901</v>
      </c>
      <c r="D2442" s="2" t="s">
        <v>902</v>
      </c>
      <c r="E2442" s="2" t="s">
        <v>48</v>
      </c>
      <c r="F2442" s="3">
        <v>576.47</v>
      </c>
      <c r="G2442" s="4">
        <v>20</v>
      </c>
      <c r="H2442" s="5">
        <v>0</v>
      </c>
    </row>
    <row r="2443" spans="1:8" x14ac:dyDescent="0.35">
      <c r="A2443" s="2" t="s">
        <v>888</v>
      </c>
      <c r="B2443" s="2" t="s">
        <v>509</v>
      </c>
      <c r="C2443" s="2" t="s">
        <v>903</v>
      </c>
      <c r="D2443" s="2" t="s">
        <v>904</v>
      </c>
      <c r="E2443" s="2" t="s">
        <v>48</v>
      </c>
      <c r="F2443" s="3">
        <v>576.47</v>
      </c>
      <c r="G2443" s="4">
        <v>20</v>
      </c>
      <c r="H2443" s="5">
        <v>0</v>
      </c>
    </row>
    <row r="2444" spans="1:8" x14ac:dyDescent="0.35">
      <c r="A2444" s="2" t="s">
        <v>888</v>
      </c>
      <c r="B2444" s="2" t="s">
        <v>509</v>
      </c>
      <c r="C2444" s="2" t="s">
        <v>905</v>
      </c>
      <c r="D2444" s="2" t="s">
        <v>906</v>
      </c>
      <c r="E2444" s="2" t="s">
        <v>907</v>
      </c>
      <c r="F2444" s="3">
        <v>43.16</v>
      </c>
      <c r="G2444" s="4">
        <v>12</v>
      </c>
      <c r="H2444" s="5">
        <v>0</v>
      </c>
    </row>
    <row r="2445" spans="1:8" x14ac:dyDescent="0.35">
      <c r="A2445" s="2" t="s">
        <v>888</v>
      </c>
      <c r="B2445" s="2" t="s">
        <v>509</v>
      </c>
      <c r="C2445" s="2" t="s">
        <v>908</v>
      </c>
      <c r="D2445" s="2" t="s">
        <v>909</v>
      </c>
      <c r="E2445" s="2" t="s">
        <v>92</v>
      </c>
      <c r="F2445" s="3">
        <v>1261.74</v>
      </c>
      <c r="G2445" s="4">
        <v>24</v>
      </c>
      <c r="H2445" s="5">
        <v>0</v>
      </c>
    </row>
    <row r="2446" spans="1:8" x14ac:dyDescent="0.35">
      <c r="A2446" s="2" t="s">
        <v>888</v>
      </c>
      <c r="B2446" s="2" t="s">
        <v>509</v>
      </c>
      <c r="C2446" s="2" t="s">
        <v>910</v>
      </c>
      <c r="D2446" s="2" t="s">
        <v>911</v>
      </c>
      <c r="E2446" s="2" t="s">
        <v>92</v>
      </c>
      <c r="F2446" s="3">
        <v>1261.74</v>
      </c>
      <c r="G2446" s="4">
        <v>24</v>
      </c>
      <c r="H2446" s="5">
        <v>0</v>
      </c>
    </row>
    <row r="2447" spans="1:8" x14ac:dyDescent="0.35">
      <c r="A2447" s="2" t="s">
        <v>888</v>
      </c>
      <c r="B2447" s="2" t="s">
        <v>509</v>
      </c>
      <c r="C2447" s="2" t="s">
        <v>912</v>
      </c>
      <c r="D2447" s="2" t="s">
        <v>913</v>
      </c>
      <c r="E2447" s="2" t="s">
        <v>92</v>
      </c>
      <c r="F2447" s="3">
        <v>1261.74</v>
      </c>
      <c r="G2447" s="4">
        <v>24</v>
      </c>
      <c r="H2447" s="5">
        <v>0</v>
      </c>
    </row>
    <row r="2448" spans="1:8" x14ac:dyDescent="0.35">
      <c r="A2448" s="2" t="s">
        <v>888</v>
      </c>
      <c r="B2448" s="2" t="s">
        <v>509</v>
      </c>
      <c r="C2448" s="2" t="s">
        <v>914</v>
      </c>
      <c r="D2448" s="2" t="s">
        <v>915</v>
      </c>
      <c r="E2448" s="2" t="s">
        <v>916</v>
      </c>
      <c r="F2448" s="3">
        <v>52.9</v>
      </c>
      <c r="G2448" s="4">
        <v>12</v>
      </c>
      <c r="H2448" s="5">
        <v>0</v>
      </c>
    </row>
    <row r="2449" spans="1:8" x14ac:dyDescent="0.35">
      <c r="A2449" s="2" t="s">
        <v>888</v>
      </c>
      <c r="B2449" s="2" t="s">
        <v>509</v>
      </c>
      <c r="C2449" s="2" t="s">
        <v>917</v>
      </c>
      <c r="D2449" s="2" t="s">
        <v>918</v>
      </c>
      <c r="E2449" s="2" t="s">
        <v>115</v>
      </c>
      <c r="F2449" s="3">
        <v>449.9</v>
      </c>
      <c r="G2449" s="4">
        <v>10</v>
      </c>
      <c r="H2449" s="5">
        <v>0</v>
      </c>
    </row>
    <row r="2450" spans="1:8" x14ac:dyDescent="0.35">
      <c r="A2450" s="2" t="s">
        <v>888</v>
      </c>
      <c r="B2450" s="2" t="s">
        <v>509</v>
      </c>
      <c r="C2450" s="2" t="s">
        <v>919</v>
      </c>
      <c r="D2450" s="2" t="s">
        <v>920</v>
      </c>
      <c r="E2450" s="2" t="s">
        <v>115</v>
      </c>
      <c r="F2450" s="3">
        <v>146.21</v>
      </c>
      <c r="G2450" s="4">
        <v>10</v>
      </c>
      <c r="H2450" s="5">
        <v>0</v>
      </c>
    </row>
    <row r="2451" spans="1:8" x14ac:dyDescent="0.35">
      <c r="A2451" s="2" t="s">
        <v>888</v>
      </c>
      <c r="B2451" s="2" t="s">
        <v>509</v>
      </c>
      <c r="C2451" s="2" t="s">
        <v>921</v>
      </c>
      <c r="D2451" s="2" t="s">
        <v>922</v>
      </c>
      <c r="E2451" s="2" t="s">
        <v>923</v>
      </c>
      <c r="F2451" s="3">
        <v>4000</v>
      </c>
      <c r="G2451" s="4">
        <v>24</v>
      </c>
      <c r="H2451" s="5">
        <v>0.01</v>
      </c>
    </row>
    <row r="2452" spans="1:8" ht="14.5" customHeight="1" x14ac:dyDescent="0.35">
      <c r="A2452" s="2" t="s">
        <v>888</v>
      </c>
      <c r="B2452" s="2" t="s">
        <v>509</v>
      </c>
      <c r="C2452" s="2" t="s">
        <v>924</v>
      </c>
      <c r="D2452" s="2" t="s">
        <v>925</v>
      </c>
      <c r="E2452" s="2" t="s">
        <v>136</v>
      </c>
      <c r="F2452" s="3">
        <v>33</v>
      </c>
      <c r="G2452" s="4">
        <v>1</v>
      </c>
      <c r="H2452" s="5">
        <v>0</v>
      </c>
    </row>
    <row r="2453" spans="1:8" ht="14.5" customHeight="1" x14ac:dyDescent="0.35">
      <c r="A2453" s="2" t="s">
        <v>888</v>
      </c>
      <c r="B2453" s="2" t="s">
        <v>509</v>
      </c>
      <c r="C2453" s="2" t="s">
        <v>926</v>
      </c>
      <c r="D2453" s="2" t="s">
        <v>927</v>
      </c>
      <c r="E2453" s="2" t="s">
        <v>125</v>
      </c>
      <c r="F2453" s="3">
        <v>33</v>
      </c>
      <c r="G2453" s="4">
        <v>1</v>
      </c>
      <c r="H2453" s="5">
        <v>0</v>
      </c>
    </row>
    <row r="2454" spans="1:8" x14ac:dyDescent="0.35">
      <c r="A2454" s="2" t="s">
        <v>888</v>
      </c>
      <c r="B2454" s="2" t="s">
        <v>509</v>
      </c>
      <c r="C2454" s="2" t="s">
        <v>928</v>
      </c>
      <c r="D2454" s="2" t="s">
        <v>929</v>
      </c>
      <c r="E2454" s="2" t="s">
        <v>930</v>
      </c>
      <c r="F2454" s="3">
        <v>44.3</v>
      </c>
      <c r="G2454" s="4">
        <v>24</v>
      </c>
      <c r="H2454" s="5">
        <v>0</v>
      </c>
    </row>
    <row r="2455" spans="1:8" x14ac:dyDescent="0.35">
      <c r="A2455" s="2" t="s">
        <v>888</v>
      </c>
      <c r="B2455" s="2" t="s">
        <v>509</v>
      </c>
      <c r="C2455" s="2" t="s">
        <v>931</v>
      </c>
      <c r="D2455" s="2" t="s">
        <v>932</v>
      </c>
      <c r="E2455" s="2" t="s">
        <v>48</v>
      </c>
      <c r="F2455" s="3">
        <v>375.33</v>
      </c>
      <c r="G2455" s="4">
        <v>12</v>
      </c>
      <c r="H2455" s="5">
        <v>0</v>
      </c>
    </row>
    <row r="2456" spans="1:8" x14ac:dyDescent="0.35">
      <c r="A2456" s="2" t="s">
        <v>888</v>
      </c>
      <c r="B2456" s="2" t="s">
        <v>509</v>
      </c>
      <c r="C2456" s="2" t="s">
        <v>933</v>
      </c>
      <c r="D2456" s="2" t="s">
        <v>934</v>
      </c>
      <c r="E2456" s="6" t="s">
        <v>147</v>
      </c>
      <c r="F2456" s="3">
        <v>2653.45</v>
      </c>
      <c r="G2456" s="4">
        <v>18</v>
      </c>
      <c r="H2456" s="5">
        <v>0.01</v>
      </c>
    </row>
    <row r="2457" spans="1:8" x14ac:dyDescent="0.35">
      <c r="A2457" s="2" t="s">
        <v>888</v>
      </c>
      <c r="B2457" s="2" t="s">
        <v>509</v>
      </c>
      <c r="C2457" s="2" t="s">
        <v>935</v>
      </c>
      <c r="D2457" s="2" t="s">
        <v>936</v>
      </c>
      <c r="E2457" s="2" t="s">
        <v>237</v>
      </c>
      <c r="F2457" s="3">
        <v>3000</v>
      </c>
      <c r="G2457" s="4">
        <v>24</v>
      </c>
      <c r="H2457" s="5">
        <v>0</v>
      </c>
    </row>
    <row r="2458" spans="1:8" x14ac:dyDescent="0.35">
      <c r="A2458" s="2" t="s">
        <v>888</v>
      </c>
      <c r="B2458" s="2" t="s">
        <v>509</v>
      </c>
      <c r="C2458" s="2" t="s">
        <v>937</v>
      </c>
      <c r="D2458" s="2" t="s">
        <v>938</v>
      </c>
      <c r="E2458" s="2" t="s">
        <v>189</v>
      </c>
      <c r="F2458" s="3">
        <v>2110</v>
      </c>
      <c r="G2458" s="4">
        <v>1</v>
      </c>
      <c r="H2458" s="5">
        <v>0</v>
      </c>
    </row>
    <row r="2459" spans="1:8" x14ac:dyDescent="0.35">
      <c r="A2459" s="2" t="s">
        <v>888</v>
      </c>
      <c r="B2459" s="2" t="s">
        <v>509</v>
      </c>
      <c r="C2459" s="2" t="s">
        <v>939</v>
      </c>
      <c r="D2459" s="2" t="s">
        <v>940</v>
      </c>
      <c r="E2459" s="2" t="s">
        <v>248</v>
      </c>
      <c r="F2459" s="3">
        <v>500</v>
      </c>
      <c r="G2459" s="4">
        <v>12</v>
      </c>
      <c r="H2459" s="5">
        <v>0</v>
      </c>
    </row>
    <row r="2460" spans="1:8" x14ac:dyDescent="0.35">
      <c r="A2460" s="2" t="s">
        <v>888</v>
      </c>
      <c r="B2460" s="2" t="s">
        <v>509</v>
      </c>
      <c r="C2460" s="2" t="s">
        <v>941</v>
      </c>
      <c r="D2460" s="2" t="s">
        <v>942</v>
      </c>
      <c r="E2460" s="2" t="s">
        <v>226</v>
      </c>
      <c r="F2460" s="3">
        <v>2116.15</v>
      </c>
      <c r="G2460" s="4">
        <v>36</v>
      </c>
      <c r="H2460" s="5">
        <v>0.01</v>
      </c>
    </row>
    <row r="2461" spans="1:8" x14ac:dyDescent="0.35">
      <c r="A2461" s="2" t="s">
        <v>888</v>
      </c>
      <c r="B2461" s="2" t="s">
        <v>509</v>
      </c>
      <c r="C2461" s="2" t="s">
        <v>943</v>
      </c>
      <c r="D2461" s="2" t="s">
        <v>944</v>
      </c>
      <c r="E2461" s="2" t="s">
        <v>226</v>
      </c>
      <c r="F2461" s="3">
        <v>1700</v>
      </c>
      <c r="G2461" s="4">
        <v>12</v>
      </c>
      <c r="H2461" s="5">
        <v>0.01</v>
      </c>
    </row>
    <row r="2462" spans="1:8" x14ac:dyDescent="0.35">
      <c r="A2462" s="2" t="s">
        <v>888</v>
      </c>
      <c r="B2462" s="2" t="s">
        <v>509</v>
      </c>
      <c r="C2462" s="2" t="s">
        <v>783</v>
      </c>
      <c r="D2462" s="2" t="s">
        <v>784</v>
      </c>
      <c r="E2462" s="2" t="s">
        <v>260</v>
      </c>
      <c r="F2462" s="3">
        <v>755.65</v>
      </c>
      <c r="G2462" s="4">
        <v>1</v>
      </c>
      <c r="H2462" s="5">
        <v>0</v>
      </c>
    </row>
    <row r="2463" spans="1:8" x14ac:dyDescent="0.35">
      <c r="A2463" s="2" t="s">
        <v>888</v>
      </c>
      <c r="B2463" s="2" t="s">
        <v>509</v>
      </c>
      <c r="C2463" s="2" t="s">
        <v>945</v>
      </c>
      <c r="D2463" s="2" t="s">
        <v>946</v>
      </c>
      <c r="E2463" s="2" t="s">
        <v>947</v>
      </c>
      <c r="F2463" s="3">
        <v>2177</v>
      </c>
      <c r="G2463" s="4">
        <v>1</v>
      </c>
      <c r="H2463" s="5">
        <v>0</v>
      </c>
    </row>
    <row r="2464" spans="1:8" x14ac:dyDescent="0.35">
      <c r="A2464" s="2" t="s">
        <v>888</v>
      </c>
      <c r="B2464" s="2" t="s">
        <v>509</v>
      </c>
      <c r="C2464" s="2" t="s">
        <v>948</v>
      </c>
      <c r="D2464" s="2" t="s">
        <v>949</v>
      </c>
      <c r="E2464" s="2" t="s">
        <v>950</v>
      </c>
      <c r="F2464" s="3">
        <v>180</v>
      </c>
      <c r="G2464" s="4">
        <v>12</v>
      </c>
      <c r="H2464" s="5">
        <v>0</v>
      </c>
    </row>
    <row r="2465" spans="1:8" x14ac:dyDescent="0.35">
      <c r="A2465" s="2" t="s">
        <v>888</v>
      </c>
      <c r="B2465" s="2" t="s">
        <v>509</v>
      </c>
      <c r="C2465" s="2" t="s">
        <v>951</v>
      </c>
      <c r="D2465" s="2" t="s">
        <v>952</v>
      </c>
      <c r="E2465" s="2" t="s">
        <v>950</v>
      </c>
      <c r="F2465" s="3">
        <v>180</v>
      </c>
      <c r="G2465" s="4">
        <v>12</v>
      </c>
      <c r="H2465" s="5">
        <v>0</v>
      </c>
    </row>
    <row r="2466" spans="1:8" x14ac:dyDescent="0.35">
      <c r="A2466" s="2" t="s">
        <v>888</v>
      </c>
      <c r="B2466" s="2" t="s">
        <v>509</v>
      </c>
      <c r="C2466" s="2" t="s">
        <v>953</v>
      </c>
      <c r="D2466" s="2" t="s">
        <v>954</v>
      </c>
      <c r="E2466" s="2" t="s">
        <v>955</v>
      </c>
      <c r="F2466" s="3">
        <v>73.989999999999995</v>
      </c>
      <c r="G2466" s="4">
        <v>12</v>
      </c>
      <c r="H2466" s="5">
        <v>0</v>
      </c>
    </row>
    <row r="2467" spans="1:8" x14ac:dyDescent="0.35">
      <c r="A2467" s="2" t="s">
        <v>888</v>
      </c>
      <c r="B2467" s="2" t="s">
        <v>509</v>
      </c>
      <c r="C2467" s="2" t="s">
        <v>956</v>
      </c>
      <c r="D2467" s="2" t="s">
        <v>957</v>
      </c>
      <c r="E2467" s="2" t="s">
        <v>303</v>
      </c>
      <c r="F2467" s="3">
        <v>82</v>
      </c>
      <c r="G2467" s="4">
        <v>10</v>
      </c>
      <c r="H2467" s="5">
        <v>0</v>
      </c>
    </row>
    <row r="2468" spans="1:8" x14ac:dyDescent="0.35">
      <c r="A2468" s="2" t="s">
        <v>888</v>
      </c>
      <c r="B2468" s="2" t="s">
        <v>509</v>
      </c>
      <c r="C2468" s="2" t="s">
        <v>958</v>
      </c>
      <c r="D2468" s="2" t="s">
        <v>959</v>
      </c>
      <c r="E2468" s="2" t="s">
        <v>322</v>
      </c>
      <c r="F2468" s="3">
        <v>50</v>
      </c>
      <c r="G2468" s="4">
        <v>10</v>
      </c>
      <c r="H2468" s="5">
        <v>0</v>
      </c>
    </row>
    <row r="2469" spans="1:8" x14ac:dyDescent="0.35">
      <c r="A2469" s="2" t="s">
        <v>888</v>
      </c>
      <c r="B2469" s="2" t="s">
        <v>509</v>
      </c>
      <c r="C2469" s="2" t="s">
        <v>960</v>
      </c>
      <c r="D2469" s="2" t="s">
        <v>961</v>
      </c>
      <c r="E2469" s="2" t="s">
        <v>322</v>
      </c>
      <c r="F2469" s="3">
        <v>50</v>
      </c>
      <c r="G2469" s="4">
        <v>10</v>
      </c>
      <c r="H2469" s="5">
        <v>0</v>
      </c>
    </row>
    <row r="2470" spans="1:8" x14ac:dyDescent="0.35">
      <c r="A2470" s="2" t="s">
        <v>888</v>
      </c>
      <c r="B2470" s="2" t="s">
        <v>509</v>
      </c>
      <c r="C2470" s="2" t="s">
        <v>962</v>
      </c>
      <c r="D2470" s="2" t="s">
        <v>963</v>
      </c>
      <c r="E2470" s="2" t="s">
        <v>964</v>
      </c>
      <c r="F2470" s="3">
        <v>54.9</v>
      </c>
      <c r="G2470" s="4">
        <v>10</v>
      </c>
      <c r="H2470" s="5">
        <v>0</v>
      </c>
    </row>
    <row r="2471" spans="1:8" x14ac:dyDescent="0.35">
      <c r="A2471" s="2" t="s">
        <v>888</v>
      </c>
      <c r="B2471" s="2" t="s">
        <v>509</v>
      </c>
      <c r="C2471" s="2" t="s">
        <v>965</v>
      </c>
      <c r="D2471" s="2" t="s">
        <v>966</v>
      </c>
      <c r="E2471" s="2" t="s">
        <v>300</v>
      </c>
      <c r="F2471" s="3">
        <v>19.37</v>
      </c>
      <c r="G2471" s="4">
        <v>10</v>
      </c>
      <c r="H2471" s="5">
        <v>0</v>
      </c>
    </row>
    <row r="2472" spans="1:8" x14ac:dyDescent="0.35">
      <c r="A2472" s="2" t="s">
        <v>888</v>
      </c>
      <c r="B2472" s="2" t="s">
        <v>509</v>
      </c>
      <c r="C2472" s="2" t="s">
        <v>967</v>
      </c>
      <c r="D2472" s="2" t="s">
        <v>968</v>
      </c>
      <c r="E2472" s="2" t="s">
        <v>543</v>
      </c>
      <c r="F2472" s="3">
        <v>1873.22</v>
      </c>
      <c r="G2472" s="4">
        <v>1</v>
      </c>
      <c r="H2472" s="5">
        <v>0</v>
      </c>
    </row>
    <row r="2473" spans="1:8" x14ac:dyDescent="0.35">
      <c r="A2473" s="2" t="s">
        <v>888</v>
      </c>
      <c r="B2473" s="2" t="s">
        <v>509</v>
      </c>
      <c r="C2473" s="2" t="s">
        <v>969</v>
      </c>
      <c r="D2473" s="2" t="s">
        <v>970</v>
      </c>
      <c r="E2473" s="2" t="s">
        <v>434</v>
      </c>
      <c r="F2473" s="3">
        <v>4900</v>
      </c>
      <c r="G2473" s="4">
        <v>24</v>
      </c>
      <c r="H2473" s="5">
        <v>0.01</v>
      </c>
    </row>
    <row r="2474" spans="1:8" x14ac:dyDescent="0.35">
      <c r="A2474" s="2" t="s">
        <v>971</v>
      </c>
      <c r="B2474" s="2" t="s">
        <v>339</v>
      </c>
      <c r="C2474" s="2" t="s">
        <v>972</v>
      </c>
      <c r="D2474" s="2" t="s">
        <v>973</v>
      </c>
      <c r="E2474" s="2" t="s">
        <v>489</v>
      </c>
      <c r="F2474" s="3">
        <v>2700</v>
      </c>
      <c r="G2474" s="4">
        <v>60</v>
      </c>
      <c r="H2474" s="5">
        <v>1.67E-2</v>
      </c>
    </row>
    <row r="2475" spans="1:8" x14ac:dyDescent="0.35">
      <c r="A2475" s="2" t="s">
        <v>971</v>
      </c>
      <c r="B2475" s="2" t="s">
        <v>339</v>
      </c>
      <c r="C2475" s="2" t="s">
        <v>974</v>
      </c>
      <c r="D2475" s="2" t="s">
        <v>975</v>
      </c>
      <c r="E2475" s="2" t="s">
        <v>603</v>
      </c>
      <c r="F2475" s="3">
        <v>2772.33</v>
      </c>
      <c r="G2475" s="4">
        <v>60</v>
      </c>
      <c r="H2475" s="5">
        <v>1.67E-2</v>
      </c>
    </row>
    <row r="2476" spans="1:8" x14ac:dyDescent="0.35">
      <c r="A2476" s="2" t="s">
        <v>971</v>
      </c>
      <c r="B2476" s="2" t="s">
        <v>339</v>
      </c>
      <c r="C2476" s="2" t="s">
        <v>976</v>
      </c>
      <c r="D2476" s="2" t="s">
        <v>977</v>
      </c>
      <c r="E2476" s="2" t="s">
        <v>45</v>
      </c>
      <c r="F2476" s="3">
        <v>2075</v>
      </c>
      <c r="G2476" s="4">
        <v>60</v>
      </c>
      <c r="H2476" s="5">
        <v>1.67E-2</v>
      </c>
    </row>
    <row r="2477" spans="1:8" x14ac:dyDescent="0.35">
      <c r="A2477" s="2" t="s">
        <v>971</v>
      </c>
      <c r="B2477" s="2" t="s">
        <v>339</v>
      </c>
      <c r="C2477" s="2" t="s">
        <v>978</v>
      </c>
      <c r="D2477" s="2" t="s">
        <v>979</v>
      </c>
      <c r="E2477" s="6" t="s">
        <v>147</v>
      </c>
      <c r="F2477" s="3">
        <v>2456.7199999999998</v>
      </c>
      <c r="G2477" s="4">
        <v>60</v>
      </c>
      <c r="H2477" s="5">
        <v>1.67E-2</v>
      </c>
    </row>
    <row r="2478" spans="1:8" x14ac:dyDescent="0.35">
      <c r="A2478" s="2" t="s">
        <v>971</v>
      </c>
      <c r="B2478" s="2" t="s">
        <v>339</v>
      </c>
      <c r="C2478" s="2" t="s">
        <v>490</v>
      </c>
      <c r="D2478" s="2" t="s">
        <v>491</v>
      </c>
      <c r="E2478" s="2" t="s">
        <v>226</v>
      </c>
      <c r="F2478" s="3">
        <v>4690</v>
      </c>
      <c r="G2478" s="4">
        <v>60</v>
      </c>
      <c r="H2478" s="5">
        <v>1.67E-2</v>
      </c>
    </row>
    <row r="2479" spans="1:8" x14ac:dyDescent="0.35">
      <c r="A2479" s="2" t="s">
        <v>971</v>
      </c>
      <c r="B2479" s="2" t="s">
        <v>339</v>
      </c>
      <c r="C2479" s="2" t="s">
        <v>980</v>
      </c>
      <c r="D2479" s="2" t="s">
        <v>981</v>
      </c>
      <c r="E2479" s="2" t="s">
        <v>443</v>
      </c>
      <c r="F2479" s="3">
        <v>0.01</v>
      </c>
      <c r="G2479" s="4">
        <v>0</v>
      </c>
      <c r="H2479" s="5">
        <v>0</v>
      </c>
    </row>
    <row r="2480" spans="1:8" x14ac:dyDescent="0.35">
      <c r="A2480" s="2" t="s">
        <v>971</v>
      </c>
      <c r="B2480" s="2" t="s">
        <v>339</v>
      </c>
      <c r="C2480" s="2" t="s">
        <v>837</v>
      </c>
      <c r="D2480" s="2" t="s">
        <v>838</v>
      </c>
      <c r="E2480" s="2" t="s">
        <v>452</v>
      </c>
      <c r="F2480" s="3">
        <v>90</v>
      </c>
      <c r="G2480" s="4">
        <v>1</v>
      </c>
      <c r="H2480" s="5">
        <v>0</v>
      </c>
    </row>
    <row r="2481" spans="1:8" x14ac:dyDescent="0.35">
      <c r="A2481" s="2" t="s">
        <v>971</v>
      </c>
      <c r="B2481" s="2" t="s">
        <v>339</v>
      </c>
      <c r="C2481" s="2" t="s">
        <v>982</v>
      </c>
      <c r="D2481" s="2" t="s">
        <v>983</v>
      </c>
      <c r="E2481" s="2" t="s">
        <v>102</v>
      </c>
      <c r="F2481" s="3">
        <v>80.17</v>
      </c>
      <c r="G2481" s="4">
        <v>1</v>
      </c>
      <c r="H2481" s="5">
        <v>0</v>
      </c>
    </row>
    <row r="2482" spans="1:8" x14ac:dyDescent="0.35">
      <c r="A2482" s="2" t="s">
        <v>971</v>
      </c>
      <c r="B2482" s="2" t="s">
        <v>291</v>
      </c>
      <c r="C2482" s="2" t="s">
        <v>972</v>
      </c>
      <c r="D2482" s="2" t="s">
        <v>973</v>
      </c>
      <c r="E2482" s="2" t="s">
        <v>489</v>
      </c>
      <c r="F2482" s="3">
        <v>1500</v>
      </c>
      <c r="G2482" s="4">
        <v>12</v>
      </c>
      <c r="H2482" s="5">
        <v>7.4999999999999997E-3</v>
      </c>
    </row>
    <row r="2483" spans="1:8" x14ac:dyDescent="0.35">
      <c r="A2483" s="2" t="s">
        <v>971</v>
      </c>
      <c r="B2483" s="2" t="s">
        <v>291</v>
      </c>
      <c r="C2483" s="2" t="s">
        <v>974</v>
      </c>
      <c r="D2483" s="2" t="s">
        <v>975</v>
      </c>
      <c r="E2483" s="2" t="s">
        <v>603</v>
      </c>
      <c r="F2483" s="3">
        <v>1544.45</v>
      </c>
      <c r="G2483" s="4">
        <v>12</v>
      </c>
      <c r="H2483" s="5">
        <v>7.4999999999999997E-3</v>
      </c>
    </row>
    <row r="2484" spans="1:8" x14ac:dyDescent="0.35">
      <c r="A2484" s="2" t="s">
        <v>971</v>
      </c>
      <c r="B2484" s="2" t="s">
        <v>291</v>
      </c>
      <c r="C2484" s="2" t="s">
        <v>976</v>
      </c>
      <c r="D2484" s="2" t="s">
        <v>977</v>
      </c>
      <c r="E2484" s="2" t="s">
        <v>45</v>
      </c>
      <c r="F2484" s="3">
        <v>600</v>
      </c>
      <c r="G2484" s="4">
        <v>12</v>
      </c>
      <c r="H2484" s="5">
        <v>0</v>
      </c>
    </row>
    <row r="2485" spans="1:8" x14ac:dyDescent="0.35">
      <c r="A2485" s="2" t="s">
        <v>971</v>
      </c>
      <c r="B2485" s="2" t="s">
        <v>291</v>
      </c>
      <c r="C2485" s="2" t="s">
        <v>978</v>
      </c>
      <c r="D2485" s="2" t="s">
        <v>979</v>
      </c>
      <c r="E2485" s="6" t="s">
        <v>147</v>
      </c>
      <c r="F2485" s="3">
        <v>1500</v>
      </c>
      <c r="G2485" s="4">
        <v>12</v>
      </c>
      <c r="H2485" s="5">
        <v>7.4999999999999997E-3</v>
      </c>
    </row>
    <row r="2486" spans="1:8" x14ac:dyDescent="0.35">
      <c r="A2486" s="2" t="s">
        <v>971</v>
      </c>
      <c r="B2486" s="2" t="s">
        <v>291</v>
      </c>
      <c r="C2486" s="2" t="s">
        <v>490</v>
      </c>
      <c r="D2486" s="2" t="s">
        <v>491</v>
      </c>
      <c r="E2486" s="2" t="s">
        <v>226</v>
      </c>
      <c r="F2486" s="3">
        <v>2800</v>
      </c>
      <c r="G2486" s="4">
        <v>12</v>
      </c>
      <c r="H2486" s="5">
        <v>7.4999999999999997E-3</v>
      </c>
    </row>
    <row r="2487" spans="1:8" x14ac:dyDescent="0.35">
      <c r="A2487" s="2" t="s">
        <v>971</v>
      </c>
      <c r="B2487" s="2" t="s">
        <v>291</v>
      </c>
      <c r="C2487" s="2" t="s">
        <v>980</v>
      </c>
      <c r="D2487" s="2" t="s">
        <v>981</v>
      </c>
      <c r="E2487" s="2" t="s">
        <v>443</v>
      </c>
      <c r="F2487" s="3">
        <v>29</v>
      </c>
      <c r="G2487" s="4">
        <v>1</v>
      </c>
      <c r="H2487" s="5">
        <v>0</v>
      </c>
    </row>
    <row r="2488" spans="1:8" x14ac:dyDescent="0.35">
      <c r="A2488" s="2" t="s">
        <v>971</v>
      </c>
      <c r="B2488" s="2" t="s">
        <v>291</v>
      </c>
      <c r="C2488" s="2" t="s">
        <v>837</v>
      </c>
      <c r="D2488" s="2" t="s">
        <v>838</v>
      </c>
      <c r="E2488" s="2" t="s">
        <v>452</v>
      </c>
      <c r="F2488" s="3">
        <v>50</v>
      </c>
      <c r="G2488" s="4">
        <v>1</v>
      </c>
      <c r="H2488" s="5">
        <v>0</v>
      </c>
    </row>
    <row r="2489" spans="1:8" x14ac:dyDescent="0.35">
      <c r="A2489" s="2" t="s">
        <v>971</v>
      </c>
      <c r="B2489" s="2" t="s">
        <v>291</v>
      </c>
      <c r="C2489" s="2" t="s">
        <v>982</v>
      </c>
      <c r="D2489" s="2" t="s">
        <v>983</v>
      </c>
      <c r="E2489" s="2" t="s">
        <v>102</v>
      </c>
      <c r="F2489" s="3">
        <v>70</v>
      </c>
      <c r="G2489" s="4">
        <v>1</v>
      </c>
      <c r="H2489" s="5">
        <v>0</v>
      </c>
    </row>
    <row r="2490" spans="1:8" x14ac:dyDescent="0.35">
      <c r="A2490" s="2" t="s">
        <v>971</v>
      </c>
      <c r="B2490" s="2" t="s">
        <v>749</v>
      </c>
      <c r="C2490" s="2" t="s">
        <v>972</v>
      </c>
      <c r="D2490" s="2" t="s">
        <v>973</v>
      </c>
      <c r="E2490" s="2" t="s">
        <v>489</v>
      </c>
      <c r="F2490" s="3">
        <v>5000</v>
      </c>
      <c r="G2490" s="4">
        <v>12</v>
      </c>
      <c r="H2490" s="5">
        <v>0.03</v>
      </c>
    </row>
    <row r="2491" spans="1:8" x14ac:dyDescent="0.35">
      <c r="A2491" s="2" t="s">
        <v>971</v>
      </c>
      <c r="B2491" s="2" t="s">
        <v>749</v>
      </c>
      <c r="C2491" s="2" t="s">
        <v>974</v>
      </c>
      <c r="D2491" s="2" t="s">
        <v>975</v>
      </c>
      <c r="E2491" s="2" t="s">
        <v>603</v>
      </c>
      <c r="F2491" s="3">
        <v>4000</v>
      </c>
      <c r="G2491" s="4">
        <v>12</v>
      </c>
      <c r="H2491" s="5">
        <v>0.03</v>
      </c>
    </row>
    <row r="2492" spans="1:8" x14ac:dyDescent="0.35">
      <c r="A2492" s="2" t="s">
        <v>971</v>
      </c>
      <c r="B2492" s="2" t="s">
        <v>749</v>
      </c>
      <c r="C2492" s="2" t="s">
        <v>976</v>
      </c>
      <c r="D2492" s="2" t="s">
        <v>977</v>
      </c>
      <c r="E2492" s="2" t="s">
        <v>45</v>
      </c>
      <c r="F2492" s="3">
        <v>3000</v>
      </c>
      <c r="G2492" s="4">
        <v>12</v>
      </c>
      <c r="H2492" s="5">
        <v>0</v>
      </c>
    </row>
    <row r="2493" spans="1:8" x14ac:dyDescent="0.35">
      <c r="A2493" s="2" t="s">
        <v>971</v>
      </c>
      <c r="B2493" s="2" t="s">
        <v>749</v>
      </c>
      <c r="C2493" s="2" t="s">
        <v>978</v>
      </c>
      <c r="D2493" s="2" t="s">
        <v>979</v>
      </c>
      <c r="E2493" s="6" t="s">
        <v>147</v>
      </c>
      <c r="F2493" s="3">
        <v>3000</v>
      </c>
      <c r="G2493" s="4">
        <v>12</v>
      </c>
      <c r="H2493" s="5">
        <v>0.03</v>
      </c>
    </row>
    <row r="2494" spans="1:8" x14ac:dyDescent="0.35">
      <c r="A2494" s="2" t="s">
        <v>971</v>
      </c>
      <c r="B2494" s="2" t="s">
        <v>749</v>
      </c>
      <c r="C2494" s="2" t="s">
        <v>490</v>
      </c>
      <c r="D2494" s="2" t="s">
        <v>491</v>
      </c>
      <c r="E2494" s="2" t="s">
        <v>226</v>
      </c>
      <c r="F2494" s="3">
        <v>5000</v>
      </c>
      <c r="G2494" s="4">
        <v>12</v>
      </c>
      <c r="H2494" s="5">
        <v>0.03</v>
      </c>
    </row>
    <row r="2495" spans="1:8" x14ac:dyDescent="0.35">
      <c r="A2495" s="2" t="s">
        <v>971</v>
      </c>
      <c r="B2495" s="2" t="s">
        <v>749</v>
      </c>
      <c r="C2495" s="2" t="s">
        <v>980</v>
      </c>
      <c r="D2495" s="2" t="s">
        <v>981</v>
      </c>
      <c r="E2495" s="2" t="s">
        <v>443</v>
      </c>
      <c r="F2495" s="3">
        <v>500</v>
      </c>
      <c r="G2495" s="4">
        <v>12</v>
      </c>
      <c r="H2495" s="5">
        <v>0</v>
      </c>
    </row>
    <row r="2496" spans="1:8" x14ac:dyDescent="0.35">
      <c r="A2496" s="2" t="s">
        <v>971</v>
      </c>
      <c r="B2496" s="2" t="s">
        <v>749</v>
      </c>
      <c r="C2496" s="2" t="s">
        <v>837</v>
      </c>
      <c r="D2496" s="2" t="s">
        <v>838</v>
      </c>
      <c r="E2496" s="2" t="s">
        <v>452</v>
      </c>
      <c r="F2496" s="3">
        <v>500</v>
      </c>
      <c r="G2496" s="4">
        <v>12</v>
      </c>
      <c r="H2496" s="5">
        <v>0</v>
      </c>
    </row>
    <row r="2497" spans="1:8" x14ac:dyDescent="0.35">
      <c r="A2497" s="2" t="s">
        <v>971</v>
      </c>
      <c r="B2497" s="2" t="s">
        <v>749</v>
      </c>
      <c r="C2497" s="2" t="s">
        <v>982</v>
      </c>
      <c r="D2497" s="2" t="s">
        <v>983</v>
      </c>
      <c r="E2497" s="2" t="s">
        <v>102</v>
      </c>
      <c r="F2497" s="3">
        <v>1900</v>
      </c>
      <c r="G2497" s="4">
        <v>12</v>
      </c>
      <c r="H2497" s="5">
        <v>0</v>
      </c>
    </row>
    <row r="2498" spans="1:8" x14ac:dyDescent="0.35">
      <c r="A2498" s="2" t="s">
        <v>971</v>
      </c>
      <c r="B2498" s="2" t="s">
        <v>788</v>
      </c>
      <c r="C2498" s="2" t="s">
        <v>972</v>
      </c>
      <c r="D2498" s="2" t="s">
        <v>973</v>
      </c>
      <c r="E2498" s="2" t="s">
        <v>489</v>
      </c>
      <c r="F2498" s="3">
        <v>1500</v>
      </c>
      <c r="G2498" s="4">
        <v>60</v>
      </c>
      <c r="H2498" s="5">
        <v>7.4999999999999997E-3</v>
      </c>
    </row>
    <row r="2499" spans="1:8" x14ac:dyDescent="0.35">
      <c r="A2499" s="2" t="s">
        <v>971</v>
      </c>
      <c r="B2499" s="2" t="s">
        <v>788</v>
      </c>
      <c r="C2499" s="2" t="s">
        <v>974</v>
      </c>
      <c r="D2499" s="2" t="s">
        <v>975</v>
      </c>
      <c r="E2499" s="2" t="s">
        <v>603</v>
      </c>
      <c r="F2499" s="3">
        <v>1544.45</v>
      </c>
      <c r="G2499" s="4">
        <v>60</v>
      </c>
      <c r="H2499" s="5">
        <v>7.4999999999999997E-3</v>
      </c>
    </row>
    <row r="2500" spans="1:8" x14ac:dyDescent="0.35">
      <c r="A2500" s="2" t="s">
        <v>971</v>
      </c>
      <c r="B2500" s="2" t="s">
        <v>788</v>
      </c>
      <c r="C2500" s="2" t="s">
        <v>976</v>
      </c>
      <c r="D2500" s="2" t="s">
        <v>977</v>
      </c>
      <c r="E2500" s="2" t="s">
        <v>45</v>
      </c>
      <c r="F2500" s="3">
        <v>600</v>
      </c>
      <c r="G2500" s="4">
        <v>60</v>
      </c>
      <c r="H2500" s="5">
        <v>0</v>
      </c>
    </row>
    <row r="2501" spans="1:8" x14ac:dyDescent="0.35">
      <c r="A2501" s="2" t="s">
        <v>971</v>
      </c>
      <c r="B2501" s="2" t="s">
        <v>788</v>
      </c>
      <c r="C2501" s="2" t="s">
        <v>978</v>
      </c>
      <c r="D2501" s="2" t="s">
        <v>979</v>
      </c>
      <c r="E2501" s="6" t="s">
        <v>147</v>
      </c>
      <c r="F2501" s="3">
        <v>1500</v>
      </c>
      <c r="G2501" s="4">
        <v>60</v>
      </c>
      <c r="H2501" s="5">
        <v>7.0000000000000001E-3</v>
      </c>
    </row>
    <row r="2502" spans="1:8" x14ac:dyDescent="0.35">
      <c r="A2502" s="2" t="s">
        <v>971</v>
      </c>
      <c r="B2502" s="2" t="s">
        <v>788</v>
      </c>
      <c r="C2502" s="2" t="s">
        <v>490</v>
      </c>
      <c r="D2502" s="2" t="s">
        <v>491</v>
      </c>
      <c r="E2502" s="2" t="s">
        <v>226</v>
      </c>
      <c r="F2502" s="3">
        <v>2800</v>
      </c>
      <c r="G2502" s="4">
        <v>60</v>
      </c>
      <c r="H2502" s="5">
        <v>7.0000000000000001E-3</v>
      </c>
    </row>
    <row r="2503" spans="1:8" x14ac:dyDescent="0.35">
      <c r="A2503" s="2" t="s">
        <v>971</v>
      </c>
      <c r="B2503" s="2" t="s">
        <v>788</v>
      </c>
      <c r="C2503" s="2" t="s">
        <v>980</v>
      </c>
      <c r="D2503" s="2" t="s">
        <v>981</v>
      </c>
      <c r="E2503" s="2" t="s">
        <v>443</v>
      </c>
      <c r="F2503" s="3">
        <v>29</v>
      </c>
      <c r="G2503" s="4">
        <v>1</v>
      </c>
      <c r="H2503" s="5">
        <v>0</v>
      </c>
    </row>
    <row r="2504" spans="1:8" x14ac:dyDescent="0.35">
      <c r="A2504" s="2" t="s">
        <v>971</v>
      </c>
      <c r="B2504" s="2" t="s">
        <v>788</v>
      </c>
      <c r="C2504" s="2" t="s">
        <v>837</v>
      </c>
      <c r="D2504" s="2" t="s">
        <v>838</v>
      </c>
      <c r="E2504" s="2" t="s">
        <v>452</v>
      </c>
      <c r="F2504" s="3">
        <v>50</v>
      </c>
      <c r="G2504" s="4">
        <v>1</v>
      </c>
      <c r="H2504" s="5">
        <v>0</v>
      </c>
    </row>
    <row r="2505" spans="1:8" x14ac:dyDescent="0.35">
      <c r="A2505" s="2" t="s">
        <v>971</v>
      </c>
      <c r="B2505" s="2" t="s">
        <v>788</v>
      </c>
      <c r="C2505" s="2" t="s">
        <v>982</v>
      </c>
      <c r="D2505" s="2" t="s">
        <v>983</v>
      </c>
      <c r="E2505" s="2" t="s">
        <v>102</v>
      </c>
      <c r="F2505" s="3">
        <v>600</v>
      </c>
      <c r="G2505" s="4">
        <v>1</v>
      </c>
      <c r="H2505" s="5">
        <v>0</v>
      </c>
    </row>
    <row r="2506" spans="1:8" x14ac:dyDescent="0.35">
      <c r="A2506" s="2" t="s">
        <v>971</v>
      </c>
      <c r="B2506" s="2" t="s">
        <v>510</v>
      </c>
      <c r="C2506" s="2" t="s">
        <v>972</v>
      </c>
      <c r="D2506" s="2" t="s">
        <v>973</v>
      </c>
      <c r="E2506" s="2" t="s">
        <v>489</v>
      </c>
      <c r="F2506" s="3">
        <v>4480</v>
      </c>
      <c r="G2506" s="4">
        <v>24</v>
      </c>
      <c r="H2506" s="5">
        <v>0</v>
      </c>
    </row>
    <row r="2507" spans="1:8" x14ac:dyDescent="0.35">
      <c r="A2507" s="2" t="s">
        <v>971</v>
      </c>
      <c r="B2507" s="2" t="s">
        <v>510</v>
      </c>
      <c r="C2507" s="2" t="s">
        <v>974</v>
      </c>
      <c r="D2507" s="2" t="s">
        <v>975</v>
      </c>
      <c r="E2507" s="2" t="s">
        <v>603</v>
      </c>
      <c r="F2507" s="3">
        <v>3200</v>
      </c>
      <c r="G2507" s="4">
        <v>24</v>
      </c>
      <c r="H2507" s="5">
        <v>0</v>
      </c>
    </row>
    <row r="2508" spans="1:8" x14ac:dyDescent="0.35">
      <c r="A2508" s="2" t="s">
        <v>971</v>
      </c>
      <c r="B2508" s="2" t="s">
        <v>510</v>
      </c>
      <c r="C2508" s="2" t="s">
        <v>976</v>
      </c>
      <c r="D2508" s="2" t="s">
        <v>977</v>
      </c>
      <c r="E2508" s="2" t="s">
        <v>45</v>
      </c>
      <c r="F2508" s="3">
        <v>4480</v>
      </c>
      <c r="G2508" s="4">
        <v>35</v>
      </c>
      <c r="H2508" s="5">
        <v>0</v>
      </c>
    </row>
    <row r="2509" spans="1:8" x14ac:dyDescent="0.35">
      <c r="A2509" s="2" t="s">
        <v>971</v>
      </c>
      <c r="B2509" s="2" t="s">
        <v>510</v>
      </c>
      <c r="C2509" s="2" t="s">
        <v>978</v>
      </c>
      <c r="D2509" s="2" t="s">
        <v>979</v>
      </c>
      <c r="E2509" s="6" t="s">
        <v>147</v>
      </c>
      <c r="F2509" s="3">
        <v>3392</v>
      </c>
      <c r="G2509" s="4">
        <v>36</v>
      </c>
      <c r="H2509" s="5">
        <v>0</v>
      </c>
    </row>
    <row r="2510" spans="1:8" x14ac:dyDescent="0.35">
      <c r="A2510" s="2" t="s">
        <v>971</v>
      </c>
      <c r="B2510" s="2" t="s">
        <v>510</v>
      </c>
      <c r="C2510" s="2" t="s">
        <v>490</v>
      </c>
      <c r="D2510" s="2" t="s">
        <v>491</v>
      </c>
      <c r="E2510" s="2" t="s">
        <v>226</v>
      </c>
      <c r="F2510" s="3">
        <v>3392</v>
      </c>
      <c r="G2510" s="4">
        <v>24</v>
      </c>
      <c r="H2510" s="5">
        <v>0</v>
      </c>
    </row>
    <row r="2511" spans="1:8" x14ac:dyDescent="0.35">
      <c r="A2511" s="2" t="s">
        <v>971</v>
      </c>
      <c r="B2511" s="2" t="s">
        <v>510</v>
      </c>
      <c r="C2511" s="2" t="s">
        <v>980</v>
      </c>
      <c r="D2511" s="2" t="s">
        <v>981</v>
      </c>
      <c r="E2511" s="2" t="s">
        <v>443</v>
      </c>
      <c r="F2511" s="3">
        <v>128</v>
      </c>
      <c r="G2511" s="4">
        <v>1</v>
      </c>
      <c r="H2511" s="5">
        <v>0</v>
      </c>
    </row>
    <row r="2512" spans="1:8" x14ac:dyDescent="0.35">
      <c r="A2512" s="2" t="s">
        <v>971</v>
      </c>
      <c r="B2512" s="2" t="s">
        <v>510</v>
      </c>
      <c r="C2512" s="2" t="s">
        <v>837</v>
      </c>
      <c r="D2512" s="2" t="s">
        <v>838</v>
      </c>
      <c r="E2512" s="2" t="s">
        <v>452</v>
      </c>
      <c r="F2512" s="3">
        <v>70</v>
      </c>
      <c r="G2512" s="4">
        <v>1</v>
      </c>
      <c r="H2512" s="5">
        <v>0</v>
      </c>
    </row>
    <row r="2513" spans="1:8" x14ac:dyDescent="0.35">
      <c r="A2513" s="2" t="s">
        <v>971</v>
      </c>
      <c r="B2513" s="2" t="s">
        <v>510</v>
      </c>
      <c r="C2513" s="2" t="s">
        <v>982</v>
      </c>
      <c r="D2513" s="2" t="s">
        <v>983</v>
      </c>
      <c r="E2513" s="2" t="s">
        <v>102</v>
      </c>
      <c r="F2513" s="3">
        <v>148.78</v>
      </c>
      <c r="G2513" s="4">
        <v>1</v>
      </c>
      <c r="H2513" s="5">
        <v>0</v>
      </c>
    </row>
    <row r="2514" spans="1:8" x14ac:dyDescent="0.35">
      <c r="A2514" s="2" t="s">
        <v>971</v>
      </c>
      <c r="B2514" s="2" t="s">
        <v>785</v>
      </c>
      <c r="C2514" s="2" t="s">
        <v>972</v>
      </c>
      <c r="D2514" s="2" t="s">
        <v>973</v>
      </c>
      <c r="E2514" s="2" t="s">
        <v>489</v>
      </c>
      <c r="F2514" s="3">
        <v>1900</v>
      </c>
      <c r="G2514" s="4">
        <v>12</v>
      </c>
      <c r="H2514" s="5">
        <v>0.01</v>
      </c>
    </row>
    <row r="2515" spans="1:8" x14ac:dyDescent="0.35">
      <c r="A2515" s="2" t="s">
        <v>971</v>
      </c>
      <c r="B2515" s="2" t="s">
        <v>785</v>
      </c>
      <c r="C2515" s="2" t="s">
        <v>974</v>
      </c>
      <c r="D2515" s="2" t="s">
        <v>975</v>
      </c>
      <c r="E2515" s="2" t="s">
        <v>603</v>
      </c>
      <c r="F2515" s="3">
        <v>1544.45</v>
      </c>
      <c r="G2515" s="4">
        <v>12</v>
      </c>
      <c r="H2515" s="5">
        <v>0.01</v>
      </c>
    </row>
    <row r="2516" spans="1:8" x14ac:dyDescent="0.35">
      <c r="A2516" s="2" t="s">
        <v>971</v>
      </c>
      <c r="B2516" s="2" t="s">
        <v>785</v>
      </c>
      <c r="C2516" s="2" t="s">
        <v>976</v>
      </c>
      <c r="D2516" s="2" t="s">
        <v>977</v>
      </c>
      <c r="E2516" s="2" t="s">
        <v>45</v>
      </c>
      <c r="F2516" s="3">
        <v>600</v>
      </c>
      <c r="G2516" s="4">
        <v>12</v>
      </c>
      <c r="H2516" s="5">
        <v>0.01</v>
      </c>
    </row>
    <row r="2517" spans="1:8" x14ac:dyDescent="0.35">
      <c r="A2517" s="2" t="s">
        <v>971</v>
      </c>
      <c r="B2517" s="2" t="s">
        <v>785</v>
      </c>
      <c r="C2517" s="2" t="s">
        <v>978</v>
      </c>
      <c r="D2517" s="2" t="s">
        <v>979</v>
      </c>
      <c r="E2517" s="6" t="s">
        <v>147</v>
      </c>
      <c r="F2517" s="3">
        <v>1500</v>
      </c>
      <c r="G2517" s="4">
        <v>12</v>
      </c>
      <c r="H2517" s="5">
        <v>0.01</v>
      </c>
    </row>
    <row r="2518" spans="1:8" x14ac:dyDescent="0.35">
      <c r="A2518" s="2" t="s">
        <v>971</v>
      </c>
      <c r="B2518" s="2" t="s">
        <v>785</v>
      </c>
      <c r="C2518" s="2" t="s">
        <v>490</v>
      </c>
      <c r="D2518" s="2" t="s">
        <v>491</v>
      </c>
      <c r="E2518" s="2" t="s">
        <v>226</v>
      </c>
      <c r="F2518" s="3">
        <v>2800</v>
      </c>
      <c r="G2518" s="4">
        <v>12</v>
      </c>
      <c r="H2518" s="5">
        <v>0.01</v>
      </c>
    </row>
    <row r="2519" spans="1:8" x14ac:dyDescent="0.35">
      <c r="A2519" s="2" t="s">
        <v>971</v>
      </c>
      <c r="B2519" s="2" t="s">
        <v>785</v>
      </c>
      <c r="C2519" s="2" t="s">
        <v>980</v>
      </c>
      <c r="D2519" s="2" t="s">
        <v>981</v>
      </c>
      <c r="E2519" s="2" t="s">
        <v>443</v>
      </c>
      <c r="F2519" s="3">
        <v>29</v>
      </c>
      <c r="G2519" s="4">
        <v>1</v>
      </c>
      <c r="H2519" s="5">
        <v>0</v>
      </c>
    </row>
    <row r="2520" spans="1:8" x14ac:dyDescent="0.35">
      <c r="A2520" s="2" t="s">
        <v>971</v>
      </c>
      <c r="B2520" s="2" t="s">
        <v>785</v>
      </c>
      <c r="C2520" s="2" t="s">
        <v>837</v>
      </c>
      <c r="D2520" s="2" t="s">
        <v>838</v>
      </c>
      <c r="E2520" s="2" t="s">
        <v>452</v>
      </c>
      <c r="F2520" s="3">
        <v>80</v>
      </c>
      <c r="G2520" s="4">
        <v>1</v>
      </c>
      <c r="H2520" s="5">
        <v>0</v>
      </c>
    </row>
    <row r="2521" spans="1:8" x14ac:dyDescent="0.35">
      <c r="A2521" s="2" t="s">
        <v>971</v>
      </c>
      <c r="B2521" s="2" t="s">
        <v>785</v>
      </c>
      <c r="C2521" s="2" t="s">
        <v>982</v>
      </c>
      <c r="D2521" s="2" t="s">
        <v>983</v>
      </c>
      <c r="E2521" s="2" t="s">
        <v>102</v>
      </c>
      <c r="F2521" s="3">
        <v>70</v>
      </c>
      <c r="G2521" s="4">
        <v>1</v>
      </c>
      <c r="H2521" s="5">
        <v>0</v>
      </c>
    </row>
    <row r="2522" spans="1:8" x14ac:dyDescent="0.35">
      <c r="A2522" s="2" t="s">
        <v>971</v>
      </c>
      <c r="B2522" s="2" t="s">
        <v>787</v>
      </c>
      <c r="C2522" s="2" t="s">
        <v>972</v>
      </c>
      <c r="D2522" s="2" t="s">
        <v>973</v>
      </c>
      <c r="E2522" s="2" t="s">
        <v>489</v>
      </c>
      <c r="F2522" s="3">
        <v>1500</v>
      </c>
      <c r="G2522" s="4">
        <v>60</v>
      </c>
      <c r="H2522" s="5">
        <v>7.4999999999999997E-3</v>
      </c>
    </row>
    <row r="2523" spans="1:8" x14ac:dyDescent="0.35">
      <c r="A2523" s="2" t="s">
        <v>971</v>
      </c>
      <c r="B2523" s="2" t="s">
        <v>787</v>
      </c>
      <c r="C2523" s="2" t="s">
        <v>974</v>
      </c>
      <c r="D2523" s="2" t="s">
        <v>975</v>
      </c>
      <c r="E2523" s="2" t="s">
        <v>603</v>
      </c>
      <c r="F2523" s="3">
        <v>2000</v>
      </c>
      <c r="G2523" s="4">
        <v>60</v>
      </c>
      <c r="H2523" s="5">
        <v>7.4999999999999997E-3</v>
      </c>
    </row>
    <row r="2524" spans="1:8" x14ac:dyDescent="0.35">
      <c r="A2524" s="2" t="s">
        <v>971</v>
      </c>
      <c r="B2524" s="2" t="s">
        <v>787</v>
      </c>
      <c r="C2524" s="2" t="s">
        <v>976</v>
      </c>
      <c r="D2524" s="2" t="s">
        <v>977</v>
      </c>
      <c r="E2524" s="2" t="s">
        <v>45</v>
      </c>
      <c r="F2524" s="3">
        <v>600</v>
      </c>
      <c r="G2524" s="4">
        <v>60</v>
      </c>
      <c r="H2524" s="5">
        <v>0</v>
      </c>
    </row>
    <row r="2525" spans="1:8" x14ac:dyDescent="0.35">
      <c r="A2525" s="2" t="s">
        <v>971</v>
      </c>
      <c r="B2525" s="2" t="s">
        <v>787</v>
      </c>
      <c r="C2525" s="2" t="s">
        <v>978</v>
      </c>
      <c r="D2525" s="2" t="s">
        <v>979</v>
      </c>
      <c r="E2525" s="6" t="s">
        <v>147</v>
      </c>
      <c r="F2525" s="3">
        <v>1980</v>
      </c>
      <c r="G2525" s="4">
        <v>60</v>
      </c>
      <c r="H2525" s="5">
        <v>7.4999999999999997E-3</v>
      </c>
    </row>
    <row r="2526" spans="1:8" x14ac:dyDescent="0.35">
      <c r="A2526" s="2" t="s">
        <v>971</v>
      </c>
      <c r="B2526" s="2" t="s">
        <v>787</v>
      </c>
      <c r="C2526" s="2" t="s">
        <v>490</v>
      </c>
      <c r="D2526" s="2" t="s">
        <v>491</v>
      </c>
      <c r="E2526" s="2" t="s">
        <v>226</v>
      </c>
      <c r="F2526" s="3">
        <v>3422</v>
      </c>
      <c r="G2526" s="4">
        <v>60</v>
      </c>
      <c r="H2526" s="5">
        <v>7.4999999999999997E-3</v>
      </c>
    </row>
    <row r="2527" spans="1:8" x14ac:dyDescent="0.35">
      <c r="A2527" s="2" t="s">
        <v>971</v>
      </c>
      <c r="B2527" s="2" t="s">
        <v>787</v>
      </c>
      <c r="C2527" s="2" t="s">
        <v>980</v>
      </c>
      <c r="D2527" s="2" t="s">
        <v>981</v>
      </c>
      <c r="E2527" s="2" t="s">
        <v>443</v>
      </c>
      <c r="F2527" s="3">
        <v>83.33</v>
      </c>
      <c r="G2527" s="4">
        <v>1</v>
      </c>
      <c r="H2527" s="5">
        <v>0</v>
      </c>
    </row>
    <row r="2528" spans="1:8" x14ac:dyDescent="0.35">
      <c r="A2528" s="2" t="s">
        <v>971</v>
      </c>
      <c r="B2528" s="2" t="s">
        <v>787</v>
      </c>
      <c r="C2528" s="2" t="s">
        <v>837</v>
      </c>
      <c r="D2528" s="2" t="s">
        <v>838</v>
      </c>
      <c r="E2528" s="2" t="s">
        <v>452</v>
      </c>
      <c r="F2528" s="3">
        <v>50</v>
      </c>
      <c r="G2528" s="4">
        <v>1</v>
      </c>
      <c r="H2528" s="5">
        <v>0</v>
      </c>
    </row>
    <row r="2529" spans="1:8" x14ac:dyDescent="0.35">
      <c r="A2529" s="2" t="s">
        <v>971</v>
      </c>
      <c r="B2529" s="2" t="s">
        <v>787</v>
      </c>
      <c r="C2529" s="2" t="s">
        <v>982</v>
      </c>
      <c r="D2529" s="2" t="s">
        <v>983</v>
      </c>
      <c r="E2529" s="2" t="s">
        <v>102</v>
      </c>
      <c r="F2529" s="3">
        <v>70</v>
      </c>
      <c r="G2529" s="4">
        <v>1</v>
      </c>
      <c r="H2529" s="5">
        <v>0</v>
      </c>
    </row>
    <row r="2530" spans="1:8" x14ac:dyDescent="0.35">
      <c r="A2530" s="2" t="s">
        <v>971</v>
      </c>
      <c r="B2530" s="2" t="s">
        <v>447</v>
      </c>
      <c r="C2530" s="2" t="s">
        <v>972</v>
      </c>
      <c r="D2530" s="2" t="s">
        <v>973</v>
      </c>
      <c r="E2530" s="2" t="s">
        <v>489</v>
      </c>
      <c r="F2530" s="3">
        <v>1500</v>
      </c>
      <c r="G2530" s="4">
        <v>60</v>
      </c>
      <c r="H2530" s="5">
        <v>7.4999999999999997E-3</v>
      </c>
    </row>
    <row r="2531" spans="1:8" x14ac:dyDescent="0.35">
      <c r="A2531" s="2" t="s">
        <v>971</v>
      </c>
      <c r="B2531" s="2" t="s">
        <v>447</v>
      </c>
      <c r="C2531" s="2" t="s">
        <v>974</v>
      </c>
      <c r="D2531" s="2" t="s">
        <v>975</v>
      </c>
      <c r="E2531" s="2" t="s">
        <v>603</v>
      </c>
      <c r="F2531" s="3">
        <v>1544.45</v>
      </c>
      <c r="G2531" s="4">
        <v>60</v>
      </c>
      <c r="H2531" s="5">
        <v>7.4999999999999997E-3</v>
      </c>
    </row>
    <row r="2532" spans="1:8" x14ac:dyDescent="0.35">
      <c r="A2532" s="2" t="s">
        <v>971</v>
      </c>
      <c r="B2532" s="2" t="s">
        <v>447</v>
      </c>
      <c r="C2532" s="2" t="s">
        <v>976</v>
      </c>
      <c r="D2532" s="2" t="s">
        <v>977</v>
      </c>
      <c r="E2532" s="2" t="s">
        <v>45</v>
      </c>
      <c r="F2532" s="3">
        <v>600</v>
      </c>
      <c r="G2532" s="4">
        <v>60</v>
      </c>
      <c r="H2532" s="5">
        <v>0</v>
      </c>
    </row>
    <row r="2533" spans="1:8" x14ac:dyDescent="0.35">
      <c r="A2533" s="2" t="s">
        <v>971</v>
      </c>
      <c r="B2533" s="2" t="s">
        <v>447</v>
      </c>
      <c r="C2533" s="2" t="s">
        <v>978</v>
      </c>
      <c r="D2533" s="2" t="s">
        <v>979</v>
      </c>
      <c r="E2533" s="6" t="s">
        <v>147</v>
      </c>
      <c r="F2533" s="3">
        <v>1500</v>
      </c>
      <c r="G2533" s="4">
        <v>60</v>
      </c>
      <c r="H2533" s="5">
        <v>7.4999999999999997E-3</v>
      </c>
    </row>
    <row r="2534" spans="1:8" x14ac:dyDescent="0.35">
      <c r="A2534" s="2" t="s">
        <v>971</v>
      </c>
      <c r="B2534" s="2" t="s">
        <v>447</v>
      </c>
      <c r="C2534" s="2" t="s">
        <v>490</v>
      </c>
      <c r="D2534" s="2" t="s">
        <v>491</v>
      </c>
      <c r="E2534" s="2" t="s">
        <v>226</v>
      </c>
      <c r="F2534" s="3">
        <v>2800</v>
      </c>
      <c r="G2534" s="4">
        <v>60</v>
      </c>
      <c r="H2534" s="5">
        <v>7.4999999999999997E-3</v>
      </c>
    </row>
    <row r="2535" spans="1:8" x14ac:dyDescent="0.35">
      <c r="A2535" s="2" t="s">
        <v>971</v>
      </c>
      <c r="B2535" s="2" t="s">
        <v>447</v>
      </c>
      <c r="C2535" s="2" t="s">
        <v>980</v>
      </c>
      <c r="D2535" s="2" t="s">
        <v>981</v>
      </c>
      <c r="E2535" s="2" t="s">
        <v>443</v>
      </c>
      <c r="F2535" s="3">
        <v>29</v>
      </c>
      <c r="G2535" s="4">
        <v>1</v>
      </c>
      <c r="H2535" s="5">
        <v>0</v>
      </c>
    </row>
    <row r="2536" spans="1:8" x14ac:dyDescent="0.35">
      <c r="A2536" s="2" t="s">
        <v>971</v>
      </c>
      <c r="B2536" s="2" t="s">
        <v>447</v>
      </c>
      <c r="C2536" s="2" t="s">
        <v>837</v>
      </c>
      <c r="D2536" s="2" t="s">
        <v>838</v>
      </c>
      <c r="E2536" s="2" t="s">
        <v>452</v>
      </c>
      <c r="F2536" s="3">
        <v>50</v>
      </c>
      <c r="G2536" s="4">
        <v>1</v>
      </c>
      <c r="H2536" s="5">
        <v>0</v>
      </c>
    </row>
    <row r="2537" spans="1:8" x14ac:dyDescent="0.35">
      <c r="A2537" s="2" t="s">
        <v>971</v>
      </c>
      <c r="B2537" s="2" t="s">
        <v>447</v>
      </c>
      <c r="C2537" s="2" t="s">
        <v>982</v>
      </c>
      <c r="D2537" s="2" t="s">
        <v>983</v>
      </c>
      <c r="E2537" s="2" t="s">
        <v>102</v>
      </c>
      <c r="F2537" s="3">
        <v>70</v>
      </c>
      <c r="G2537" s="4">
        <v>1</v>
      </c>
      <c r="H2537" s="5">
        <v>0</v>
      </c>
    </row>
    <row r="2538" spans="1:8" x14ac:dyDescent="0.35">
      <c r="A2538" s="2" t="s">
        <v>971</v>
      </c>
      <c r="B2538" s="2" t="s">
        <v>786</v>
      </c>
      <c r="C2538" s="2" t="s">
        <v>972</v>
      </c>
      <c r="D2538" s="2" t="s">
        <v>973</v>
      </c>
      <c r="E2538" s="2" t="s">
        <v>489</v>
      </c>
      <c r="F2538" s="3">
        <v>4500</v>
      </c>
      <c r="G2538" s="4">
        <v>24</v>
      </c>
      <c r="H2538" s="5">
        <v>0</v>
      </c>
    </row>
    <row r="2539" spans="1:8" x14ac:dyDescent="0.35">
      <c r="A2539" s="2" t="s">
        <v>971</v>
      </c>
      <c r="B2539" s="2" t="s">
        <v>786</v>
      </c>
      <c r="C2539" s="2" t="s">
        <v>974</v>
      </c>
      <c r="D2539" s="2" t="s">
        <v>975</v>
      </c>
      <c r="E2539" s="2" t="s">
        <v>603</v>
      </c>
      <c r="F2539" s="3">
        <v>1544.45</v>
      </c>
      <c r="G2539" s="4">
        <v>24</v>
      </c>
      <c r="H2539" s="5">
        <v>0</v>
      </c>
    </row>
    <row r="2540" spans="1:8" x14ac:dyDescent="0.35">
      <c r="A2540" s="2" t="s">
        <v>971</v>
      </c>
      <c r="B2540" s="2" t="s">
        <v>786</v>
      </c>
      <c r="C2540" s="2" t="s">
        <v>976</v>
      </c>
      <c r="D2540" s="2" t="s">
        <v>977</v>
      </c>
      <c r="E2540" s="2" t="s">
        <v>45</v>
      </c>
      <c r="F2540" s="3">
        <v>750</v>
      </c>
      <c r="G2540" s="4">
        <v>12</v>
      </c>
      <c r="H2540" s="5">
        <v>0</v>
      </c>
    </row>
    <row r="2541" spans="1:8" x14ac:dyDescent="0.35">
      <c r="A2541" s="2" t="s">
        <v>971</v>
      </c>
      <c r="B2541" s="2" t="s">
        <v>786</v>
      </c>
      <c r="C2541" s="2" t="s">
        <v>978</v>
      </c>
      <c r="D2541" s="2" t="s">
        <v>979</v>
      </c>
      <c r="E2541" s="6" t="s">
        <v>147</v>
      </c>
      <c r="F2541" s="3">
        <v>2510</v>
      </c>
      <c r="G2541" s="4">
        <v>24</v>
      </c>
      <c r="H2541" s="5">
        <v>0</v>
      </c>
    </row>
    <row r="2542" spans="1:8" x14ac:dyDescent="0.35">
      <c r="A2542" s="2" t="s">
        <v>971</v>
      </c>
      <c r="B2542" s="2" t="s">
        <v>786</v>
      </c>
      <c r="C2542" s="2" t="s">
        <v>490</v>
      </c>
      <c r="D2542" s="2" t="s">
        <v>491</v>
      </c>
      <c r="E2542" s="2" t="s">
        <v>226</v>
      </c>
      <c r="F2542" s="3">
        <v>2399</v>
      </c>
      <c r="G2542" s="4">
        <v>36</v>
      </c>
      <c r="H2542" s="5">
        <v>0</v>
      </c>
    </row>
    <row r="2543" spans="1:8" x14ac:dyDescent="0.35">
      <c r="A2543" s="2" t="s">
        <v>971</v>
      </c>
      <c r="B2543" s="2" t="s">
        <v>786</v>
      </c>
      <c r="C2543" s="2" t="s">
        <v>980</v>
      </c>
      <c r="D2543" s="2" t="s">
        <v>981</v>
      </c>
      <c r="E2543" s="2" t="s">
        <v>443</v>
      </c>
      <c r="F2543" s="3">
        <v>71.98</v>
      </c>
      <c r="G2543" s="4">
        <v>1</v>
      </c>
      <c r="H2543" s="5">
        <v>0</v>
      </c>
    </row>
    <row r="2544" spans="1:8" x14ac:dyDescent="0.35">
      <c r="A2544" s="2" t="s">
        <v>971</v>
      </c>
      <c r="B2544" s="2" t="s">
        <v>786</v>
      </c>
      <c r="C2544" s="2" t="s">
        <v>837</v>
      </c>
      <c r="D2544" s="2" t="s">
        <v>838</v>
      </c>
      <c r="E2544" s="2" t="s">
        <v>452</v>
      </c>
      <c r="F2544" s="3">
        <v>95</v>
      </c>
      <c r="G2544" s="4">
        <v>12</v>
      </c>
      <c r="H2544" s="5">
        <v>0</v>
      </c>
    </row>
    <row r="2545" spans="1:8" x14ac:dyDescent="0.35">
      <c r="A2545" s="2" t="s">
        <v>971</v>
      </c>
      <c r="B2545" s="2" t="s">
        <v>786</v>
      </c>
      <c r="C2545" s="2" t="s">
        <v>982</v>
      </c>
      <c r="D2545" s="2" t="s">
        <v>983</v>
      </c>
      <c r="E2545" s="2" t="s">
        <v>102</v>
      </c>
      <c r="F2545" s="3">
        <v>69.59</v>
      </c>
      <c r="G2545" s="4">
        <v>1</v>
      </c>
      <c r="H2545" s="5">
        <v>0</v>
      </c>
    </row>
    <row r="2546" spans="1:8" x14ac:dyDescent="0.35">
      <c r="A2546" s="2" t="s">
        <v>971</v>
      </c>
      <c r="B2546" s="2" t="s">
        <v>509</v>
      </c>
      <c r="C2546" s="2" t="s">
        <v>972</v>
      </c>
      <c r="D2546" s="2" t="s">
        <v>973</v>
      </c>
      <c r="E2546" s="2" t="s">
        <v>489</v>
      </c>
      <c r="F2546" s="3">
        <v>2835</v>
      </c>
      <c r="G2546" s="4">
        <v>18</v>
      </c>
      <c r="H2546" s="5">
        <v>0</v>
      </c>
    </row>
    <row r="2547" spans="1:8" x14ac:dyDescent="0.35">
      <c r="A2547" s="2" t="s">
        <v>971</v>
      </c>
      <c r="B2547" s="2" t="s">
        <v>509</v>
      </c>
      <c r="C2547" s="2" t="s">
        <v>974</v>
      </c>
      <c r="D2547" s="2" t="s">
        <v>975</v>
      </c>
      <c r="E2547" s="2" t="s">
        <v>603</v>
      </c>
      <c r="F2547" s="3">
        <v>3450</v>
      </c>
      <c r="G2547" s="4">
        <v>12</v>
      </c>
      <c r="H2547" s="5">
        <v>0</v>
      </c>
    </row>
    <row r="2548" spans="1:8" x14ac:dyDescent="0.35">
      <c r="A2548" s="2" t="s">
        <v>971</v>
      </c>
      <c r="B2548" s="2" t="s">
        <v>509</v>
      </c>
      <c r="C2548" s="2" t="s">
        <v>976</v>
      </c>
      <c r="D2548" s="2" t="s">
        <v>977</v>
      </c>
      <c r="E2548" s="2" t="s">
        <v>45</v>
      </c>
      <c r="F2548" s="3">
        <v>1912.38</v>
      </c>
      <c r="G2548" s="4">
        <v>36</v>
      </c>
      <c r="H2548" s="5">
        <v>0.01</v>
      </c>
    </row>
    <row r="2549" spans="1:8" x14ac:dyDescent="0.35">
      <c r="A2549" s="2" t="s">
        <v>971</v>
      </c>
      <c r="B2549" s="2" t="s">
        <v>509</v>
      </c>
      <c r="C2549" s="2" t="s">
        <v>978</v>
      </c>
      <c r="D2549" s="2" t="s">
        <v>979</v>
      </c>
      <c r="E2549" s="6" t="s">
        <v>147</v>
      </c>
      <c r="F2549" s="3">
        <v>2653.45</v>
      </c>
      <c r="G2549" s="4">
        <v>18</v>
      </c>
      <c r="H2549" s="5">
        <v>0.01</v>
      </c>
    </row>
    <row r="2550" spans="1:8" x14ac:dyDescent="0.35">
      <c r="A2550" s="2" t="s">
        <v>971</v>
      </c>
      <c r="B2550" s="2" t="s">
        <v>509</v>
      </c>
      <c r="C2550" s="2" t="s">
        <v>490</v>
      </c>
      <c r="D2550" s="2" t="s">
        <v>491</v>
      </c>
      <c r="E2550" s="2" t="s">
        <v>226</v>
      </c>
      <c r="F2550" s="3">
        <v>2116.15</v>
      </c>
      <c r="G2550" s="4">
        <v>18</v>
      </c>
      <c r="H2550" s="5">
        <v>0.01</v>
      </c>
    </row>
    <row r="2551" spans="1:8" x14ac:dyDescent="0.35">
      <c r="A2551" s="2" t="s">
        <v>971</v>
      </c>
      <c r="B2551" s="2" t="s">
        <v>509</v>
      </c>
      <c r="C2551" s="2" t="s">
        <v>980</v>
      </c>
      <c r="D2551" s="2" t="s">
        <v>981</v>
      </c>
      <c r="E2551" s="2" t="s">
        <v>443</v>
      </c>
      <c r="F2551" s="3">
        <v>75.81</v>
      </c>
      <c r="G2551" s="4">
        <v>1</v>
      </c>
      <c r="H2551" s="5">
        <v>0</v>
      </c>
    </row>
    <row r="2552" spans="1:8" x14ac:dyDescent="0.35">
      <c r="A2552" s="2" t="s">
        <v>971</v>
      </c>
      <c r="B2552" s="2" t="s">
        <v>509</v>
      </c>
      <c r="C2552" s="2" t="s">
        <v>837</v>
      </c>
      <c r="D2552" s="2" t="s">
        <v>838</v>
      </c>
      <c r="E2552" s="2" t="s">
        <v>452</v>
      </c>
      <c r="F2552" s="3">
        <v>54.99</v>
      </c>
      <c r="G2552" s="4">
        <v>1</v>
      </c>
      <c r="H2552" s="5">
        <v>0</v>
      </c>
    </row>
    <row r="2553" spans="1:8" x14ac:dyDescent="0.35">
      <c r="A2553" s="2" t="s">
        <v>971</v>
      </c>
      <c r="B2553" s="2" t="s">
        <v>509</v>
      </c>
      <c r="C2553" s="2" t="s">
        <v>982</v>
      </c>
      <c r="D2553" s="2" t="s">
        <v>983</v>
      </c>
      <c r="E2553" s="2" t="s">
        <v>102</v>
      </c>
      <c r="F2553" s="3">
        <v>2100</v>
      </c>
      <c r="G2553" s="4">
        <v>24</v>
      </c>
      <c r="H2553" s="5">
        <v>0.01</v>
      </c>
    </row>
    <row r="2554" spans="1:8" x14ac:dyDescent="0.35">
      <c r="A2554" s="2" t="s">
        <v>984</v>
      </c>
      <c r="B2554" s="2" t="s">
        <v>339</v>
      </c>
      <c r="C2554" s="2" t="s">
        <v>985</v>
      </c>
      <c r="D2554" s="2" t="s">
        <v>986</v>
      </c>
      <c r="E2554" s="2" t="s">
        <v>443</v>
      </c>
      <c r="F2554" s="3">
        <v>0.01</v>
      </c>
      <c r="G2554" s="4">
        <v>0</v>
      </c>
      <c r="H2554" s="5">
        <v>0</v>
      </c>
    </row>
    <row r="2555" spans="1:8" x14ac:dyDescent="0.35">
      <c r="A2555" s="2" t="s">
        <v>984</v>
      </c>
      <c r="B2555" s="2" t="s">
        <v>339</v>
      </c>
      <c r="C2555" s="2" t="s">
        <v>987</v>
      </c>
      <c r="D2555" s="2" t="s">
        <v>988</v>
      </c>
      <c r="E2555" s="2" t="s">
        <v>24</v>
      </c>
      <c r="F2555" s="3">
        <v>61.65</v>
      </c>
      <c r="G2555" s="4">
        <v>60</v>
      </c>
      <c r="H2555" s="5">
        <v>1.67E-2</v>
      </c>
    </row>
    <row r="2556" spans="1:8" x14ac:dyDescent="0.35">
      <c r="A2556" s="2" t="s">
        <v>984</v>
      </c>
      <c r="B2556" s="2" t="s">
        <v>339</v>
      </c>
      <c r="C2556" s="2" t="s">
        <v>989</v>
      </c>
      <c r="D2556" s="2" t="s">
        <v>990</v>
      </c>
      <c r="E2556" s="2" t="s">
        <v>46</v>
      </c>
      <c r="F2556" s="3">
        <v>1796.58</v>
      </c>
      <c r="G2556" s="4">
        <v>60</v>
      </c>
      <c r="H2556" s="5">
        <v>1.67E-2</v>
      </c>
    </row>
    <row r="2557" spans="1:8" x14ac:dyDescent="0.35">
      <c r="A2557" s="2" t="s">
        <v>984</v>
      </c>
      <c r="B2557" s="2" t="s">
        <v>339</v>
      </c>
      <c r="C2557" s="2" t="s">
        <v>991</v>
      </c>
      <c r="D2557" s="2" t="s">
        <v>992</v>
      </c>
      <c r="E2557" s="2" t="s">
        <v>48</v>
      </c>
      <c r="F2557" s="3">
        <v>220</v>
      </c>
      <c r="G2557" s="4">
        <v>60</v>
      </c>
      <c r="H2557" s="5">
        <v>1.67E-2</v>
      </c>
    </row>
    <row r="2558" spans="1:8" x14ac:dyDescent="0.35">
      <c r="A2558" s="2" t="s">
        <v>984</v>
      </c>
      <c r="B2558" s="2" t="s">
        <v>339</v>
      </c>
      <c r="C2558" s="2" t="s">
        <v>796</v>
      </c>
      <c r="D2558" s="2" t="s">
        <v>797</v>
      </c>
      <c r="E2558" s="2" t="s">
        <v>71</v>
      </c>
      <c r="F2558" s="3">
        <v>459</v>
      </c>
      <c r="G2558" s="4">
        <v>60</v>
      </c>
      <c r="H2558" s="5">
        <v>1.67E-2</v>
      </c>
    </row>
    <row r="2559" spans="1:8" x14ac:dyDescent="0.35">
      <c r="A2559" s="2" t="s">
        <v>984</v>
      </c>
      <c r="B2559" s="2" t="s">
        <v>339</v>
      </c>
      <c r="C2559" s="2" t="s">
        <v>982</v>
      </c>
      <c r="D2559" s="2" t="s">
        <v>983</v>
      </c>
      <c r="E2559" s="2" t="s">
        <v>102</v>
      </c>
      <c r="F2559" s="3">
        <v>80.17</v>
      </c>
      <c r="G2559" s="4">
        <v>1</v>
      </c>
      <c r="H2559" s="5">
        <v>0</v>
      </c>
    </row>
    <row r="2560" spans="1:8" x14ac:dyDescent="0.35">
      <c r="A2560" s="2" t="s">
        <v>984</v>
      </c>
      <c r="B2560" s="2" t="s">
        <v>339</v>
      </c>
      <c r="C2560" s="2" t="s">
        <v>802</v>
      </c>
      <c r="D2560" s="2" t="s">
        <v>803</v>
      </c>
      <c r="E2560" s="2" t="s">
        <v>147</v>
      </c>
      <c r="F2560" s="3">
        <v>1774.81</v>
      </c>
      <c r="G2560" s="4">
        <v>60</v>
      </c>
      <c r="H2560" s="5">
        <v>1.67E-2</v>
      </c>
    </row>
    <row r="2561" spans="1:8" x14ac:dyDescent="0.35">
      <c r="A2561" s="2" t="s">
        <v>984</v>
      </c>
      <c r="B2561" s="2" t="s">
        <v>339</v>
      </c>
      <c r="C2561" s="2" t="s">
        <v>993</v>
      </c>
      <c r="D2561" s="2" t="s">
        <v>994</v>
      </c>
      <c r="E2561" s="2" t="s">
        <v>158</v>
      </c>
      <c r="F2561" s="3">
        <v>2456.7199999999998</v>
      </c>
      <c r="G2561" s="4">
        <v>60</v>
      </c>
      <c r="H2561" s="5">
        <v>1.67E-2</v>
      </c>
    </row>
    <row r="2562" spans="1:8" x14ac:dyDescent="0.35">
      <c r="A2562" s="2" t="s">
        <v>984</v>
      </c>
      <c r="B2562" s="2" t="s">
        <v>339</v>
      </c>
      <c r="C2562" s="2" t="s">
        <v>804</v>
      </c>
      <c r="D2562" s="2" t="s">
        <v>805</v>
      </c>
      <c r="E2562" s="2" t="s">
        <v>180</v>
      </c>
      <c r="F2562" s="3">
        <v>212.5</v>
      </c>
      <c r="G2562" s="4">
        <v>60</v>
      </c>
      <c r="H2562" s="5">
        <v>1.67E-2</v>
      </c>
    </row>
    <row r="2563" spans="1:8" x14ac:dyDescent="0.35">
      <c r="A2563" s="2" t="s">
        <v>984</v>
      </c>
      <c r="B2563" s="2" t="s">
        <v>339</v>
      </c>
      <c r="C2563" s="2" t="s">
        <v>995</v>
      </c>
      <c r="D2563" s="2" t="s">
        <v>996</v>
      </c>
      <c r="E2563" s="2" t="s">
        <v>204</v>
      </c>
      <c r="F2563" s="3">
        <v>235.2</v>
      </c>
      <c r="G2563" s="4">
        <v>60</v>
      </c>
      <c r="H2563" s="5">
        <v>1.67E-2</v>
      </c>
    </row>
    <row r="2564" spans="1:8" x14ac:dyDescent="0.35">
      <c r="A2564" s="2" t="s">
        <v>984</v>
      </c>
      <c r="B2564" s="2" t="s">
        <v>339</v>
      </c>
      <c r="C2564" s="2" t="s">
        <v>997</v>
      </c>
      <c r="D2564" s="2" t="s">
        <v>998</v>
      </c>
      <c r="E2564" s="2" t="s">
        <v>59</v>
      </c>
      <c r="F2564" s="3">
        <v>172.74</v>
      </c>
      <c r="G2564" s="4">
        <v>60</v>
      </c>
      <c r="H2564" s="5">
        <v>1.67E-2</v>
      </c>
    </row>
    <row r="2565" spans="1:8" x14ac:dyDescent="0.35">
      <c r="A2565" s="2" t="s">
        <v>984</v>
      </c>
      <c r="B2565" s="2" t="s">
        <v>339</v>
      </c>
      <c r="C2565" s="2" t="s">
        <v>999</v>
      </c>
      <c r="D2565" s="2" t="s">
        <v>1000</v>
      </c>
      <c r="E2565" s="2" t="s">
        <v>237</v>
      </c>
      <c r="F2565" s="3">
        <v>1963.78</v>
      </c>
      <c r="G2565" s="4">
        <v>30</v>
      </c>
      <c r="H2565" s="5">
        <v>2.7799999999999998E-2</v>
      </c>
    </row>
    <row r="2566" spans="1:8" x14ac:dyDescent="0.35">
      <c r="A2566" s="2" t="s">
        <v>984</v>
      </c>
      <c r="B2566" s="2" t="s">
        <v>339</v>
      </c>
      <c r="C2566" s="2" t="s">
        <v>810</v>
      </c>
      <c r="D2566" s="2" t="s">
        <v>811</v>
      </c>
      <c r="E2566" s="2" t="s">
        <v>248</v>
      </c>
      <c r="F2566" s="3">
        <v>68.5</v>
      </c>
      <c r="G2566" s="4">
        <v>60</v>
      </c>
      <c r="H2566" s="5">
        <v>1.67E-2</v>
      </c>
    </row>
    <row r="2567" spans="1:8" x14ac:dyDescent="0.35">
      <c r="A2567" s="2" t="s">
        <v>984</v>
      </c>
      <c r="B2567" s="2" t="s">
        <v>339</v>
      </c>
      <c r="C2567" s="2" t="s">
        <v>1001</v>
      </c>
      <c r="D2567" s="2" t="s">
        <v>1002</v>
      </c>
      <c r="E2567" s="2" t="s">
        <v>226</v>
      </c>
      <c r="F2567" s="3">
        <v>2900</v>
      </c>
      <c r="G2567" s="4">
        <v>60</v>
      </c>
      <c r="H2567" s="5">
        <v>1.67E-2</v>
      </c>
    </row>
    <row r="2568" spans="1:8" x14ac:dyDescent="0.35">
      <c r="A2568" s="2" t="s">
        <v>984</v>
      </c>
      <c r="B2568" s="2" t="s">
        <v>339</v>
      </c>
      <c r="C2568" s="2" t="s">
        <v>1003</v>
      </c>
      <c r="D2568" s="2" t="s">
        <v>1004</v>
      </c>
      <c r="E2568" s="2" t="s">
        <v>260</v>
      </c>
      <c r="F2568" s="3">
        <v>758.22</v>
      </c>
      <c r="G2568" s="4">
        <v>1</v>
      </c>
      <c r="H2568" s="5">
        <v>0</v>
      </c>
    </row>
    <row r="2569" spans="1:8" x14ac:dyDescent="0.35">
      <c r="A2569" s="2" t="s">
        <v>984</v>
      </c>
      <c r="B2569" s="2" t="s">
        <v>339</v>
      </c>
      <c r="C2569" s="2" t="s">
        <v>1005</v>
      </c>
      <c r="D2569" s="2" t="s">
        <v>1006</v>
      </c>
      <c r="E2569" s="2" t="s">
        <v>260</v>
      </c>
      <c r="F2569" s="3">
        <v>835</v>
      </c>
      <c r="G2569" s="4">
        <v>1</v>
      </c>
      <c r="H2569" s="5">
        <v>0</v>
      </c>
    </row>
    <row r="2570" spans="1:8" x14ac:dyDescent="0.35">
      <c r="A2570" s="2" t="s">
        <v>984</v>
      </c>
      <c r="B2570" s="2" t="s">
        <v>339</v>
      </c>
      <c r="C2570" s="2" t="s">
        <v>1007</v>
      </c>
      <c r="D2570" s="2" t="s">
        <v>1008</v>
      </c>
      <c r="E2570" s="2" t="s">
        <v>1009</v>
      </c>
      <c r="F2570" s="3">
        <v>148.34</v>
      </c>
      <c r="G2570" s="4">
        <v>60</v>
      </c>
      <c r="H2570" s="5">
        <v>1.67E-2</v>
      </c>
    </row>
    <row r="2571" spans="1:8" x14ac:dyDescent="0.35">
      <c r="A2571" s="2" t="s">
        <v>984</v>
      </c>
      <c r="B2571" s="2" t="s">
        <v>339</v>
      </c>
      <c r="C2571" s="2" t="s">
        <v>798</v>
      </c>
      <c r="D2571" s="2" t="s">
        <v>799</v>
      </c>
      <c r="E2571" s="2" t="s">
        <v>92</v>
      </c>
      <c r="F2571" s="3">
        <v>1018</v>
      </c>
      <c r="G2571" s="4">
        <v>30</v>
      </c>
      <c r="H2571" s="5">
        <v>2.7799999999999998E-2</v>
      </c>
    </row>
    <row r="2572" spans="1:8" x14ac:dyDescent="0.35">
      <c r="A2572" s="2" t="s">
        <v>984</v>
      </c>
      <c r="B2572" s="2" t="s">
        <v>339</v>
      </c>
      <c r="C2572" s="2" t="s">
        <v>1010</v>
      </c>
      <c r="D2572" s="2" t="s">
        <v>835</v>
      </c>
      <c r="E2572" s="2" t="s">
        <v>836</v>
      </c>
      <c r="F2572" s="3">
        <v>32.799999999999997</v>
      </c>
      <c r="G2572" s="4">
        <v>60</v>
      </c>
      <c r="H2572" s="5">
        <v>1.67E-2</v>
      </c>
    </row>
    <row r="2573" spans="1:8" x14ac:dyDescent="0.35">
      <c r="A2573" s="2" t="s">
        <v>984</v>
      </c>
      <c r="B2573" s="2" t="s">
        <v>339</v>
      </c>
      <c r="C2573" s="2" t="s">
        <v>1011</v>
      </c>
      <c r="D2573" s="2" t="s">
        <v>824</v>
      </c>
      <c r="E2573" s="2" t="s">
        <v>315</v>
      </c>
      <c r="F2573" s="3">
        <v>54.2</v>
      </c>
      <c r="G2573" s="4">
        <v>60</v>
      </c>
      <c r="H2573" s="5">
        <v>1.67E-2</v>
      </c>
    </row>
    <row r="2574" spans="1:8" x14ac:dyDescent="0.35">
      <c r="A2574" s="2" t="s">
        <v>984</v>
      </c>
      <c r="B2574" s="2" t="s">
        <v>339</v>
      </c>
      <c r="C2574" s="2" t="s">
        <v>1012</v>
      </c>
      <c r="D2574" s="2" t="s">
        <v>1013</v>
      </c>
      <c r="E2574" s="2" t="s">
        <v>303</v>
      </c>
      <c r="F2574" s="3">
        <v>19.5</v>
      </c>
      <c r="G2574" s="4">
        <v>60</v>
      </c>
      <c r="H2574" s="5">
        <v>1.67E-2</v>
      </c>
    </row>
    <row r="2575" spans="1:8" x14ac:dyDescent="0.35">
      <c r="A2575" s="2" t="s">
        <v>984</v>
      </c>
      <c r="B2575" s="2" t="s">
        <v>339</v>
      </c>
      <c r="C2575" s="2" t="s">
        <v>800</v>
      </c>
      <c r="D2575" s="2" t="s">
        <v>801</v>
      </c>
      <c r="E2575" s="2" t="s">
        <v>104</v>
      </c>
      <c r="F2575" s="3">
        <v>19.899999999999999</v>
      </c>
      <c r="G2575" s="4">
        <v>60</v>
      </c>
      <c r="H2575" s="5">
        <v>1.67E-2</v>
      </c>
    </row>
    <row r="2576" spans="1:8" x14ac:dyDescent="0.35">
      <c r="A2576" s="2" t="s">
        <v>984</v>
      </c>
      <c r="B2576" s="2" t="s">
        <v>339</v>
      </c>
      <c r="C2576" s="2" t="s">
        <v>1014</v>
      </c>
      <c r="D2576" s="2" t="s">
        <v>1015</v>
      </c>
      <c r="E2576" s="2" t="s">
        <v>300</v>
      </c>
      <c r="F2576" s="3">
        <v>21.5</v>
      </c>
      <c r="G2576" s="4">
        <v>60</v>
      </c>
      <c r="H2576" s="5">
        <v>1.67E-2</v>
      </c>
    </row>
    <row r="2577" spans="1:8" x14ac:dyDescent="0.35">
      <c r="A2577" s="2" t="s">
        <v>984</v>
      </c>
      <c r="B2577" s="2" t="s">
        <v>339</v>
      </c>
      <c r="C2577" s="2" t="s">
        <v>829</v>
      </c>
      <c r="D2577" s="2" t="s">
        <v>632</v>
      </c>
      <c r="E2577" s="2" t="s">
        <v>322</v>
      </c>
      <c r="F2577" s="3">
        <v>20.45</v>
      </c>
      <c r="G2577" s="4">
        <v>60</v>
      </c>
      <c r="H2577" s="5">
        <v>1.67E-2</v>
      </c>
    </row>
    <row r="2578" spans="1:8" x14ac:dyDescent="0.35">
      <c r="A2578" s="2" t="s">
        <v>984</v>
      </c>
      <c r="B2578" s="2" t="s">
        <v>339</v>
      </c>
      <c r="C2578" s="2" t="s">
        <v>1016</v>
      </c>
      <c r="D2578" s="2" t="s">
        <v>807</v>
      </c>
      <c r="E2578" s="2" t="s">
        <v>115</v>
      </c>
      <c r="F2578" s="3">
        <v>29</v>
      </c>
      <c r="G2578" s="4">
        <v>60</v>
      </c>
      <c r="H2578" s="5">
        <v>1.67E-2</v>
      </c>
    </row>
    <row r="2579" spans="1:8" x14ac:dyDescent="0.35">
      <c r="A2579" s="2" t="s">
        <v>984</v>
      </c>
      <c r="B2579" s="2" t="s">
        <v>339</v>
      </c>
      <c r="C2579" s="2" t="s">
        <v>837</v>
      </c>
      <c r="D2579" s="2" t="s">
        <v>838</v>
      </c>
      <c r="E2579" s="2" t="s">
        <v>452</v>
      </c>
      <c r="F2579" s="3">
        <v>90</v>
      </c>
      <c r="G2579" s="4">
        <v>1</v>
      </c>
      <c r="H2579" s="5">
        <v>0</v>
      </c>
    </row>
    <row r="2580" spans="1:8" x14ac:dyDescent="0.35">
      <c r="A2580" s="2" t="s">
        <v>984</v>
      </c>
      <c r="B2580" s="2" t="s">
        <v>339</v>
      </c>
      <c r="C2580" s="2" t="s">
        <v>1017</v>
      </c>
      <c r="D2580" s="2" t="s">
        <v>1018</v>
      </c>
      <c r="E2580" s="2" t="s">
        <v>215</v>
      </c>
      <c r="F2580" s="3">
        <v>0.01</v>
      </c>
      <c r="G2580" s="4">
        <v>0</v>
      </c>
      <c r="H2580" s="5">
        <v>0</v>
      </c>
    </row>
    <row r="2581" spans="1:8" x14ac:dyDescent="0.35">
      <c r="A2581" s="2" t="s">
        <v>984</v>
      </c>
      <c r="B2581" s="2" t="s">
        <v>339</v>
      </c>
      <c r="C2581" s="2" t="s">
        <v>1019</v>
      </c>
      <c r="D2581" s="2" t="s">
        <v>1020</v>
      </c>
      <c r="E2581" s="2" t="s">
        <v>603</v>
      </c>
      <c r="F2581" s="3">
        <v>2772.33</v>
      </c>
      <c r="G2581" s="4">
        <v>60</v>
      </c>
      <c r="H2581" s="5">
        <v>1.67E-2</v>
      </c>
    </row>
    <row r="2582" spans="1:8" x14ac:dyDescent="0.35">
      <c r="A2582" s="2" t="s">
        <v>984</v>
      </c>
      <c r="B2582" s="2" t="s">
        <v>339</v>
      </c>
      <c r="C2582" s="2" t="s">
        <v>1021</v>
      </c>
      <c r="D2582" s="2" t="s">
        <v>1022</v>
      </c>
      <c r="E2582" s="2" t="s">
        <v>1023</v>
      </c>
      <c r="F2582" s="3">
        <v>0.01</v>
      </c>
      <c r="G2582" s="4">
        <v>0</v>
      </c>
      <c r="H2582" s="5">
        <v>0</v>
      </c>
    </row>
    <row r="2583" spans="1:8" x14ac:dyDescent="0.35">
      <c r="A2583" s="2" t="s">
        <v>984</v>
      </c>
      <c r="B2583" s="2" t="s">
        <v>339</v>
      </c>
      <c r="C2583" s="2" t="s">
        <v>1024</v>
      </c>
      <c r="D2583" s="2" t="s">
        <v>1025</v>
      </c>
      <c r="E2583" s="2" t="s">
        <v>1026</v>
      </c>
      <c r="F2583" s="3">
        <v>42.04</v>
      </c>
      <c r="G2583" s="4">
        <v>60</v>
      </c>
      <c r="H2583" s="5">
        <v>1.67E-2</v>
      </c>
    </row>
    <row r="2584" spans="1:8" x14ac:dyDescent="0.35">
      <c r="A2584" s="2" t="s">
        <v>984</v>
      </c>
      <c r="B2584" s="2" t="s">
        <v>339</v>
      </c>
      <c r="C2584" s="2" t="s">
        <v>1027</v>
      </c>
      <c r="D2584" s="2" t="s">
        <v>1028</v>
      </c>
      <c r="E2584" s="2" t="s">
        <v>820</v>
      </c>
      <c r="F2584" s="3">
        <v>88.3</v>
      </c>
      <c r="G2584" s="4">
        <v>60</v>
      </c>
      <c r="H2584" s="5">
        <v>1.67E-2</v>
      </c>
    </row>
    <row r="2585" spans="1:8" x14ac:dyDescent="0.35">
      <c r="A2585" s="2" t="s">
        <v>984</v>
      </c>
      <c r="B2585" s="2" t="s">
        <v>339</v>
      </c>
      <c r="C2585" s="2" t="s">
        <v>1029</v>
      </c>
      <c r="D2585" s="2" t="s">
        <v>1030</v>
      </c>
      <c r="E2585" s="2" t="s">
        <v>1031</v>
      </c>
      <c r="F2585" s="3">
        <v>0.01</v>
      </c>
      <c r="G2585" s="4">
        <v>0</v>
      </c>
      <c r="H2585" s="5">
        <v>0</v>
      </c>
    </row>
    <row r="2586" spans="1:8" x14ac:dyDescent="0.35">
      <c r="A2586" s="2" t="s">
        <v>984</v>
      </c>
      <c r="B2586" s="2" t="s">
        <v>339</v>
      </c>
      <c r="C2586" s="2" t="s">
        <v>1032</v>
      </c>
      <c r="D2586" s="2" t="s">
        <v>1033</v>
      </c>
      <c r="E2586" s="2" t="s">
        <v>1034</v>
      </c>
      <c r="F2586" s="3">
        <v>0.01</v>
      </c>
      <c r="G2586" s="4">
        <v>0</v>
      </c>
      <c r="H2586" s="5">
        <v>0</v>
      </c>
    </row>
    <row r="2587" spans="1:8" x14ac:dyDescent="0.35">
      <c r="A2587" s="2" t="s">
        <v>984</v>
      </c>
      <c r="B2587" s="2" t="s">
        <v>339</v>
      </c>
      <c r="C2587" s="2" t="s">
        <v>1035</v>
      </c>
      <c r="D2587" s="2" t="s">
        <v>1036</v>
      </c>
      <c r="E2587" s="2" t="s">
        <v>964</v>
      </c>
      <c r="F2587" s="3">
        <v>48.85</v>
      </c>
      <c r="G2587" s="4">
        <v>60</v>
      </c>
      <c r="H2587" s="5">
        <v>1.67E-2</v>
      </c>
    </row>
    <row r="2588" spans="1:8" x14ac:dyDescent="0.35">
      <c r="A2588" s="2" t="s">
        <v>984</v>
      </c>
      <c r="B2588" s="2" t="s">
        <v>339</v>
      </c>
      <c r="C2588" s="2" t="s">
        <v>1037</v>
      </c>
      <c r="D2588" s="2" t="s">
        <v>1038</v>
      </c>
      <c r="E2588" s="2" t="s">
        <v>1026</v>
      </c>
      <c r="F2588" s="3">
        <v>0.01</v>
      </c>
      <c r="G2588" s="4">
        <v>0</v>
      </c>
      <c r="H2588" s="5">
        <v>0</v>
      </c>
    </row>
    <row r="2589" spans="1:8" ht="14.5" customHeight="1" x14ac:dyDescent="0.35">
      <c r="A2589" s="2" t="s">
        <v>984</v>
      </c>
      <c r="B2589" s="2" t="s">
        <v>339</v>
      </c>
      <c r="C2589" s="2" t="s">
        <v>1039</v>
      </c>
      <c r="D2589" s="2" t="s">
        <v>1040</v>
      </c>
      <c r="E2589" s="2" t="s">
        <v>1041</v>
      </c>
      <c r="F2589" s="3">
        <v>67.66</v>
      </c>
      <c r="G2589" s="4">
        <v>60</v>
      </c>
      <c r="H2589" s="5">
        <v>1.67E-2</v>
      </c>
    </row>
    <row r="2590" spans="1:8" x14ac:dyDescent="0.35">
      <c r="A2590" s="2" t="s">
        <v>984</v>
      </c>
      <c r="B2590" s="2" t="s">
        <v>749</v>
      </c>
      <c r="C2590" s="2" t="s">
        <v>985</v>
      </c>
      <c r="D2590" s="2" t="s">
        <v>986</v>
      </c>
      <c r="E2590" s="2" t="s">
        <v>443</v>
      </c>
      <c r="F2590" s="3">
        <v>89.9</v>
      </c>
      <c r="G2590" s="4">
        <v>1</v>
      </c>
      <c r="H2590" s="5">
        <v>0</v>
      </c>
    </row>
    <row r="2591" spans="1:8" x14ac:dyDescent="0.35">
      <c r="A2591" s="2" t="s">
        <v>984</v>
      </c>
      <c r="B2591" s="2" t="s">
        <v>749</v>
      </c>
      <c r="C2591" s="2" t="s">
        <v>987</v>
      </c>
      <c r="D2591" s="2" t="s">
        <v>988</v>
      </c>
      <c r="E2591" s="2" t="s">
        <v>24</v>
      </c>
      <c r="F2591" s="3">
        <v>831.52</v>
      </c>
      <c r="G2591" s="4">
        <v>12</v>
      </c>
      <c r="H2591" s="5">
        <v>0</v>
      </c>
    </row>
    <row r="2592" spans="1:8" x14ac:dyDescent="0.35">
      <c r="A2592" s="2" t="s">
        <v>984</v>
      </c>
      <c r="B2592" s="2" t="s">
        <v>749</v>
      </c>
      <c r="C2592" s="2" t="s">
        <v>989</v>
      </c>
      <c r="D2592" s="2" t="s">
        <v>990</v>
      </c>
      <c r="E2592" s="2" t="s">
        <v>46</v>
      </c>
      <c r="F2592" s="3">
        <v>4490.2</v>
      </c>
      <c r="G2592" s="4">
        <v>12</v>
      </c>
      <c r="H2592" s="5">
        <v>2.5000000000000001E-2</v>
      </c>
    </row>
    <row r="2593" spans="1:8" x14ac:dyDescent="0.35">
      <c r="A2593" s="2" t="s">
        <v>984</v>
      </c>
      <c r="B2593" s="2" t="s">
        <v>749</v>
      </c>
      <c r="C2593" s="2" t="s">
        <v>991</v>
      </c>
      <c r="D2593" s="2" t="s">
        <v>992</v>
      </c>
      <c r="E2593" s="2" t="s">
        <v>48</v>
      </c>
      <c r="F2593" s="3">
        <v>1164.1199999999999</v>
      </c>
      <c r="G2593" s="4">
        <v>12</v>
      </c>
      <c r="H2593" s="5">
        <v>0</v>
      </c>
    </row>
    <row r="2594" spans="1:8" x14ac:dyDescent="0.35">
      <c r="A2594" s="2" t="s">
        <v>984</v>
      </c>
      <c r="B2594" s="2" t="s">
        <v>749</v>
      </c>
      <c r="C2594" s="2" t="s">
        <v>796</v>
      </c>
      <c r="D2594" s="2" t="s">
        <v>797</v>
      </c>
      <c r="E2594" s="2" t="s">
        <v>71</v>
      </c>
      <c r="F2594" s="3">
        <v>755.93</v>
      </c>
      <c r="G2594" s="4">
        <v>12</v>
      </c>
      <c r="H2594" s="5">
        <v>0</v>
      </c>
    </row>
    <row r="2595" spans="1:8" x14ac:dyDescent="0.35">
      <c r="A2595" s="2" t="s">
        <v>984</v>
      </c>
      <c r="B2595" s="2" t="s">
        <v>749</v>
      </c>
      <c r="C2595" s="2" t="s">
        <v>982</v>
      </c>
      <c r="D2595" s="2" t="s">
        <v>983</v>
      </c>
      <c r="E2595" s="2" t="s">
        <v>102</v>
      </c>
      <c r="F2595" s="3">
        <v>75.599999999999994</v>
      </c>
      <c r="G2595" s="4">
        <v>12</v>
      </c>
      <c r="H2595" s="5">
        <v>0</v>
      </c>
    </row>
    <row r="2596" spans="1:8" x14ac:dyDescent="0.35">
      <c r="A2596" s="2" t="s">
        <v>984</v>
      </c>
      <c r="B2596" s="2" t="s">
        <v>749</v>
      </c>
      <c r="C2596" s="2" t="s">
        <v>802</v>
      </c>
      <c r="D2596" s="2" t="s">
        <v>803</v>
      </c>
      <c r="E2596" s="2" t="s">
        <v>147</v>
      </c>
      <c r="F2596" s="3">
        <v>6198.58</v>
      </c>
      <c r="G2596" s="4">
        <v>12</v>
      </c>
      <c r="H2596" s="5">
        <v>2.5000000000000001E-2</v>
      </c>
    </row>
    <row r="2597" spans="1:8" x14ac:dyDescent="0.35">
      <c r="A2597" s="2" t="s">
        <v>984</v>
      </c>
      <c r="B2597" s="2" t="s">
        <v>749</v>
      </c>
      <c r="C2597" s="2" t="s">
        <v>993</v>
      </c>
      <c r="D2597" s="2" t="s">
        <v>994</v>
      </c>
      <c r="E2597" s="2" t="s">
        <v>158</v>
      </c>
      <c r="F2597" s="3">
        <v>6198.58</v>
      </c>
      <c r="G2597" s="4">
        <v>12</v>
      </c>
      <c r="H2597" s="5">
        <v>2.5000000000000001E-2</v>
      </c>
    </row>
    <row r="2598" spans="1:8" x14ac:dyDescent="0.35">
      <c r="A2598" s="2" t="s">
        <v>984</v>
      </c>
      <c r="B2598" s="2" t="s">
        <v>749</v>
      </c>
      <c r="C2598" s="2" t="s">
        <v>804</v>
      </c>
      <c r="D2598" s="2" t="s">
        <v>805</v>
      </c>
      <c r="E2598" s="2" t="s">
        <v>180</v>
      </c>
      <c r="F2598" s="3">
        <v>453.55</v>
      </c>
      <c r="G2598" s="4">
        <v>12</v>
      </c>
      <c r="H2598" s="5">
        <v>0</v>
      </c>
    </row>
    <row r="2599" spans="1:8" x14ac:dyDescent="0.35">
      <c r="A2599" s="2" t="s">
        <v>984</v>
      </c>
      <c r="B2599" s="2" t="s">
        <v>749</v>
      </c>
      <c r="C2599" s="2" t="s">
        <v>995</v>
      </c>
      <c r="D2599" s="2" t="s">
        <v>996</v>
      </c>
      <c r="E2599" s="2" t="s">
        <v>204</v>
      </c>
      <c r="F2599" s="3">
        <v>816.4</v>
      </c>
      <c r="G2599" s="4">
        <v>12</v>
      </c>
      <c r="H2599" s="5">
        <v>0</v>
      </c>
    </row>
    <row r="2600" spans="1:8" x14ac:dyDescent="0.35">
      <c r="A2600" s="2" t="s">
        <v>984</v>
      </c>
      <c r="B2600" s="2" t="s">
        <v>749</v>
      </c>
      <c r="C2600" s="2" t="s">
        <v>997</v>
      </c>
      <c r="D2600" s="2" t="s">
        <v>998</v>
      </c>
      <c r="E2600" s="2" t="s">
        <v>59</v>
      </c>
      <c r="F2600" s="3">
        <v>423.32</v>
      </c>
      <c r="G2600" s="4">
        <v>12</v>
      </c>
      <c r="H2600" s="5">
        <v>0</v>
      </c>
    </row>
    <row r="2601" spans="1:8" x14ac:dyDescent="0.35">
      <c r="A2601" s="2" t="s">
        <v>984</v>
      </c>
      <c r="B2601" s="2" t="s">
        <v>749</v>
      </c>
      <c r="C2601" s="2" t="s">
        <v>999</v>
      </c>
      <c r="D2601" s="2" t="s">
        <v>1000</v>
      </c>
      <c r="E2601" s="2" t="s">
        <v>237</v>
      </c>
      <c r="F2601" s="3">
        <v>6047.4</v>
      </c>
      <c r="G2601" s="4">
        <v>12</v>
      </c>
      <c r="H2601" s="5">
        <v>0</v>
      </c>
    </row>
    <row r="2602" spans="1:8" x14ac:dyDescent="0.35">
      <c r="A2602" s="2" t="s">
        <v>984</v>
      </c>
      <c r="B2602" s="2" t="s">
        <v>749</v>
      </c>
      <c r="C2602" s="2" t="s">
        <v>810</v>
      </c>
      <c r="D2602" s="2" t="s">
        <v>811</v>
      </c>
      <c r="E2602" s="2" t="s">
        <v>248</v>
      </c>
      <c r="F2602" s="3">
        <v>1814.22</v>
      </c>
      <c r="G2602" s="4">
        <v>12</v>
      </c>
      <c r="H2602" s="5">
        <v>0</v>
      </c>
    </row>
    <row r="2603" spans="1:8" x14ac:dyDescent="0.35">
      <c r="A2603" s="2" t="s">
        <v>984</v>
      </c>
      <c r="B2603" s="2" t="s">
        <v>749</v>
      </c>
      <c r="C2603" s="2" t="s">
        <v>1001</v>
      </c>
      <c r="D2603" s="2" t="s">
        <v>1002</v>
      </c>
      <c r="E2603" s="2" t="s">
        <v>226</v>
      </c>
      <c r="F2603" s="3">
        <v>5000</v>
      </c>
      <c r="G2603" s="4">
        <v>12</v>
      </c>
      <c r="H2603" s="5">
        <v>2.5000000000000001E-2</v>
      </c>
    </row>
    <row r="2604" spans="1:8" x14ac:dyDescent="0.35">
      <c r="A2604" s="2" t="s">
        <v>984</v>
      </c>
      <c r="B2604" s="2" t="s">
        <v>749</v>
      </c>
      <c r="C2604" s="2" t="s">
        <v>1003</v>
      </c>
      <c r="D2604" s="2" t="s">
        <v>1004</v>
      </c>
      <c r="E2604" s="2" t="s">
        <v>260</v>
      </c>
      <c r="F2604" s="3">
        <v>25000</v>
      </c>
      <c r="G2604" s="4">
        <v>12</v>
      </c>
      <c r="H2604" s="5">
        <v>2.5000000000000001E-2</v>
      </c>
    </row>
    <row r="2605" spans="1:8" x14ac:dyDescent="0.35">
      <c r="A2605" s="2" t="s">
        <v>984</v>
      </c>
      <c r="B2605" s="2" t="s">
        <v>749</v>
      </c>
      <c r="C2605" s="2" t="s">
        <v>1005</v>
      </c>
      <c r="D2605" s="2" t="s">
        <v>1006</v>
      </c>
      <c r="E2605" s="2" t="s">
        <v>260</v>
      </c>
      <c r="F2605" s="3">
        <v>18000</v>
      </c>
      <c r="G2605" s="4">
        <v>12</v>
      </c>
      <c r="H2605" s="5">
        <v>2.5000000000000001E-2</v>
      </c>
    </row>
    <row r="2606" spans="1:8" x14ac:dyDescent="0.35">
      <c r="A2606" s="2" t="s">
        <v>984</v>
      </c>
      <c r="B2606" s="2" t="s">
        <v>749</v>
      </c>
      <c r="C2606" s="2" t="s">
        <v>1007</v>
      </c>
      <c r="D2606" s="2" t="s">
        <v>1008</v>
      </c>
      <c r="E2606" s="2" t="s">
        <v>1009</v>
      </c>
      <c r="F2606" s="3">
        <v>80</v>
      </c>
      <c r="G2606" s="4">
        <v>12</v>
      </c>
      <c r="H2606" s="5">
        <v>0</v>
      </c>
    </row>
    <row r="2607" spans="1:8" x14ac:dyDescent="0.35">
      <c r="A2607" s="2" t="s">
        <v>984</v>
      </c>
      <c r="B2607" s="2" t="s">
        <v>749</v>
      </c>
      <c r="C2607" s="2" t="s">
        <v>798</v>
      </c>
      <c r="D2607" s="2" t="s">
        <v>799</v>
      </c>
      <c r="E2607" s="2" t="s">
        <v>92</v>
      </c>
      <c r="F2607" s="3">
        <v>4000</v>
      </c>
      <c r="G2607" s="4">
        <v>12</v>
      </c>
      <c r="H2607" s="5">
        <v>0</v>
      </c>
    </row>
    <row r="2608" spans="1:8" x14ac:dyDescent="0.35">
      <c r="A2608" s="2" t="s">
        <v>984</v>
      </c>
      <c r="B2608" s="2" t="s">
        <v>749</v>
      </c>
      <c r="C2608" s="2" t="s">
        <v>1010</v>
      </c>
      <c r="D2608" s="2" t="s">
        <v>835</v>
      </c>
      <c r="E2608" s="2" t="s">
        <v>836</v>
      </c>
      <c r="F2608" s="3">
        <v>70</v>
      </c>
      <c r="G2608" s="4">
        <v>12</v>
      </c>
      <c r="H2608" s="5">
        <v>0</v>
      </c>
    </row>
    <row r="2609" spans="1:8" x14ac:dyDescent="0.35">
      <c r="A2609" s="2" t="s">
        <v>984</v>
      </c>
      <c r="B2609" s="2" t="s">
        <v>749</v>
      </c>
      <c r="C2609" s="2" t="s">
        <v>1011</v>
      </c>
      <c r="D2609" s="2" t="s">
        <v>824</v>
      </c>
      <c r="E2609" s="2" t="s">
        <v>315</v>
      </c>
      <c r="F2609" s="3">
        <v>120</v>
      </c>
      <c r="G2609" s="4">
        <v>12</v>
      </c>
      <c r="H2609" s="5">
        <v>0</v>
      </c>
    </row>
    <row r="2610" spans="1:8" x14ac:dyDescent="0.35">
      <c r="A2610" s="2" t="s">
        <v>984</v>
      </c>
      <c r="B2610" s="2" t="s">
        <v>749</v>
      </c>
      <c r="C2610" s="2" t="s">
        <v>1012</v>
      </c>
      <c r="D2610" s="2" t="s">
        <v>1013</v>
      </c>
      <c r="E2610" s="2" t="s">
        <v>303</v>
      </c>
      <c r="F2610" s="3">
        <v>25</v>
      </c>
      <c r="G2610" s="4">
        <v>12</v>
      </c>
      <c r="H2610" s="5">
        <v>0</v>
      </c>
    </row>
    <row r="2611" spans="1:8" x14ac:dyDescent="0.35">
      <c r="A2611" s="2" t="s">
        <v>984</v>
      </c>
      <c r="B2611" s="2" t="s">
        <v>749</v>
      </c>
      <c r="C2611" s="2" t="s">
        <v>800</v>
      </c>
      <c r="D2611" s="2" t="s">
        <v>801</v>
      </c>
      <c r="E2611" s="2" t="s">
        <v>104</v>
      </c>
      <c r="F2611" s="3">
        <v>30</v>
      </c>
      <c r="G2611" s="4">
        <v>12</v>
      </c>
      <c r="H2611" s="5">
        <v>0</v>
      </c>
    </row>
    <row r="2612" spans="1:8" x14ac:dyDescent="0.35">
      <c r="A2612" s="2" t="s">
        <v>984</v>
      </c>
      <c r="B2612" s="2" t="s">
        <v>749</v>
      </c>
      <c r="C2612" s="2" t="s">
        <v>1014</v>
      </c>
      <c r="D2612" s="2" t="s">
        <v>1015</v>
      </c>
      <c r="E2612" s="2" t="s">
        <v>300</v>
      </c>
      <c r="F2612" s="3">
        <v>35</v>
      </c>
      <c r="G2612" s="4">
        <v>12</v>
      </c>
      <c r="H2612" s="5">
        <v>0</v>
      </c>
    </row>
    <row r="2613" spans="1:8" x14ac:dyDescent="0.35">
      <c r="A2613" s="2" t="s">
        <v>984</v>
      </c>
      <c r="B2613" s="2" t="s">
        <v>749</v>
      </c>
      <c r="C2613" s="2" t="s">
        <v>829</v>
      </c>
      <c r="D2613" s="2" t="s">
        <v>632</v>
      </c>
      <c r="E2613" s="2" t="s">
        <v>322</v>
      </c>
      <c r="F2613" s="3">
        <v>32</v>
      </c>
      <c r="G2613" s="4">
        <v>12</v>
      </c>
      <c r="H2613" s="5">
        <v>0</v>
      </c>
    </row>
    <row r="2614" spans="1:8" x14ac:dyDescent="0.35">
      <c r="A2614" s="2" t="s">
        <v>984</v>
      </c>
      <c r="B2614" s="2" t="s">
        <v>749</v>
      </c>
      <c r="C2614" s="2" t="s">
        <v>1016</v>
      </c>
      <c r="D2614" s="2" t="s">
        <v>807</v>
      </c>
      <c r="E2614" s="2" t="s">
        <v>115</v>
      </c>
      <c r="F2614" s="3">
        <v>50</v>
      </c>
      <c r="G2614" s="4">
        <v>12</v>
      </c>
      <c r="H2614" s="5">
        <v>0</v>
      </c>
    </row>
    <row r="2615" spans="1:8" x14ac:dyDescent="0.35">
      <c r="A2615" s="2" t="s">
        <v>984</v>
      </c>
      <c r="B2615" s="2" t="s">
        <v>749</v>
      </c>
      <c r="C2615" s="2" t="s">
        <v>837</v>
      </c>
      <c r="D2615" s="2" t="s">
        <v>838</v>
      </c>
      <c r="E2615" s="2" t="s">
        <v>452</v>
      </c>
      <c r="F2615" s="3">
        <v>50</v>
      </c>
      <c r="G2615" s="4">
        <v>12</v>
      </c>
      <c r="H2615" s="5">
        <v>0</v>
      </c>
    </row>
    <row r="2616" spans="1:8" x14ac:dyDescent="0.35">
      <c r="A2616" s="2" t="s">
        <v>984</v>
      </c>
      <c r="B2616" s="2" t="s">
        <v>749</v>
      </c>
      <c r="C2616" s="2" t="s">
        <v>1017</v>
      </c>
      <c r="D2616" s="2" t="s">
        <v>1018</v>
      </c>
      <c r="E2616" s="2" t="s">
        <v>215</v>
      </c>
      <c r="F2616" s="3">
        <v>300</v>
      </c>
      <c r="G2616" s="4">
        <v>12</v>
      </c>
      <c r="H2616" s="5">
        <v>0</v>
      </c>
    </row>
    <row r="2617" spans="1:8" x14ac:dyDescent="0.35">
      <c r="A2617" s="2" t="s">
        <v>984</v>
      </c>
      <c r="B2617" s="2" t="s">
        <v>749</v>
      </c>
      <c r="C2617" s="2" t="s">
        <v>1019</v>
      </c>
      <c r="D2617" s="2" t="s">
        <v>1020</v>
      </c>
      <c r="E2617" s="2" t="s">
        <v>603</v>
      </c>
      <c r="F2617" s="3">
        <v>3000</v>
      </c>
      <c r="G2617" s="4">
        <v>12</v>
      </c>
      <c r="H2617" s="5">
        <v>2.5000000000000001E-2</v>
      </c>
    </row>
    <row r="2618" spans="1:8" x14ac:dyDescent="0.35">
      <c r="A2618" s="2" t="s">
        <v>984</v>
      </c>
      <c r="B2618" s="2" t="s">
        <v>749</v>
      </c>
      <c r="C2618" s="2" t="s">
        <v>1021</v>
      </c>
      <c r="D2618" s="2" t="s">
        <v>1022</v>
      </c>
      <c r="E2618" s="2" t="s">
        <v>1023</v>
      </c>
      <c r="F2618" s="3">
        <v>123.6</v>
      </c>
      <c r="G2618" s="4">
        <v>12</v>
      </c>
      <c r="H2618" s="5">
        <v>0</v>
      </c>
    </row>
    <row r="2619" spans="1:8" x14ac:dyDescent="0.35">
      <c r="A2619" s="2" t="s">
        <v>984</v>
      </c>
      <c r="B2619" s="2" t="s">
        <v>749</v>
      </c>
      <c r="C2619" s="2" t="s">
        <v>1024</v>
      </c>
      <c r="D2619" s="2" t="s">
        <v>1025</v>
      </c>
      <c r="E2619" s="2" t="s">
        <v>1026</v>
      </c>
      <c r="F2619" s="3">
        <v>43.26</v>
      </c>
      <c r="G2619" s="4">
        <v>12</v>
      </c>
      <c r="H2619" s="5">
        <v>0</v>
      </c>
    </row>
    <row r="2620" spans="1:8" x14ac:dyDescent="0.35">
      <c r="A2620" s="2" t="s">
        <v>984</v>
      </c>
      <c r="B2620" s="2" t="s">
        <v>749</v>
      </c>
      <c r="C2620" s="2" t="s">
        <v>1027</v>
      </c>
      <c r="D2620" s="2" t="s">
        <v>1028</v>
      </c>
      <c r="E2620" s="2" t="s">
        <v>820</v>
      </c>
      <c r="F2620" s="3">
        <v>113.3</v>
      </c>
      <c r="G2620" s="4">
        <v>12</v>
      </c>
      <c r="H2620" s="5">
        <v>0</v>
      </c>
    </row>
    <row r="2621" spans="1:8" x14ac:dyDescent="0.35">
      <c r="A2621" s="2" t="s">
        <v>984</v>
      </c>
      <c r="B2621" s="2" t="s">
        <v>749</v>
      </c>
      <c r="C2621" s="2" t="s">
        <v>1029</v>
      </c>
      <c r="D2621" s="2" t="s">
        <v>1030</v>
      </c>
      <c r="E2621" s="2" t="s">
        <v>1031</v>
      </c>
      <c r="F2621" s="3">
        <v>30.9</v>
      </c>
      <c r="G2621" s="4">
        <v>12</v>
      </c>
      <c r="H2621" s="5">
        <v>0</v>
      </c>
    </row>
    <row r="2622" spans="1:8" x14ac:dyDescent="0.35">
      <c r="A2622" s="2" t="s">
        <v>984</v>
      </c>
      <c r="B2622" s="2" t="s">
        <v>749</v>
      </c>
      <c r="C2622" s="2" t="s">
        <v>1032</v>
      </c>
      <c r="D2622" s="2" t="s">
        <v>1033</v>
      </c>
      <c r="E2622" s="2" t="s">
        <v>1034</v>
      </c>
      <c r="F2622" s="3">
        <v>560.48</v>
      </c>
      <c r="G2622" s="4">
        <v>12</v>
      </c>
      <c r="H2622" s="5">
        <v>0</v>
      </c>
    </row>
    <row r="2623" spans="1:8" x14ac:dyDescent="0.35">
      <c r="A2623" s="2" t="s">
        <v>984</v>
      </c>
      <c r="B2623" s="2" t="s">
        <v>749</v>
      </c>
      <c r="C2623" s="2" t="s">
        <v>1035</v>
      </c>
      <c r="D2623" s="2" t="s">
        <v>1036</v>
      </c>
      <c r="E2623" s="2" t="s">
        <v>964</v>
      </c>
      <c r="F2623" s="3">
        <v>84.46</v>
      </c>
      <c r="G2623" s="4">
        <v>12</v>
      </c>
      <c r="H2623" s="5">
        <v>0</v>
      </c>
    </row>
    <row r="2624" spans="1:8" x14ac:dyDescent="0.35">
      <c r="A2624" s="2" t="s">
        <v>984</v>
      </c>
      <c r="B2624" s="2" t="s">
        <v>749</v>
      </c>
      <c r="C2624" s="2" t="s">
        <v>1037</v>
      </c>
      <c r="D2624" s="2" t="s">
        <v>1038</v>
      </c>
      <c r="E2624" s="2" t="s">
        <v>1026</v>
      </c>
      <c r="F2624" s="3">
        <v>195.7</v>
      </c>
      <c r="G2624" s="4">
        <v>12</v>
      </c>
      <c r="H2624" s="5">
        <v>0</v>
      </c>
    </row>
    <row r="2625" spans="1:8" ht="14.5" customHeight="1" x14ac:dyDescent="0.35">
      <c r="A2625" s="2" t="s">
        <v>984</v>
      </c>
      <c r="B2625" s="2" t="s">
        <v>749</v>
      </c>
      <c r="C2625" s="2" t="s">
        <v>1039</v>
      </c>
      <c r="D2625" s="2" t="s">
        <v>1040</v>
      </c>
      <c r="E2625" s="2" t="s">
        <v>1041</v>
      </c>
      <c r="F2625" s="3">
        <v>133.9</v>
      </c>
      <c r="G2625" s="4">
        <v>12</v>
      </c>
      <c r="H2625" s="5">
        <v>0</v>
      </c>
    </row>
    <row r="2626" spans="1:8" x14ac:dyDescent="0.35">
      <c r="A2626" s="2" t="s">
        <v>984</v>
      </c>
      <c r="B2626" s="2" t="s">
        <v>510</v>
      </c>
      <c r="C2626" s="2" t="s">
        <v>985</v>
      </c>
      <c r="D2626" s="2" t="s">
        <v>986</v>
      </c>
      <c r="E2626" s="2" t="s">
        <v>443</v>
      </c>
      <c r="F2626" s="3">
        <v>128</v>
      </c>
      <c r="G2626" s="4">
        <v>1</v>
      </c>
      <c r="H2626" s="5">
        <v>0</v>
      </c>
    </row>
    <row r="2627" spans="1:8" x14ac:dyDescent="0.35">
      <c r="A2627" s="2" t="s">
        <v>984</v>
      </c>
      <c r="B2627" s="2" t="s">
        <v>510</v>
      </c>
      <c r="C2627" s="2" t="s">
        <v>987</v>
      </c>
      <c r="D2627" s="2" t="s">
        <v>988</v>
      </c>
      <c r="E2627" s="2" t="s">
        <v>24</v>
      </c>
      <c r="F2627" s="3">
        <v>640</v>
      </c>
      <c r="G2627" s="4">
        <v>12</v>
      </c>
      <c r="H2627" s="5">
        <v>0</v>
      </c>
    </row>
    <row r="2628" spans="1:8" x14ac:dyDescent="0.35">
      <c r="A2628" s="2" t="s">
        <v>984</v>
      </c>
      <c r="B2628" s="2" t="s">
        <v>510</v>
      </c>
      <c r="C2628" s="2" t="s">
        <v>989</v>
      </c>
      <c r="D2628" s="2" t="s">
        <v>990</v>
      </c>
      <c r="E2628" s="2" t="s">
        <v>46</v>
      </c>
      <c r="F2628" s="3">
        <v>4480</v>
      </c>
      <c r="G2628" s="4">
        <v>24</v>
      </c>
      <c r="H2628" s="5">
        <v>0</v>
      </c>
    </row>
    <row r="2629" spans="1:8" x14ac:dyDescent="0.35">
      <c r="A2629" s="2" t="s">
        <v>984</v>
      </c>
      <c r="B2629" s="2" t="s">
        <v>510</v>
      </c>
      <c r="C2629" s="2" t="s">
        <v>991</v>
      </c>
      <c r="D2629" s="2" t="s">
        <v>992</v>
      </c>
      <c r="E2629" s="2" t="s">
        <v>48</v>
      </c>
      <c r="F2629" s="3">
        <v>640</v>
      </c>
      <c r="G2629" s="4">
        <v>12</v>
      </c>
      <c r="H2629" s="5">
        <v>0</v>
      </c>
    </row>
    <row r="2630" spans="1:8" x14ac:dyDescent="0.35">
      <c r="A2630" s="2" t="s">
        <v>984</v>
      </c>
      <c r="B2630" s="2" t="s">
        <v>510</v>
      </c>
      <c r="C2630" s="2" t="s">
        <v>796</v>
      </c>
      <c r="D2630" s="2" t="s">
        <v>797</v>
      </c>
      <c r="E2630" s="2" t="s">
        <v>71</v>
      </c>
      <c r="F2630" s="3">
        <v>576</v>
      </c>
      <c r="G2630" s="4">
        <v>24</v>
      </c>
      <c r="H2630" s="5">
        <v>0</v>
      </c>
    </row>
    <row r="2631" spans="1:8" x14ac:dyDescent="0.35">
      <c r="A2631" s="2" t="s">
        <v>984</v>
      </c>
      <c r="B2631" s="2" t="s">
        <v>510</v>
      </c>
      <c r="C2631" s="2" t="s">
        <v>982</v>
      </c>
      <c r="D2631" s="2" t="s">
        <v>983</v>
      </c>
      <c r="E2631" s="2" t="s">
        <v>102</v>
      </c>
      <c r="F2631" s="3">
        <v>116.69</v>
      </c>
      <c r="G2631" s="4">
        <v>1</v>
      </c>
      <c r="H2631" s="5">
        <v>0</v>
      </c>
    </row>
    <row r="2632" spans="1:8" x14ac:dyDescent="0.35">
      <c r="A2632" s="2" t="s">
        <v>984</v>
      </c>
      <c r="B2632" s="2" t="s">
        <v>510</v>
      </c>
      <c r="C2632" s="2" t="s">
        <v>802</v>
      </c>
      <c r="D2632" s="2" t="s">
        <v>803</v>
      </c>
      <c r="E2632" s="2" t="s">
        <v>147</v>
      </c>
      <c r="F2632" s="3">
        <v>2432</v>
      </c>
      <c r="G2632" s="4">
        <v>36</v>
      </c>
      <c r="H2632" s="5">
        <v>0</v>
      </c>
    </row>
    <row r="2633" spans="1:8" x14ac:dyDescent="0.35">
      <c r="A2633" s="2" t="s">
        <v>984</v>
      </c>
      <c r="B2633" s="2" t="s">
        <v>510</v>
      </c>
      <c r="C2633" s="2" t="s">
        <v>993</v>
      </c>
      <c r="D2633" s="2" t="s">
        <v>994</v>
      </c>
      <c r="E2633" s="2" t="s">
        <v>158</v>
      </c>
      <c r="F2633" s="3">
        <v>3392</v>
      </c>
      <c r="G2633" s="4">
        <v>36</v>
      </c>
      <c r="H2633" s="5">
        <v>0</v>
      </c>
    </row>
    <row r="2634" spans="1:8" x14ac:dyDescent="0.35">
      <c r="A2634" s="2" t="s">
        <v>984</v>
      </c>
      <c r="B2634" s="2" t="s">
        <v>510</v>
      </c>
      <c r="C2634" s="2" t="s">
        <v>804</v>
      </c>
      <c r="D2634" s="2" t="s">
        <v>805</v>
      </c>
      <c r="E2634" s="2" t="s">
        <v>180</v>
      </c>
      <c r="F2634" s="3">
        <v>640</v>
      </c>
      <c r="G2634" s="4">
        <v>24</v>
      </c>
      <c r="H2634" s="5">
        <v>0</v>
      </c>
    </row>
    <row r="2635" spans="1:8" x14ac:dyDescent="0.35">
      <c r="A2635" s="2" t="s">
        <v>984</v>
      </c>
      <c r="B2635" s="2" t="s">
        <v>510</v>
      </c>
      <c r="C2635" s="2" t="s">
        <v>995</v>
      </c>
      <c r="D2635" s="2" t="s">
        <v>996</v>
      </c>
      <c r="E2635" s="2" t="s">
        <v>204</v>
      </c>
      <c r="F2635" s="3">
        <v>320</v>
      </c>
      <c r="G2635" s="4">
        <v>12</v>
      </c>
      <c r="H2635" s="5">
        <v>0</v>
      </c>
    </row>
    <row r="2636" spans="1:8" x14ac:dyDescent="0.35">
      <c r="A2636" s="2" t="s">
        <v>984</v>
      </c>
      <c r="B2636" s="2" t="s">
        <v>510</v>
      </c>
      <c r="C2636" s="2" t="s">
        <v>997</v>
      </c>
      <c r="D2636" s="2" t="s">
        <v>998</v>
      </c>
      <c r="E2636" s="2" t="s">
        <v>59</v>
      </c>
      <c r="F2636" s="3">
        <v>512</v>
      </c>
      <c r="G2636" s="4">
        <v>12</v>
      </c>
      <c r="H2636" s="5">
        <v>0</v>
      </c>
    </row>
    <row r="2637" spans="1:8" x14ac:dyDescent="0.35">
      <c r="A2637" s="2" t="s">
        <v>984</v>
      </c>
      <c r="B2637" s="2" t="s">
        <v>510</v>
      </c>
      <c r="C2637" s="2" t="s">
        <v>999</v>
      </c>
      <c r="D2637" s="2" t="s">
        <v>1000</v>
      </c>
      <c r="E2637" s="2" t="s">
        <v>237</v>
      </c>
      <c r="F2637" s="3">
        <v>640</v>
      </c>
      <c r="G2637" s="4">
        <v>12</v>
      </c>
      <c r="H2637" s="5">
        <v>0</v>
      </c>
    </row>
    <row r="2638" spans="1:8" x14ac:dyDescent="0.35">
      <c r="A2638" s="2" t="s">
        <v>984</v>
      </c>
      <c r="B2638" s="2" t="s">
        <v>510</v>
      </c>
      <c r="C2638" s="2" t="s">
        <v>810</v>
      </c>
      <c r="D2638" s="2" t="s">
        <v>811</v>
      </c>
      <c r="E2638" s="2" t="s">
        <v>248</v>
      </c>
      <c r="F2638" s="3">
        <v>1139.2</v>
      </c>
      <c r="G2638" s="4">
        <v>12</v>
      </c>
      <c r="H2638" s="5">
        <v>0</v>
      </c>
    </row>
    <row r="2639" spans="1:8" x14ac:dyDescent="0.35">
      <c r="A2639" s="2" t="s">
        <v>984</v>
      </c>
      <c r="B2639" s="2" t="s">
        <v>510</v>
      </c>
      <c r="C2639" s="2" t="s">
        <v>1001</v>
      </c>
      <c r="D2639" s="2" t="s">
        <v>1002</v>
      </c>
      <c r="E2639" s="2" t="s">
        <v>226</v>
      </c>
      <c r="F2639" s="3">
        <v>3392</v>
      </c>
      <c r="G2639" s="4">
        <v>24</v>
      </c>
      <c r="H2639" s="5">
        <v>0</v>
      </c>
    </row>
    <row r="2640" spans="1:8" x14ac:dyDescent="0.35">
      <c r="A2640" s="2" t="s">
        <v>984</v>
      </c>
      <c r="B2640" s="2" t="s">
        <v>510</v>
      </c>
      <c r="C2640" s="2" t="s">
        <v>1003</v>
      </c>
      <c r="D2640" s="2" t="s">
        <v>1004</v>
      </c>
      <c r="E2640" s="2" t="s">
        <v>260</v>
      </c>
      <c r="F2640" s="3">
        <v>32000</v>
      </c>
      <c r="G2640" s="4">
        <v>36</v>
      </c>
      <c r="H2640" s="5">
        <v>0</v>
      </c>
    </row>
    <row r="2641" spans="1:8" x14ac:dyDescent="0.35">
      <c r="A2641" s="2" t="s">
        <v>984</v>
      </c>
      <c r="B2641" s="2" t="s">
        <v>510</v>
      </c>
      <c r="C2641" s="2" t="s">
        <v>1005</v>
      </c>
      <c r="D2641" s="2" t="s">
        <v>1006</v>
      </c>
      <c r="E2641" s="2" t="s">
        <v>260</v>
      </c>
      <c r="F2641" s="3">
        <v>19200</v>
      </c>
      <c r="G2641" s="4">
        <v>24</v>
      </c>
      <c r="H2641" s="5">
        <v>0</v>
      </c>
    </row>
    <row r="2642" spans="1:8" x14ac:dyDescent="0.35">
      <c r="A2642" s="2" t="s">
        <v>984</v>
      </c>
      <c r="B2642" s="2" t="s">
        <v>510</v>
      </c>
      <c r="C2642" s="2" t="s">
        <v>1007</v>
      </c>
      <c r="D2642" s="2" t="s">
        <v>1008</v>
      </c>
      <c r="E2642" s="2" t="s">
        <v>1009</v>
      </c>
      <c r="F2642" s="3">
        <v>320</v>
      </c>
      <c r="G2642" s="4">
        <v>12</v>
      </c>
      <c r="H2642" s="5">
        <v>0</v>
      </c>
    </row>
    <row r="2643" spans="1:8" x14ac:dyDescent="0.35">
      <c r="A2643" s="2" t="s">
        <v>984</v>
      </c>
      <c r="B2643" s="2" t="s">
        <v>510</v>
      </c>
      <c r="C2643" s="2" t="s">
        <v>798</v>
      </c>
      <c r="D2643" s="2" t="s">
        <v>799</v>
      </c>
      <c r="E2643" s="2" t="s">
        <v>92</v>
      </c>
      <c r="F2643" s="3">
        <v>3200</v>
      </c>
      <c r="G2643" s="4">
        <v>24</v>
      </c>
      <c r="H2643" s="5">
        <v>0</v>
      </c>
    </row>
    <row r="2644" spans="1:8" x14ac:dyDescent="0.35">
      <c r="A2644" s="2" t="s">
        <v>984</v>
      </c>
      <c r="B2644" s="2" t="s">
        <v>510</v>
      </c>
      <c r="C2644" s="2" t="s">
        <v>1010</v>
      </c>
      <c r="D2644" s="2" t="s">
        <v>835</v>
      </c>
      <c r="E2644" s="2" t="s">
        <v>836</v>
      </c>
      <c r="F2644" s="3">
        <v>320</v>
      </c>
      <c r="G2644" s="4">
        <v>12</v>
      </c>
      <c r="H2644" s="5">
        <v>0</v>
      </c>
    </row>
    <row r="2645" spans="1:8" x14ac:dyDescent="0.35">
      <c r="A2645" s="2" t="s">
        <v>984</v>
      </c>
      <c r="B2645" s="2" t="s">
        <v>510</v>
      </c>
      <c r="C2645" s="2" t="s">
        <v>1011</v>
      </c>
      <c r="D2645" s="2" t="s">
        <v>824</v>
      </c>
      <c r="E2645" s="2" t="s">
        <v>315</v>
      </c>
      <c r="F2645" s="3">
        <v>192</v>
      </c>
      <c r="G2645" s="4">
        <v>12</v>
      </c>
      <c r="H2645" s="5">
        <v>0</v>
      </c>
    </row>
    <row r="2646" spans="1:8" x14ac:dyDescent="0.35">
      <c r="A2646" s="2" t="s">
        <v>984</v>
      </c>
      <c r="B2646" s="2" t="s">
        <v>510</v>
      </c>
      <c r="C2646" s="2" t="s">
        <v>1012</v>
      </c>
      <c r="D2646" s="2" t="s">
        <v>1013</v>
      </c>
      <c r="E2646" s="2" t="s">
        <v>303</v>
      </c>
      <c r="F2646" s="3">
        <v>102.4</v>
      </c>
      <c r="G2646" s="4">
        <v>6</v>
      </c>
      <c r="H2646" s="5">
        <v>0</v>
      </c>
    </row>
    <row r="2647" spans="1:8" x14ac:dyDescent="0.35">
      <c r="A2647" s="2" t="s">
        <v>984</v>
      </c>
      <c r="B2647" s="2" t="s">
        <v>510</v>
      </c>
      <c r="C2647" s="2" t="s">
        <v>800</v>
      </c>
      <c r="D2647" s="2" t="s">
        <v>801</v>
      </c>
      <c r="E2647" s="2" t="s">
        <v>104</v>
      </c>
      <c r="F2647" s="3">
        <v>960</v>
      </c>
      <c r="G2647" s="4">
        <v>24</v>
      </c>
      <c r="H2647" s="5">
        <v>0</v>
      </c>
    </row>
    <row r="2648" spans="1:8" x14ac:dyDescent="0.35">
      <c r="A2648" s="2" t="s">
        <v>984</v>
      </c>
      <c r="B2648" s="2" t="s">
        <v>510</v>
      </c>
      <c r="C2648" s="2" t="s">
        <v>1014</v>
      </c>
      <c r="D2648" s="2" t="s">
        <v>1015</v>
      </c>
      <c r="E2648" s="2" t="s">
        <v>300</v>
      </c>
      <c r="F2648" s="3">
        <v>64</v>
      </c>
      <c r="G2648" s="4">
        <v>12</v>
      </c>
      <c r="H2648" s="5">
        <v>0</v>
      </c>
    </row>
    <row r="2649" spans="1:8" x14ac:dyDescent="0.35">
      <c r="A2649" s="2" t="s">
        <v>984</v>
      </c>
      <c r="B2649" s="2" t="s">
        <v>510</v>
      </c>
      <c r="C2649" s="2" t="s">
        <v>829</v>
      </c>
      <c r="D2649" s="2" t="s">
        <v>632</v>
      </c>
      <c r="E2649" s="2" t="s">
        <v>322</v>
      </c>
      <c r="F2649" s="3">
        <v>64</v>
      </c>
      <c r="G2649" s="4">
        <v>12</v>
      </c>
      <c r="H2649" s="5">
        <v>0</v>
      </c>
    </row>
    <row r="2650" spans="1:8" x14ac:dyDescent="0.35">
      <c r="A2650" s="2" t="s">
        <v>984</v>
      </c>
      <c r="B2650" s="2" t="s">
        <v>510</v>
      </c>
      <c r="C2650" s="2" t="s">
        <v>1016</v>
      </c>
      <c r="D2650" s="2" t="s">
        <v>807</v>
      </c>
      <c r="E2650" s="2" t="s">
        <v>115</v>
      </c>
      <c r="F2650" s="3">
        <v>102.4</v>
      </c>
      <c r="G2650" s="4">
        <v>12</v>
      </c>
      <c r="H2650" s="5">
        <v>0</v>
      </c>
    </row>
    <row r="2651" spans="1:8" x14ac:dyDescent="0.35">
      <c r="A2651" s="2" t="s">
        <v>984</v>
      </c>
      <c r="B2651" s="2" t="s">
        <v>510</v>
      </c>
      <c r="C2651" s="2" t="s">
        <v>837</v>
      </c>
      <c r="D2651" s="2" t="s">
        <v>838</v>
      </c>
      <c r="E2651" s="2" t="s">
        <v>452</v>
      </c>
      <c r="F2651" s="3">
        <v>70</v>
      </c>
      <c r="G2651" s="4">
        <v>1</v>
      </c>
      <c r="H2651" s="5">
        <v>0</v>
      </c>
    </row>
    <row r="2652" spans="1:8" x14ac:dyDescent="0.35">
      <c r="A2652" s="2" t="s">
        <v>984</v>
      </c>
      <c r="B2652" s="2" t="s">
        <v>510</v>
      </c>
      <c r="C2652" s="2" t="s">
        <v>1017</v>
      </c>
      <c r="D2652" s="2" t="s">
        <v>1018</v>
      </c>
      <c r="E2652" s="2" t="s">
        <v>215</v>
      </c>
      <c r="F2652" s="3">
        <v>64</v>
      </c>
      <c r="G2652" s="4">
        <v>3</v>
      </c>
      <c r="H2652" s="5">
        <v>0</v>
      </c>
    </row>
    <row r="2653" spans="1:8" x14ac:dyDescent="0.35">
      <c r="A2653" s="2" t="s">
        <v>984</v>
      </c>
      <c r="B2653" s="2" t="s">
        <v>510</v>
      </c>
      <c r="C2653" s="2" t="s">
        <v>1019</v>
      </c>
      <c r="D2653" s="2" t="s">
        <v>1020</v>
      </c>
      <c r="E2653" s="2" t="s">
        <v>603</v>
      </c>
      <c r="F2653" s="3">
        <v>3200</v>
      </c>
      <c r="G2653" s="4">
        <v>24</v>
      </c>
      <c r="H2653" s="5">
        <v>0</v>
      </c>
    </row>
    <row r="2654" spans="1:8" x14ac:dyDescent="0.35">
      <c r="A2654" s="2" t="s">
        <v>984</v>
      </c>
      <c r="B2654" s="2" t="s">
        <v>510</v>
      </c>
      <c r="C2654" s="2" t="s">
        <v>1021</v>
      </c>
      <c r="D2654" s="2" t="s">
        <v>1022</v>
      </c>
      <c r="E2654" s="2" t="s">
        <v>1023</v>
      </c>
      <c r="F2654" s="3">
        <v>192</v>
      </c>
      <c r="G2654" s="4">
        <v>12</v>
      </c>
      <c r="H2654" s="5">
        <v>0</v>
      </c>
    </row>
    <row r="2655" spans="1:8" x14ac:dyDescent="0.35">
      <c r="A2655" s="2" t="s">
        <v>984</v>
      </c>
      <c r="B2655" s="2" t="s">
        <v>510</v>
      </c>
      <c r="C2655" s="2" t="s">
        <v>1024</v>
      </c>
      <c r="D2655" s="2" t="s">
        <v>1025</v>
      </c>
      <c r="E2655" s="2" t="s">
        <v>1026</v>
      </c>
      <c r="F2655" s="3">
        <v>57.6</v>
      </c>
      <c r="G2655" s="4">
        <v>3</v>
      </c>
      <c r="H2655" s="5">
        <v>0</v>
      </c>
    </row>
    <row r="2656" spans="1:8" x14ac:dyDescent="0.35">
      <c r="A2656" s="2" t="s">
        <v>984</v>
      </c>
      <c r="B2656" s="2" t="s">
        <v>510</v>
      </c>
      <c r="C2656" s="2" t="s">
        <v>1027</v>
      </c>
      <c r="D2656" s="2" t="s">
        <v>1028</v>
      </c>
      <c r="E2656" s="2" t="s">
        <v>820</v>
      </c>
      <c r="F2656" s="3">
        <v>128</v>
      </c>
      <c r="G2656" s="4">
        <v>12</v>
      </c>
      <c r="H2656" s="5">
        <v>0</v>
      </c>
    </row>
    <row r="2657" spans="1:8" x14ac:dyDescent="0.35">
      <c r="A2657" s="2" t="s">
        <v>984</v>
      </c>
      <c r="B2657" s="2" t="s">
        <v>510</v>
      </c>
      <c r="C2657" s="2" t="s">
        <v>1029</v>
      </c>
      <c r="D2657" s="2" t="s">
        <v>1030</v>
      </c>
      <c r="E2657" s="2" t="s">
        <v>1031</v>
      </c>
      <c r="F2657" s="3">
        <v>320</v>
      </c>
      <c r="G2657" s="4">
        <v>3</v>
      </c>
      <c r="H2657" s="5">
        <v>0</v>
      </c>
    </row>
    <row r="2658" spans="1:8" x14ac:dyDescent="0.35">
      <c r="A2658" s="2" t="s">
        <v>984</v>
      </c>
      <c r="B2658" s="2" t="s">
        <v>510</v>
      </c>
      <c r="C2658" s="2" t="s">
        <v>1032</v>
      </c>
      <c r="D2658" s="2" t="s">
        <v>1033</v>
      </c>
      <c r="E2658" s="2" t="s">
        <v>1034</v>
      </c>
      <c r="F2658" s="3">
        <v>1152</v>
      </c>
      <c r="G2658" s="4">
        <v>24</v>
      </c>
      <c r="H2658" s="5">
        <v>0</v>
      </c>
    </row>
    <row r="2659" spans="1:8" x14ac:dyDescent="0.35">
      <c r="A2659" s="2" t="s">
        <v>984</v>
      </c>
      <c r="B2659" s="2" t="s">
        <v>510</v>
      </c>
      <c r="C2659" s="2" t="s">
        <v>1035</v>
      </c>
      <c r="D2659" s="2" t="s">
        <v>1036</v>
      </c>
      <c r="E2659" s="2" t="s">
        <v>964</v>
      </c>
      <c r="F2659" s="3">
        <v>128</v>
      </c>
      <c r="G2659" s="4">
        <v>6</v>
      </c>
      <c r="H2659" s="5">
        <v>0</v>
      </c>
    </row>
    <row r="2660" spans="1:8" x14ac:dyDescent="0.35">
      <c r="A2660" s="2" t="s">
        <v>984</v>
      </c>
      <c r="B2660" s="2" t="s">
        <v>510</v>
      </c>
      <c r="C2660" s="2" t="s">
        <v>1037</v>
      </c>
      <c r="D2660" s="2" t="s">
        <v>1038</v>
      </c>
      <c r="E2660" s="2" t="s">
        <v>1026</v>
      </c>
      <c r="F2660" s="3">
        <v>57.6</v>
      </c>
      <c r="G2660" s="4">
        <v>12</v>
      </c>
      <c r="H2660" s="5">
        <v>0</v>
      </c>
    </row>
    <row r="2661" spans="1:8" ht="14.5" customHeight="1" x14ac:dyDescent="0.35">
      <c r="A2661" s="2" t="s">
        <v>984</v>
      </c>
      <c r="B2661" s="2" t="s">
        <v>510</v>
      </c>
      <c r="C2661" s="2" t="s">
        <v>1039</v>
      </c>
      <c r="D2661" s="2" t="s">
        <v>1040</v>
      </c>
      <c r="E2661" s="2" t="s">
        <v>1041</v>
      </c>
      <c r="F2661" s="3">
        <v>57.6</v>
      </c>
      <c r="G2661" s="4">
        <v>12</v>
      </c>
      <c r="H2661" s="5">
        <v>0</v>
      </c>
    </row>
    <row r="2662" spans="1:8" x14ac:dyDescent="0.35">
      <c r="A2662" s="2" t="s">
        <v>984</v>
      </c>
      <c r="B2662" s="2" t="s">
        <v>785</v>
      </c>
      <c r="C2662" s="2" t="s">
        <v>985</v>
      </c>
      <c r="D2662" s="2" t="s">
        <v>986</v>
      </c>
      <c r="E2662" s="2" t="s">
        <v>443</v>
      </c>
      <c r="F2662" s="3">
        <v>29</v>
      </c>
      <c r="G2662" s="4">
        <v>1</v>
      </c>
      <c r="H2662" s="5">
        <v>0.01</v>
      </c>
    </row>
    <row r="2663" spans="1:8" x14ac:dyDescent="0.35">
      <c r="A2663" s="2" t="s">
        <v>984</v>
      </c>
      <c r="B2663" s="2" t="s">
        <v>785</v>
      </c>
      <c r="C2663" s="2" t="s">
        <v>987</v>
      </c>
      <c r="D2663" s="2" t="s">
        <v>988</v>
      </c>
      <c r="E2663" s="2" t="s">
        <v>24</v>
      </c>
      <c r="F2663" s="3">
        <v>250</v>
      </c>
      <c r="G2663" s="4">
        <v>12</v>
      </c>
      <c r="H2663" s="5">
        <v>0.01</v>
      </c>
    </row>
    <row r="2664" spans="1:8" x14ac:dyDescent="0.35">
      <c r="A2664" s="2" t="s">
        <v>984</v>
      </c>
      <c r="B2664" s="2" t="s">
        <v>785</v>
      </c>
      <c r="C2664" s="2" t="s">
        <v>989</v>
      </c>
      <c r="D2664" s="2" t="s">
        <v>990</v>
      </c>
      <c r="E2664" s="2" t="s">
        <v>46</v>
      </c>
      <c r="F2664" s="3">
        <v>1350</v>
      </c>
      <c r="G2664" s="4">
        <v>12</v>
      </c>
      <c r="H2664" s="5">
        <v>0.01</v>
      </c>
    </row>
    <row r="2665" spans="1:8" x14ac:dyDescent="0.35">
      <c r="A2665" s="2" t="s">
        <v>984</v>
      </c>
      <c r="B2665" s="2" t="s">
        <v>785</v>
      </c>
      <c r="C2665" s="2" t="s">
        <v>991</v>
      </c>
      <c r="D2665" s="2" t="s">
        <v>992</v>
      </c>
      <c r="E2665" s="2" t="s">
        <v>48</v>
      </c>
      <c r="F2665" s="3">
        <v>350.25</v>
      </c>
      <c r="G2665" s="4">
        <v>12</v>
      </c>
      <c r="H2665" s="5">
        <v>0.01</v>
      </c>
    </row>
    <row r="2666" spans="1:8" x14ac:dyDescent="0.35">
      <c r="A2666" s="2" t="s">
        <v>984</v>
      </c>
      <c r="B2666" s="2" t="s">
        <v>785</v>
      </c>
      <c r="C2666" s="2" t="s">
        <v>796</v>
      </c>
      <c r="D2666" s="2" t="s">
        <v>797</v>
      </c>
      <c r="E2666" s="2" t="s">
        <v>71</v>
      </c>
      <c r="F2666" s="3">
        <v>200</v>
      </c>
      <c r="G2666" s="4">
        <v>12</v>
      </c>
      <c r="H2666" s="5">
        <v>0.01</v>
      </c>
    </row>
    <row r="2667" spans="1:8" x14ac:dyDescent="0.35">
      <c r="A2667" s="2" t="s">
        <v>984</v>
      </c>
      <c r="B2667" s="2" t="s">
        <v>785</v>
      </c>
      <c r="C2667" s="2" t="s">
        <v>982</v>
      </c>
      <c r="D2667" s="2" t="s">
        <v>983</v>
      </c>
      <c r="E2667" s="2" t="s">
        <v>102</v>
      </c>
      <c r="F2667" s="3">
        <v>50</v>
      </c>
      <c r="G2667" s="4">
        <v>1</v>
      </c>
      <c r="H2667" s="5">
        <v>0.01</v>
      </c>
    </row>
    <row r="2668" spans="1:8" x14ac:dyDescent="0.35">
      <c r="A2668" s="2" t="s">
        <v>984</v>
      </c>
      <c r="B2668" s="2" t="s">
        <v>785</v>
      </c>
      <c r="C2668" s="2" t="s">
        <v>802</v>
      </c>
      <c r="D2668" s="2" t="s">
        <v>803</v>
      </c>
      <c r="E2668" s="2" t="s">
        <v>147</v>
      </c>
      <c r="F2668" s="3">
        <v>2300</v>
      </c>
      <c r="G2668" s="4">
        <v>12</v>
      </c>
      <c r="H2668" s="5">
        <v>0.01</v>
      </c>
    </row>
    <row r="2669" spans="1:8" x14ac:dyDescent="0.35">
      <c r="A2669" s="2" t="s">
        <v>984</v>
      </c>
      <c r="B2669" s="2" t="s">
        <v>785</v>
      </c>
      <c r="C2669" s="2" t="s">
        <v>993</v>
      </c>
      <c r="D2669" s="2" t="s">
        <v>994</v>
      </c>
      <c r="E2669" s="2" t="s">
        <v>158</v>
      </c>
      <c r="F2669" s="3">
        <v>3000</v>
      </c>
      <c r="G2669" s="4">
        <v>12</v>
      </c>
      <c r="H2669" s="5">
        <v>0.01</v>
      </c>
    </row>
    <row r="2670" spans="1:8" x14ac:dyDescent="0.35">
      <c r="A2670" s="2" t="s">
        <v>984</v>
      </c>
      <c r="B2670" s="2" t="s">
        <v>785</v>
      </c>
      <c r="C2670" s="2" t="s">
        <v>804</v>
      </c>
      <c r="D2670" s="2" t="s">
        <v>805</v>
      </c>
      <c r="E2670" s="2" t="s">
        <v>180</v>
      </c>
      <c r="F2670" s="3">
        <v>150</v>
      </c>
      <c r="G2670" s="4">
        <v>12</v>
      </c>
      <c r="H2670" s="5">
        <v>0.01</v>
      </c>
    </row>
    <row r="2671" spans="1:8" x14ac:dyDescent="0.35">
      <c r="A2671" s="2" t="s">
        <v>984</v>
      </c>
      <c r="B2671" s="2" t="s">
        <v>785</v>
      </c>
      <c r="C2671" s="2" t="s">
        <v>995</v>
      </c>
      <c r="D2671" s="2" t="s">
        <v>996</v>
      </c>
      <c r="E2671" s="2" t="s">
        <v>204</v>
      </c>
      <c r="F2671" s="3">
        <v>270</v>
      </c>
      <c r="G2671" s="4">
        <v>12</v>
      </c>
      <c r="H2671" s="5">
        <v>0.01</v>
      </c>
    </row>
    <row r="2672" spans="1:8" x14ac:dyDescent="0.35">
      <c r="A2672" s="2" t="s">
        <v>984</v>
      </c>
      <c r="B2672" s="2" t="s">
        <v>785</v>
      </c>
      <c r="C2672" s="2" t="s">
        <v>997</v>
      </c>
      <c r="D2672" s="2" t="s">
        <v>998</v>
      </c>
      <c r="E2672" s="2" t="s">
        <v>59</v>
      </c>
      <c r="F2672" s="3">
        <v>140</v>
      </c>
      <c r="G2672" s="4">
        <v>12</v>
      </c>
      <c r="H2672" s="5">
        <v>0.01</v>
      </c>
    </row>
    <row r="2673" spans="1:8" x14ac:dyDescent="0.35">
      <c r="A2673" s="2" t="s">
        <v>984</v>
      </c>
      <c r="B2673" s="2" t="s">
        <v>785</v>
      </c>
      <c r="C2673" s="2" t="s">
        <v>999</v>
      </c>
      <c r="D2673" s="2" t="s">
        <v>1000</v>
      </c>
      <c r="E2673" s="2" t="s">
        <v>237</v>
      </c>
      <c r="F2673" s="3">
        <v>1500</v>
      </c>
      <c r="G2673" s="4">
        <v>12</v>
      </c>
      <c r="H2673" s="5">
        <v>0.01</v>
      </c>
    </row>
    <row r="2674" spans="1:8" x14ac:dyDescent="0.35">
      <c r="A2674" s="2" t="s">
        <v>984</v>
      </c>
      <c r="B2674" s="2" t="s">
        <v>785</v>
      </c>
      <c r="C2674" s="2" t="s">
        <v>810</v>
      </c>
      <c r="D2674" s="2" t="s">
        <v>811</v>
      </c>
      <c r="E2674" s="2" t="s">
        <v>248</v>
      </c>
      <c r="F2674" s="3">
        <v>400</v>
      </c>
      <c r="G2674" s="4">
        <v>12</v>
      </c>
      <c r="H2674" s="5">
        <v>0.01</v>
      </c>
    </row>
    <row r="2675" spans="1:8" x14ac:dyDescent="0.35">
      <c r="A2675" s="2" t="s">
        <v>984</v>
      </c>
      <c r="B2675" s="2" t="s">
        <v>785</v>
      </c>
      <c r="C2675" s="2" t="s">
        <v>1001</v>
      </c>
      <c r="D2675" s="2" t="s">
        <v>1002</v>
      </c>
      <c r="E2675" s="2" t="s">
        <v>226</v>
      </c>
      <c r="F2675" s="3">
        <v>2549</v>
      </c>
      <c r="G2675" s="4">
        <v>12</v>
      </c>
      <c r="H2675" s="5">
        <v>0.01</v>
      </c>
    </row>
    <row r="2676" spans="1:8" x14ac:dyDescent="0.35">
      <c r="A2676" s="2" t="s">
        <v>984</v>
      </c>
      <c r="B2676" s="2" t="s">
        <v>785</v>
      </c>
      <c r="C2676" s="2" t="s">
        <v>1003</v>
      </c>
      <c r="D2676" s="2" t="s">
        <v>1004</v>
      </c>
      <c r="E2676" s="2" t="s">
        <v>260</v>
      </c>
      <c r="F2676" s="3">
        <v>21000</v>
      </c>
      <c r="G2676" s="4">
        <v>12</v>
      </c>
      <c r="H2676" s="5">
        <v>0.01</v>
      </c>
    </row>
    <row r="2677" spans="1:8" x14ac:dyDescent="0.35">
      <c r="A2677" s="2" t="s">
        <v>984</v>
      </c>
      <c r="B2677" s="2" t="s">
        <v>785</v>
      </c>
      <c r="C2677" s="2" t="s">
        <v>1005</v>
      </c>
      <c r="D2677" s="2" t="s">
        <v>1006</v>
      </c>
      <c r="E2677" s="2" t="s">
        <v>260</v>
      </c>
      <c r="F2677" s="3">
        <v>14000</v>
      </c>
      <c r="G2677" s="4">
        <v>12</v>
      </c>
      <c r="H2677" s="5">
        <v>0.01</v>
      </c>
    </row>
    <row r="2678" spans="1:8" x14ac:dyDescent="0.35">
      <c r="A2678" s="2" t="s">
        <v>984</v>
      </c>
      <c r="B2678" s="2" t="s">
        <v>785</v>
      </c>
      <c r="C2678" s="2" t="s">
        <v>1007</v>
      </c>
      <c r="D2678" s="2" t="s">
        <v>1008</v>
      </c>
      <c r="E2678" s="2" t="s">
        <v>1009</v>
      </c>
      <c r="F2678" s="3">
        <v>80</v>
      </c>
      <c r="G2678" s="4">
        <v>12</v>
      </c>
      <c r="H2678" s="5">
        <v>0</v>
      </c>
    </row>
    <row r="2679" spans="1:8" x14ac:dyDescent="0.35">
      <c r="A2679" s="2" t="s">
        <v>984</v>
      </c>
      <c r="B2679" s="2" t="s">
        <v>785</v>
      </c>
      <c r="C2679" s="2" t="s">
        <v>798</v>
      </c>
      <c r="D2679" s="2" t="s">
        <v>799</v>
      </c>
      <c r="E2679" s="2" t="s">
        <v>92</v>
      </c>
      <c r="F2679" s="3">
        <v>1100</v>
      </c>
      <c r="G2679" s="4">
        <v>12</v>
      </c>
      <c r="H2679" s="5">
        <v>0</v>
      </c>
    </row>
    <row r="2680" spans="1:8" x14ac:dyDescent="0.35">
      <c r="A2680" s="2" t="s">
        <v>984</v>
      </c>
      <c r="B2680" s="2" t="s">
        <v>785</v>
      </c>
      <c r="C2680" s="2" t="s">
        <v>1010</v>
      </c>
      <c r="D2680" s="2" t="s">
        <v>835</v>
      </c>
      <c r="E2680" s="2" t="s">
        <v>836</v>
      </c>
      <c r="F2680" s="3">
        <v>35</v>
      </c>
      <c r="G2680" s="4">
        <v>12</v>
      </c>
      <c r="H2680" s="5">
        <v>0</v>
      </c>
    </row>
    <row r="2681" spans="1:8" x14ac:dyDescent="0.35">
      <c r="A2681" s="2" t="s">
        <v>984</v>
      </c>
      <c r="B2681" s="2" t="s">
        <v>785</v>
      </c>
      <c r="C2681" s="2" t="s">
        <v>1011</v>
      </c>
      <c r="D2681" s="2" t="s">
        <v>824</v>
      </c>
      <c r="E2681" s="2" t="s">
        <v>315</v>
      </c>
      <c r="F2681" s="3">
        <v>60</v>
      </c>
      <c r="G2681" s="4">
        <v>12</v>
      </c>
      <c r="H2681" s="5">
        <v>0</v>
      </c>
    </row>
    <row r="2682" spans="1:8" x14ac:dyDescent="0.35">
      <c r="A2682" s="2" t="s">
        <v>984</v>
      </c>
      <c r="B2682" s="2" t="s">
        <v>785</v>
      </c>
      <c r="C2682" s="2" t="s">
        <v>1012</v>
      </c>
      <c r="D2682" s="2" t="s">
        <v>1013</v>
      </c>
      <c r="E2682" s="2" t="s">
        <v>303</v>
      </c>
      <c r="F2682" s="3">
        <v>25</v>
      </c>
      <c r="G2682" s="4">
        <v>12</v>
      </c>
      <c r="H2682" s="5">
        <v>0</v>
      </c>
    </row>
    <row r="2683" spans="1:8" x14ac:dyDescent="0.35">
      <c r="A2683" s="2" t="s">
        <v>984</v>
      </c>
      <c r="B2683" s="2" t="s">
        <v>785</v>
      </c>
      <c r="C2683" s="2" t="s">
        <v>800</v>
      </c>
      <c r="D2683" s="2" t="s">
        <v>801</v>
      </c>
      <c r="E2683" s="2" t="s">
        <v>104</v>
      </c>
      <c r="F2683" s="3">
        <v>30</v>
      </c>
      <c r="G2683" s="4">
        <v>12</v>
      </c>
      <c r="H2683" s="5">
        <v>0</v>
      </c>
    </row>
    <row r="2684" spans="1:8" x14ac:dyDescent="0.35">
      <c r="A2684" s="2" t="s">
        <v>984</v>
      </c>
      <c r="B2684" s="2" t="s">
        <v>785</v>
      </c>
      <c r="C2684" s="2" t="s">
        <v>1014</v>
      </c>
      <c r="D2684" s="2" t="s">
        <v>1015</v>
      </c>
      <c r="E2684" s="2" t="s">
        <v>300</v>
      </c>
      <c r="F2684" s="3">
        <v>35</v>
      </c>
      <c r="G2684" s="4">
        <v>12</v>
      </c>
      <c r="H2684" s="5">
        <v>0</v>
      </c>
    </row>
    <row r="2685" spans="1:8" x14ac:dyDescent="0.35">
      <c r="A2685" s="2" t="s">
        <v>984</v>
      </c>
      <c r="B2685" s="2" t="s">
        <v>785</v>
      </c>
      <c r="C2685" s="2" t="s">
        <v>829</v>
      </c>
      <c r="D2685" s="2" t="s">
        <v>632</v>
      </c>
      <c r="E2685" s="2" t="s">
        <v>322</v>
      </c>
      <c r="F2685" s="3">
        <v>32</v>
      </c>
      <c r="G2685" s="4">
        <v>12</v>
      </c>
      <c r="H2685" s="5">
        <v>0</v>
      </c>
    </row>
    <row r="2686" spans="1:8" x14ac:dyDescent="0.35">
      <c r="A2686" s="2" t="s">
        <v>984</v>
      </c>
      <c r="B2686" s="2" t="s">
        <v>785</v>
      </c>
      <c r="C2686" s="2" t="s">
        <v>1016</v>
      </c>
      <c r="D2686" s="2" t="s">
        <v>807</v>
      </c>
      <c r="E2686" s="2" t="s">
        <v>115</v>
      </c>
      <c r="F2686" s="3">
        <v>50</v>
      </c>
      <c r="G2686" s="4">
        <v>12</v>
      </c>
      <c r="H2686" s="5">
        <v>0</v>
      </c>
    </row>
    <row r="2687" spans="1:8" x14ac:dyDescent="0.35">
      <c r="A2687" s="2" t="s">
        <v>984</v>
      </c>
      <c r="B2687" s="2" t="s">
        <v>785</v>
      </c>
      <c r="C2687" s="2" t="s">
        <v>837</v>
      </c>
      <c r="D2687" s="2" t="s">
        <v>838</v>
      </c>
      <c r="E2687" s="2" t="s">
        <v>452</v>
      </c>
      <c r="F2687" s="3">
        <v>80</v>
      </c>
      <c r="G2687" s="4">
        <v>1</v>
      </c>
      <c r="H2687" s="5">
        <v>0</v>
      </c>
    </row>
    <row r="2688" spans="1:8" x14ac:dyDescent="0.35">
      <c r="A2688" s="2" t="s">
        <v>984</v>
      </c>
      <c r="B2688" s="2" t="s">
        <v>785</v>
      </c>
      <c r="C2688" s="2" t="s">
        <v>1017</v>
      </c>
      <c r="D2688" s="2" t="s">
        <v>1018</v>
      </c>
      <c r="E2688" s="2" t="s">
        <v>215</v>
      </c>
      <c r="F2688" s="3">
        <v>100</v>
      </c>
      <c r="G2688" s="4">
        <v>12</v>
      </c>
      <c r="H2688" s="5">
        <v>0</v>
      </c>
    </row>
    <row r="2689" spans="1:8" x14ac:dyDescent="0.35">
      <c r="A2689" s="2" t="s">
        <v>984</v>
      </c>
      <c r="B2689" s="2" t="s">
        <v>785</v>
      </c>
      <c r="C2689" s="2" t="s">
        <v>1019</v>
      </c>
      <c r="D2689" s="2" t="s">
        <v>1020</v>
      </c>
      <c r="E2689" s="2" t="s">
        <v>603</v>
      </c>
      <c r="F2689" s="3">
        <v>1500</v>
      </c>
      <c r="G2689" s="4">
        <v>12</v>
      </c>
      <c r="H2689" s="5">
        <v>0.01</v>
      </c>
    </row>
    <row r="2690" spans="1:8" x14ac:dyDescent="0.35">
      <c r="A2690" s="2" t="s">
        <v>984</v>
      </c>
      <c r="B2690" s="2" t="s">
        <v>785</v>
      </c>
      <c r="C2690" s="2" t="s">
        <v>1021</v>
      </c>
      <c r="D2690" s="2" t="s">
        <v>1022</v>
      </c>
      <c r="E2690" s="2" t="s">
        <v>1023</v>
      </c>
      <c r="F2690" s="3">
        <v>120</v>
      </c>
      <c r="G2690" s="4">
        <v>12</v>
      </c>
      <c r="H2690" s="5">
        <v>0.01</v>
      </c>
    </row>
    <row r="2691" spans="1:8" x14ac:dyDescent="0.35">
      <c r="A2691" s="2" t="s">
        <v>984</v>
      </c>
      <c r="B2691" s="2" t="s">
        <v>785</v>
      </c>
      <c r="C2691" s="2" t="s">
        <v>1024</v>
      </c>
      <c r="D2691" s="2" t="s">
        <v>1025</v>
      </c>
      <c r="E2691" s="2" t="s">
        <v>1026</v>
      </c>
      <c r="F2691" s="3">
        <v>42</v>
      </c>
      <c r="G2691" s="4">
        <v>12</v>
      </c>
      <c r="H2691" s="5">
        <v>0.01</v>
      </c>
    </row>
    <row r="2692" spans="1:8" x14ac:dyDescent="0.35">
      <c r="A2692" s="2" t="s">
        <v>984</v>
      </c>
      <c r="B2692" s="2" t="s">
        <v>785</v>
      </c>
      <c r="C2692" s="2" t="s">
        <v>1027</v>
      </c>
      <c r="D2692" s="2" t="s">
        <v>1028</v>
      </c>
      <c r="E2692" s="2" t="s">
        <v>820</v>
      </c>
      <c r="F2692" s="3">
        <v>110</v>
      </c>
      <c r="G2692" s="4">
        <v>12</v>
      </c>
      <c r="H2692" s="5">
        <v>0.01</v>
      </c>
    </row>
    <row r="2693" spans="1:8" x14ac:dyDescent="0.35">
      <c r="A2693" s="2" t="s">
        <v>984</v>
      </c>
      <c r="B2693" s="2" t="s">
        <v>785</v>
      </c>
      <c r="C2693" s="2" t="s">
        <v>1029</v>
      </c>
      <c r="D2693" s="2" t="s">
        <v>1030</v>
      </c>
      <c r="E2693" s="2" t="s">
        <v>1031</v>
      </c>
      <c r="F2693" s="3">
        <v>30</v>
      </c>
      <c r="G2693" s="4">
        <v>12</v>
      </c>
      <c r="H2693" s="5">
        <v>0.01</v>
      </c>
    </row>
    <row r="2694" spans="1:8" x14ac:dyDescent="0.35">
      <c r="A2694" s="2" t="s">
        <v>984</v>
      </c>
      <c r="B2694" s="2" t="s">
        <v>785</v>
      </c>
      <c r="C2694" s="2" t="s">
        <v>1032</v>
      </c>
      <c r="D2694" s="2" t="s">
        <v>1033</v>
      </c>
      <c r="E2694" s="2" t="s">
        <v>1034</v>
      </c>
      <c r="F2694" s="3">
        <v>544.16</v>
      </c>
      <c r="G2694" s="4">
        <v>12</v>
      </c>
      <c r="H2694" s="5">
        <v>0.01</v>
      </c>
    </row>
    <row r="2695" spans="1:8" x14ac:dyDescent="0.35">
      <c r="A2695" s="2" t="s">
        <v>984</v>
      </c>
      <c r="B2695" s="2" t="s">
        <v>785</v>
      </c>
      <c r="C2695" s="2" t="s">
        <v>1035</v>
      </c>
      <c r="D2695" s="2" t="s">
        <v>1036</v>
      </c>
      <c r="E2695" s="2" t="s">
        <v>964</v>
      </c>
      <c r="F2695" s="3">
        <v>82</v>
      </c>
      <c r="G2695" s="4">
        <v>12</v>
      </c>
      <c r="H2695" s="5">
        <v>0.01</v>
      </c>
    </row>
    <row r="2696" spans="1:8" x14ac:dyDescent="0.35">
      <c r="A2696" s="2" t="s">
        <v>984</v>
      </c>
      <c r="B2696" s="2" t="s">
        <v>785</v>
      </c>
      <c r="C2696" s="2" t="s">
        <v>1037</v>
      </c>
      <c r="D2696" s="2" t="s">
        <v>1038</v>
      </c>
      <c r="E2696" s="2" t="s">
        <v>1026</v>
      </c>
      <c r="F2696" s="3">
        <v>190</v>
      </c>
      <c r="G2696" s="4">
        <v>12</v>
      </c>
      <c r="H2696" s="5">
        <v>0.01</v>
      </c>
    </row>
    <row r="2697" spans="1:8" ht="14.5" customHeight="1" x14ac:dyDescent="0.35">
      <c r="A2697" s="2" t="s">
        <v>984</v>
      </c>
      <c r="B2697" s="2" t="s">
        <v>785</v>
      </c>
      <c r="C2697" s="2" t="s">
        <v>1039</v>
      </c>
      <c r="D2697" s="2" t="s">
        <v>1040</v>
      </c>
      <c r="E2697" s="2" t="s">
        <v>1041</v>
      </c>
      <c r="F2697" s="3">
        <v>130</v>
      </c>
      <c r="G2697" s="4">
        <v>12</v>
      </c>
      <c r="H2697" s="5">
        <v>0.01</v>
      </c>
    </row>
    <row r="2698" spans="1:8" x14ac:dyDescent="0.35">
      <c r="A2698" s="2" t="s">
        <v>984</v>
      </c>
      <c r="B2698" s="2" t="s">
        <v>786</v>
      </c>
      <c r="C2698" s="2" t="s">
        <v>985</v>
      </c>
      <c r="D2698" s="2" t="s">
        <v>986</v>
      </c>
      <c r="E2698" s="2" t="s">
        <v>443</v>
      </c>
      <c r="F2698" s="3">
        <v>71.98</v>
      </c>
      <c r="G2698" s="4">
        <v>12</v>
      </c>
      <c r="H2698" s="5">
        <v>0</v>
      </c>
    </row>
    <row r="2699" spans="1:8" x14ac:dyDescent="0.35">
      <c r="A2699" s="2" t="s">
        <v>984</v>
      </c>
      <c r="B2699" s="2" t="s">
        <v>786</v>
      </c>
      <c r="C2699" s="2" t="s">
        <v>987</v>
      </c>
      <c r="D2699" s="2" t="s">
        <v>988</v>
      </c>
      <c r="E2699" s="2" t="s">
        <v>24</v>
      </c>
      <c r="F2699" s="3">
        <v>411.96</v>
      </c>
      <c r="G2699" s="4">
        <v>60</v>
      </c>
      <c r="H2699" s="5">
        <v>0</v>
      </c>
    </row>
    <row r="2700" spans="1:8" x14ac:dyDescent="0.35">
      <c r="A2700" s="2" t="s">
        <v>984</v>
      </c>
      <c r="B2700" s="2" t="s">
        <v>786</v>
      </c>
      <c r="C2700" s="2" t="s">
        <v>989</v>
      </c>
      <c r="D2700" s="2" t="s">
        <v>990</v>
      </c>
      <c r="E2700" s="2" t="s">
        <v>46</v>
      </c>
      <c r="F2700" s="3">
        <v>1687.82</v>
      </c>
      <c r="G2700" s="4">
        <v>60</v>
      </c>
      <c r="H2700" s="5">
        <v>0</v>
      </c>
    </row>
    <row r="2701" spans="1:8" x14ac:dyDescent="0.35">
      <c r="A2701" s="2" t="s">
        <v>984</v>
      </c>
      <c r="B2701" s="2" t="s">
        <v>786</v>
      </c>
      <c r="C2701" s="2" t="s">
        <v>991</v>
      </c>
      <c r="D2701" s="2" t="s">
        <v>992</v>
      </c>
      <c r="E2701" s="2" t="s">
        <v>48</v>
      </c>
      <c r="F2701" s="3">
        <v>437.06</v>
      </c>
      <c r="G2701" s="4">
        <v>60</v>
      </c>
      <c r="H2701" s="5">
        <v>0</v>
      </c>
    </row>
    <row r="2702" spans="1:8" x14ac:dyDescent="0.35">
      <c r="A2702" s="2" t="s">
        <v>984</v>
      </c>
      <c r="B2702" s="2" t="s">
        <v>786</v>
      </c>
      <c r="C2702" s="2" t="s">
        <v>796</v>
      </c>
      <c r="D2702" s="2" t="s">
        <v>797</v>
      </c>
      <c r="E2702" s="2" t="s">
        <v>71</v>
      </c>
      <c r="F2702" s="3">
        <v>333.71</v>
      </c>
      <c r="G2702" s="4">
        <v>60</v>
      </c>
      <c r="H2702" s="5">
        <v>0</v>
      </c>
    </row>
    <row r="2703" spans="1:8" x14ac:dyDescent="0.35">
      <c r="A2703" s="2" t="s">
        <v>984</v>
      </c>
      <c r="B2703" s="2" t="s">
        <v>786</v>
      </c>
      <c r="C2703" s="2" t="s">
        <v>982</v>
      </c>
      <c r="D2703" s="2" t="s">
        <v>983</v>
      </c>
      <c r="E2703" s="2" t="s">
        <v>102</v>
      </c>
      <c r="F2703" s="3">
        <v>96</v>
      </c>
      <c r="G2703" s="4">
        <v>12</v>
      </c>
      <c r="H2703" s="5">
        <v>0</v>
      </c>
    </row>
    <row r="2704" spans="1:8" x14ac:dyDescent="0.35">
      <c r="A2704" s="2" t="s">
        <v>984</v>
      </c>
      <c r="B2704" s="2" t="s">
        <v>786</v>
      </c>
      <c r="C2704" s="2" t="s">
        <v>802</v>
      </c>
      <c r="D2704" s="2" t="s">
        <v>803</v>
      </c>
      <c r="E2704" s="2" t="s">
        <v>147</v>
      </c>
      <c r="F2704" s="3">
        <v>2510</v>
      </c>
      <c r="G2704" s="4">
        <v>60</v>
      </c>
      <c r="H2704" s="5">
        <v>0</v>
      </c>
    </row>
    <row r="2705" spans="1:8" x14ac:dyDescent="0.35">
      <c r="A2705" s="2" t="s">
        <v>984</v>
      </c>
      <c r="B2705" s="2" t="s">
        <v>786</v>
      </c>
      <c r="C2705" s="2" t="s">
        <v>993</v>
      </c>
      <c r="D2705" s="2" t="s">
        <v>994</v>
      </c>
      <c r="E2705" s="2" t="s">
        <v>158</v>
      </c>
      <c r="F2705" s="3">
        <v>2510</v>
      </c>
      <c r="G2705" s="4">
        <v>60</v>
      </c>
      <c r="H2705" s="5">
        <v>0</v>
      </c>
    </row>
    <row r="2706" spans="1:8" x14ac:dyDescent="0.35">
      <c r="A2706" s="2" t="s">
        <v>984</v>
      </c>
      <c r="B2706" s="2" t="s">
        <v>786</v>
      </c>
      <c r="C2706" s="2" t="s">
        <v>804</v>
      </c>
      <c r="D2706" s="2" t="s">
        <v>805</v>
      </c>
      <c r="E2706" s="2" t="s">
        <v>180</v>
      </c>
      <c r="F2706" s="3">
        <v>328.45</v>
      </c>
      <c r="G2706" s="4">
        <v>60</v>
      </c>
      <c r="H2706" s="5">
        <v>0</v>
      </c>
    </row>
    <row r="2707" spans="1:8" x14ac:dyDescent="0.35">
      <c r="A2707" s="2" t="s">
        <v>984</v>
      </c>
      <c r="B2707" s="2" t="s">
        <v>786</v>
      </c>
      <c r="C2707" s="2" t="s">
        <v>995</v>
      </c>
      <c r="D2707" s="2" t="s">
        <v>996</v>
      </c>
      <c r="E2707" s="2" t="s">
        <v>204</v>
      </c>
      <c r="F2707" s="3">
        <v>360</v>
      </c>
      <c r="G2707" s="4">
        <v>60</v>
      </c>
      <c r="H2707" s="5">
        <v>0</v>
      </c>
    </row>
    <row r="2708" spans="1:8" x14ac:dyDescent="0.35">
      <c r="A2708" s="2" t="s">
        <v>984</v>
      </c>
      <c r="B2708" s="2" t="s">
        <v>786</v>
      </c>
      <c r="C2708" s="2" t="s">
        <v>997</v>
      </c>
      <c r="D2708" s="2" t="s">
        <v>998</v>
      </c>
      <c r="E2708" s="2" t="s">
        <v>59</v>
      </c>
      <c r="F2708" s="3">
        <v>142.13999999999999</v>
      </c>
      <c r="G2708" s="4">
        <v>60</v>
      </c>
      <c r="H2708" s="5">
        <v>0</v>
      </c>
    </row>
    <row r="2709" spans="1:8" x14ac:dyDescent="0.35">
      <c r="A2709" s="2" t="s">
        <v>984</v>
      </c>
      <c r="B2709" s="2" t="s">
        <v>786</v>
      </c>
      <c r="C2709" s="2" t="s">
        <v>999</v>
      </c>
      <c r="D2709" s="2" t="s">
        <v>1000</v>
      </c>
      <c r="E2709" s="2" t="s">
        <v>237</v>
      </c>
      <c r="F2709" s="3">
        <v>1845</v>
      </c>
      <c r="G2709" s="4">
        <v>60</v>
      </c>
      <c r="H2709" s="5">
        <v>0</v>
      </c>
    </row>
    <row r="2710" spans="1:8" x14ac:dyDescent="0.35">
      <c r="A2710" s="2" t="s">
        <v>984</v>
      </c>
      <c r="B2710" s="2" t="s">
        <v>786</v>
      </c>
      <c r="C2710" s="2" t="s">
        <v>810</v>
      </c>
      <c r="D2710" s="2" t="s">
        <v>811</v>
      </c>
      <c r="E2710" s="2" t="s">
        <v>248</v>
      </c>
      <c r="F2710" s="3">
        <v>568.63</v>
      </c>
      <c r="G2710" s="4">
        <v>60</v>
      </c>
      <c r="H2710" s="5">
        <v>0</v>
      </c>
    </row>
    <row r="2711" spans="1:8" x14ac:dyDescent="0.35">
      <c r="A2711" s="2" t="s">
        <v>984</v>
      </c>
      <c r="B2711" s="2" t="s">
        <v>786</v>
      </c>
      <c r="C2711" s="2" t="s">
        <v>1001</v>
      </c>
      <c r="D2711" s="2" t="s">
        <v>1002</v>
      </c>
      <c r="E2711" s="2" t="s">
        <v>226</v>
      </c>
      <c r="F2711" s="3">
        <v>2400</v>
      </c>
      <c r="G2711" s="4">
        <v>60</v>
      </c>
      <c r="H2711" s="5">
        <v>0</v>
      </c>
    </row>
    <row r="2712" spans="1:8" x14ac:dyDescent="0.35">
      <c r="A2712" s="2" t="s">
        <v>984</v>
      </c>
      <c r="B2712" s="2" t="s">
        <v>786</v>
      </c>
      <c r="C2712" s="2" t="s">
        <v>1003</v>
      </c>
      <c r="D2712" s="2" t="s">
        <v>1004</v>
      </c>
      <c r="E2712" s="2" t="s">
        <v>260</v>
      </c>
      <c r="F2712" s="3">
        <v>21523.200000000001</v>
      </c>
      <c r="G2712" s="4">
        <v>60</v>
      </c>
      <c r="H2712" s="5">
        <v>0</v>
      </c>
    </row>
    <row r="2713" spans="1:8" x14ac:dyDescent="0.35">
      <c r="A2713" s="2" t="s">
        <v>984</v>
      </c>
      <c r="B2713" s="2" t="s">
        <v>786</v>
      </c>
      <c r="C2713" s="2" t="s">
        <v>1005</v>
      </c>
      <c r="D2713" s="2" t="s">
        <v>1006</v>
      </c>
      <c r="E2713" s="2" t="s">
        <v>260</v>
      </c>
      <c r="F2713" s="3">
        <v>11971.2</v>
      </c>
      <c r="G2713" s="4">
        <v>60</v>
      </c>
      <c r="H2713" s="5">
        <v>0</v>
      </c>
    </row>
    <row r="2714" spans="1:8" x14ac:dyDescent="0.35">
      <c r="A2714" s="2" t="s">
        <v>984</v>
      </c>
      <c r="B2714" s="2" t="s">
        <v>786</v>
      </c>
      <c r="C2714" s="2" t="s">
        <v>1007</v>
      </c>
      <c r="D2714" s="2" t="s">
        <v>1008</v>
      </c>
      <c r="E2714" s="2" t="s">
        <v>1009</v>
      </c>
      <c r="F2714" s="3">
        <v>250.5</v>
      </c>
      <c r="G2714" s="4">
        <v>48</v>
      </c>
      <c r="H2714" s="5">
        <v>0</v>
      </c>
    </row>
    <row r="2715" spans="1:8" x14ac:dyDescent="0.35">
      <c r="A2715" s="2" t="s">
        <v>984</v>
      </c>
      <c r="B2715" s="2" t="s">
        <v>786</v>
      </c>
      <c r="C2715" s="2" t="s">
        <v>798</v>
      </c>
      <c r="D2715" s="2" t="s">
        <v>799</v>
      </c>
      <c r="E2715" s="2" t="s">
        <v>92</v>
      </c>
      <c r="F2715" s="3">
        <v>2000</v>
      </c>
      <c r="G2715" s="4">
        <v>48</v>
      </c>
      <c r="H2715" s="5">
        <v>0</v>
      </c>
    </row>
    <row r="2716" spans="1:8" x14ac:dyDescent="0.35">
      <c r="A2716" s="2" t="s">
        <v>984</v>
      </c>
      <c r="B2716" s="2" t="s">
        <v>786</v>
      </c>
      <c r="C2716" s="2" t="s">
        <v>1010</v>
      </c>
      <c r="D2716" s="2" t="s">
        <v>835</v>
      </c>
      <c r="E2716" s="2" t="s">
        <v>836</v>
      </c>
      <c r="F2716" s="3">
        <v>88.86</v>
      </c>
      <c r="G2716" s="4">
        <v>48</v>
      </c>
      <c r="H2716" s="5">
        <v>0</v>
      </c>
    </row>
    <row r="2717" spans="1:8" x14ac:dyDescent="0.35">
      <c r="A2717" s="2" t="s">
        <v>984</v>
      </c>
      <c r="B2717" s="2" t="s">
        <v>786</v>
      </c>
      <c r="C2717" s="2" t="s">
        <v>1011</v>
      </c>
      <c r="D2717" s="2" t="s">
        <v>824</v>
      </c>
      <c r="E2717" s="2" t="s">
        <v>315</v>
      </c>
      <c r="F2717" s="3">
        <v>118.09</v>
      </c>
      <c r="G2717" s="4">
        <v>48</v>
      </c>
      <c r="H2717" s="5">
        <v>0</v>
      </c>
    </row>
    <row r="2718" spans="1:8" x14ac:dyDescent="0.35">
      <c r="A2718" s="2" t="s">
        <v>984</v>
      </c>
      <c r="B2718" s="2" t="s">
        <v>786</v>
      </c>
      <c r="C2718" s="2" t="s">
        <v>1012</v>
      </c>
      <c r="D2718" s="2" t="s">
        <v>1013</v>
      </c>
      <c r="E2718" s="2" t="s">
        <v>303</v>
      </c>
      <c r="F2718" s="3">
        <v>25</v>
      </c>
      <c r="G2718" s="4">
        <v>48</v>
      </c>
      <c r="H2718" s="5">
        <v>0</v>
      </c>
    </row>
    <row r="2719" spans="1:8" x14ac:dyDescent="0.35">
      <c r="A2719" s="2" t="s">
        <v>984</v>
      </c>
      <c r="B2719" s="2" t="s">
        <v>786</v>
      </c>
      <c r="C2719" s="2" t="s">
        <v>800</v>
      </c>
      <c r="D2719" s="2" t="s">
        <v>801</v>
      </c>
      <c r="E2719" s="2" t="s">
        <v>104</v>
      </c>
      <c r="F2719" s="3">
        <v>34.75</v>
      </c>
      <c r="G2719" s="4">
        <v>48</v>
      </c>
      <c r="H2719" s="5">
        <v>0</v>
      </c>
    </row>
    <row r="2720" spans="1:8" x14ac:dyDescent="0.35">
      <c r="A2720" s="2" t="s">
        <v>984</v>
      </c>
      <c r="B2720" s="2" t="s">
        <v>786</v>
      </c>
      <c r="C2720" s="2" t="s">
        <v>1014</v>
      </c>
      <c r="D2720" s="2" t="s">
        <v>1015</v>
      </c>
      <c r="E2720" s="2" t="s">
        <v>300</v>
      </c>
      <c r="F2720" s="3">
        <v>56.62</v>
      </c>
      <c r="G2720" s="4">
        <v>48</v>
      </c>
      <c r="H2720" s="5">
        <v>0</v>
      </c>
    </row>
    <row r="2721" spans="1:8" x14ac:dyDescent="0.35">
      <c r="A2721" s="2" t="s">
        <v>984</v>
      </c>
      <c r="B2721" s="2" t="s">
        <v>786</v>
      </c>
      <c r="C2721" s="2" t="s">
        <v>829</v>
      </c>
      <c r="D2721" s="2" t="s">
        <v>632</v>
      </c>
      <c r="E2721" s="2" t="s">
        <v>322</v>
      </c>
      <c r="F2721" s="3">
        <v>52.32</v>
      </c>
      <c r="G2721" s="4">
        <v>48</v>
      </c>
      <c r="H2721" s="5">
        <v>0</v>
      </c>
    </row>
    <row r="2722" spans="1:8" x14ac:dyDescent="0.35">
      <c r="A2722" s="2" t="s">
        <v>984</v>
      </c>
      <c r="B2722" s="2" t="s">
        <v>786</v>
      </c>
      <c r="C2722" s="2" t="s">
        <v>1016</v>
      </c>
      <c r="D2722" s="2" t="s">
        <v>807</v>
      </c>
      <c r="E2722" s="2" t="s">
        <v>115</v>
      </c>
      <c r="F2722" s="3">
        <v>88.86</v>
      </c>
      <c r="G2722" s="4">
        <v>48</v>
      </c>
      <c r="H2722" s="5">
        <v>0</v>
      </c>
    </row>
    <row r="2723" spans="1:8" x14ac:dyDescent="0.35">
      <c r="A2723" s="2" t="s">
        <v>984</v>
      </c>
      <c r="B2723" s="2" t="s">
        <v>786</v>
      </c>
      <c r="C2723" s="2" t="s">
        <v>837</v>
      </c>
      <c r="D2723" s="2" t="s">
        <v>838</v>
      </c>
      <c r="E2723" s="2" t="s">
        <v>452</v>
      </c>
      <c r="F2723" s="3">
        <v>95</v>
      </c>
      <c r="G2723" s="4">
        <v>36</v>
      </c>
      <c r="H2723" s="5">
        <v>0</v>
      </c>
    </row>
    <row r="2724" spans="1:8" x14ac:dyDescent="0.35">
      <c r="A2724" s="2" t="s">
        <v>984</v>
      </c>
      <c r="B2724" s="2" t="s">
        <v>786</v>
      </c>
      <c r="C2724" s="2" t="s">
        <v>1017</v>
      </c>
      <c r="D2724" s="2" t="s">
        <v>1018</v>
      </c>
      <c r="E2724" s="2" t="s">
        <v>215</v>
      </c>
      <c r="F2724" s="3">
        <v>100</v>
      </c>
      <c r="G2724" s="4">
        <v>36</v>
      </c>
      <c r="H2724" s="5">
        <v>0</v>
      </c>
    </row>
    <row r="2725" spans="1:8" x14ac:dyDescent="0.35">
      <c r="A2725" s="2" t="s">
        <v>984</v>
      </c>
      <c r="B2725" s="2" t="s">
        <v>786</v>
      </c>
      <c r="C2725" s="2" t="s">
        <v>1019</v>
      </c>
      <c r="D2725" s="2" t="s">
        <v>1020</v>
      </c>
      <c r="E2725" s="2" t="s">
        <v>603</v>
      </c>
      <c r="F2725" s="3">
        <v>1455</v>
      </c>
      <c r="G2725" s="4">
        <v>36</v>
      </c>
      <c r="H2725" s="5">
        <v>0</v>
      </c>
    </row>
    <row r="2726" spans="1:8" x14ac:dyDescent="0.35">
      <c r="A2726" s="2" t="s">
        <v>984</v>
      </c>
      <c r="B2726" s="2" t="s">
        <v>786</v>
      </c>
      <c r="C2726" s="2" t="s">
        <v>1021</v>
      </c>
      <c r="D2726" s="2" t="s">
        <v>1022</v>
      </c>
      <c r="E2726" s="2" t="s">
        <v>1023</v>
      </c>
      <c r="F2726" s="3">
        <v>39.130000000000003</v>
      </c>
      <c r="G2726" s="4">
        <v>48</v>
      </c>
      <c r="H2726" s="5">
        <v>0</v>
      </c>
    </row>
    <row r="2727" spans="1:8" x14ac:dyDescent="0.35">
      <c r="A2727" s="2" t="s">
        <v>984</v>
      </c>
      <c r="B2727" s="2" t="s">
        <v>786</v>
      </c>
      <c r="C2727" s="2" t="s">
        <v>1024</v>
      </c>
      <c r="D2727" s="2" t="s">
        <v>1025</v>
      </c>
      <c r="E2727" s="2" t="s">
        <v>1026</v>
      </c>
      <c r="F2727" s="3">
        <v>38.229999999999997</v>
      </c>
      <c r="G2727" s="4">
        <v>48</v>
      </c>
      <c r="H2727" s="5">
        <v>0</v>
      </c>
    </row>
    <row r="2728" spans="1:8" x14ac:dyDescent="0.35">
      <c r="A2728" s="2" t="s">
        <v>984</v>
      </c>
      <c r="B2728" s="2" t="s">
        <v>786</v>
      </c>
      <c r="C2728" s="2" t="s">
        <v>1027</v>
      </c>
      <c r="D2728" s="2" t="s">
        <v>1028</v>
      </c>
      <c r="E2728" s="2" t="s">
        <v>820</v>
      </c>
      <c r="F2728" s="3">
        <v>110</v>
      </c>
      <c r="G2728" s="4">
        <v>48</v>
      </c>
      <c r="H2728" s="5">
        <v>0</v>
      </c>
    </row>
    <row r="2729" spans="1:8" x14ac:dyDescent="0.35">
      <c r="A2729" s="2" t="s">
        <v>984</v>
      </c>
      <c r="B2729" s="2" t="s">
        <v>786</v>
      </c>
      <c r="C2729" s="2" t="s">
        <v>1029</v>
      </c>
      <c r="D2729" s="2" t="s">
        <v>1030</v>
      </c>
      <c r="E2729" s="2" t="s">
        <v>1031</v>
      </c>
      <c r="F2729" s="3">
        <v>72.650000000000006</v>
      </c>
      <c r="G2729" s="4">
        <v>48</v>
      </c>
      <c r="H2729" s="5">
        <v>0</v>
      </c>
    </row>
    <row r="2730" spans="1:8" x14ac:dyDescent="0.35">
      <c r="A2730" s="2" t="s">
        <v>984</v>
      </c>
      <c r="B2730" s="2" t="s">
        <v>786</v>
      </c>
      <c r="C2730" s="2" t="s">
        <v>1032</v>
      </c>
      <c r="D2730" s="2" t="s">
        <v>1033</v>
      </c>
      <c r="E2730" s="2" t="s">
        <v>1034</v>
      </c>
      <c r="F2730" s="3">
        <v>544.16</v>
      </c>
      <c r="G2730" s="4">
        <v>48</v>
      </c>
      <c r="H2730" s="5">
        <v>0</v>
      </c>
    </row>
    <row r="2731" spans="1:8" x14ac:dyDescent="0.35">
      <c r="A2731" s="2" t="s">
        <v>984</v>
      </c>
      <c r="B2731" s="2" t="s">
        <v>786</v>
      </c>
      <c r="C2731" s="2" t="s">
        <v>1035</v>
      </c>
      <c r="D2731" s="2" t="s">
        <v>1036</v>
      </c>
      <c r="E2731" s="2" t="s">
        <v>964</v>
      </c>
      <c r="F2731" s="3">
        <v>80.540000000000006</v>
      </c>
      <c r="G2731" s="4">
        <v>48</v>
      </c>
      <c r="H2731" s="5">
        <v>0</v>
      </c>
    </row>
    <row r="2732" spans="1:8" x14ac:dyDescent="0.35">
      <c r="A2732" s="2" t="s">
        <v>984</v>
      </c>
      <c r="B2732" s="2" t="s">
        <v>786</v>
      </c>
      <c r="C2732" s="2" t="s">
        <v>1037</v>
      </c>
      <c r="D2732" s="2" t="s">
        <v>1038</v>
      </c>
      <c r="E2732" s="2" t="s">
        <v>1026</v>
      </c>
      <c r="F2732" s="3">
        <v>174</v>
      </c>
      <c r="G2732" s="4">
        <v>48</v>
      </c>
      <c r="H2732" s="5">
        <v>0</v>
      </c>
    </row>
    <row r="2733" spans="1:8" ht="14.5" customHeight="1" x14ac:dyDescent="0.35">
      <c r="A2733" s="2" t="s">
        <v>984</v>
      </c>
      <c r="B2733" s="2" t="s">
        <v>786</v>
      </c>
      <c r="C2733" s="2" t="s">
        <v>1039</v>
      </c>
      <c r="D2733" s="2" t="s">
        <v>1040</v>
      </c>
      <c r="E2733" s="2" t="s">
        <v>1041</v>
      </c>
      <c r="F2733" s="3">
        <v>130</v>
      </c>
      <c r="G2733" s="4">
        <v>48</v>
      </c>
      <c r="H2733" s="5">
        <v>0</v>
      </c>
    </row>
    <row r="2734" spans="1:8" x14ac:dyDescent="0.35">
      <c r="A2734" s="2" t="s">
        <v>984</v>
      </c>
      <c r="B2734" s="2" t="s">
        <v>447</v>
      </c>
      <c r="C2734" s="2" t="s">
        <v>985</v>
      </c>
      <c r="D2734" s="2" t="s">
        <v>986</v>
      </c>
      <c r="E2734" s="2" t="s">
        <v>443</v>
      </c>
      <c r="F2734" s="3">
        <v>29</v>
      </c>
      <c r="G2734" s="4">
        <v>1</v>
      </c>
      <c r="H2734" s="5">
        <v>0</v>
      </c>
    </row>
    <row r="2735" spans="1:8" x14ac:dyDescent="0.35">
      <c r="A2735" s="2" t="s">
        <v>984</v>
      </c>
      <c r="B2735" s="2" t="s">
        <v>447</v>
      </c>
      <c r="C2735" s="2" t="s">
        <v>987</v>
      </c>
      <c r="D2735" s="2" t="s">
        <v>988</v>
      </c>
      <c r="E2735" s="2" t="s">
        <v>24</v>
      </c>
      <c r="F2735" s="3">
        <v>250</v>
      </c>
      <c r="G2735" s="4">
        <v>60</v>
      </c>
      <c r="H2735" s="5">
        <v>0</v>
      </c>
    </row>
    <row r="2736" spans="1:8" x14ac:dyDescent="0.35">
      <c r="A2736" s="2" t="s">
        <v>984</v>
      </c>
      <c r="B2736" s="2" t="s">
        <v>447</v>
      </c>
      <c r="C2736" s="2" t="s">
        <v>989</v>
      </c>
      <c r="D2736" s="2" t="s">
        <v>990</v>
      </c>
      <c r="E2736" s="2" t="s">
        <v>46</v>
      </c>
      <c r="F2736" s="3">
        <v>1350</v>
      </c>
      <c r="G2736" s="4">
        <v>60</v>
      </c>
      <c r="H2736" s="5">
        <v>7.4999999999999997E-3</v>
      </c>
    </row>
    <row r="2737" spans="1:8" x14ac:dyDescent="0.35">
      <c r="A2737" s="2" t="s">
        <v>984</v>
      </c>
      <c r="B2737" s="2" t="s">
        <v>447</v>
      </c>
      <c r="C2737" s="2" t="s">
        <v>991</v>
      </c>
      <c r="D2737" s="2" t="s">
        <v>992</v>
      </c>
      <c r="E2737" s="2" t="s">
        <v>48</v>
      </c>
      <c r="F2737" s="3">
        <v>350.25</v>
      </c>
      <c r="G2737" s="4">
        <v>60</v>
      </c>
      <c r="H2737" s="5">
        <v>0</v>
      </c>
    </row>
    <row r="2738" spans="1:8" x14ac:dyDescent="0.35">
      <c r="A2738" s="2" t="s">
        <v>984</v>
      </c>
      <c r="B2738" s="2" t="s">
        <v>447</v>
      </c>
      <c r="C2738" s="2" t="s">
        <v>796</v>
      </c>
      <c r="D2738" s="2" t="s">
        <v>797</v>
      </c>
      <c r="E2738" s="2" t="s">
        <v>71</v>
      </c>
      <c r="F2738" s="3">
        <v>200</v>
      </c>
      <c r="G2738" s="4">
        <v>60</v>
      </c>
      <c r="H2738" s="5">
        <v>0</v>
      </c>
    </row>
    <row r="2739" spans="1:8" x14ac:dyDescent="0.35">
      <c r="A2739" s="2" t="s">
        <v>984</v>
      </c>
      <c r="B2739" s="2" t="s">
        <v>447</v>
      </c>
      <c r="C2739" s="2" t="s">
        <v>982</v>
      </c>
      <c r="D2739" s="2" t="s">
        <v>983</v>
      </c>
      <c r="E2739" s="2" t="s">
        <v>102</v>
      </c>
      <c r="F2739" s="3">
        <v>50</v>
      </c>
      <c r="G2739" s="4">
        <v>1</v>
      </c>
      <c r="H2739" s="5">
        <v>0</v>
      </c>
    </row>
    <row r="2740" spans="1:8" x14ac:dyDescent="0.35">
      <c r="A2740" s="2" t="s">
        <v>984</v>
      </c>
      <c r="B2740" s="2" t="s">
        <v>447</v>
      </c>
      <c r="C2740" s="2" t="s">
        <v>802</v>
      </c>
      <c r="D2740" s="2" t="s">
        <v>803</v>
      </c>
      <c r="E2740" s="2" t="s">
        <v>147</v>
      </c>
      <c r="F2740" s="3">
        <v>1400</v>
      </c>
      <c r="G2740" s="4">
        <v>60</v>
      </c>
      <c r="H2740" s="5">
        <v>7.4999999999999997E-3</v>
      </c>
    </row>
    <row r="2741" spans="1:8" x14ac:dyDescent="0.35">
      <c r="A2741" s="2" t="s">
        <v>984</v>
      </c>
      <c r="B2741" s="2" t="s">
        <v>447</v>
      </c>
      <c r="C2741" s="2" t="s">
        <v>993</v>
      </c>
      <c r="D2741" s="2" t="s">
        <v>994</v>
      </c>
      <c r="E2741" s="2" t="s">
        <v>158</v>
      </c>
      <c r="F2741" s="3">
        <v>2000</v>
      </c>
      <c r="G2741" s="4">
        <v>60</v>
      </c>
      <c r="H2741" s="5">
        <v>7.4999999999999997E-3</v>
      </c>
    </row>
    <row r="2742" spans="1:8" x14ac:dyDescent="0.35">
      <c r="A2742" s="2" t="s">
        <v>984</v>
      </c>
      <c r="B2742" s="2" t="s">
        <v>447</v>
      </c>
      <c r="C2742" s="2" t="s">
        <v>804</v>
      </c>
      <c r="D2742" s="2" t="s">
        <v>805</v>
      </c>
      <c r="E2742" s="2" t="s">
        <v>180</v>
      </c>
      <c r="F2742" s="3">
        <v>150</v>
      </c>
      <c r="G2742" s="4">
        <v>60</v>
      </c>
      <c r="H2742" s="5">
        <v>0</v>
      </c>
    </row>
    <row r="2743" spans="1:8" x14ac:dyDescent="0.35">
      <c r="A2743" s="2" t="s">
        <v>984</v>
      </c>
      <c r="B2743" s="2" t="s">
        <v>447</v>
      </c>
      <c r="C2743" s="2" t="s">
        <v>995</v>
      </c>
      <c r="D2743" s="2" t="s">
        <v>996</v>
      </c>
      <c r="E2743" s="2" t="s">
        <v>204</v>
      </c>
      <c r="F2743" s="3">
        <v>270</v>
      </c>
      <c r="G2743" s="4">
        <v>60</v>
      </c>
      <c r="H2743" s="5">
        <v>0</v>
      </c>
    </row>
    <row r="2744" spans="1:8" x14ac:dyDescent="0.35">
      <c r="A2744" s="2" t="s">
        <v>984</v>
      </c>
      <c r="B2744" s="2" t="s">
        <v>447</v>
      </c>
      <c r="C2744" s="2" t="s">
        <v>997</v>
      </c>
      <c r="D2744" s="2" t="s">
        <v>998</v>
      </c>
      <c r="E2744" s="2" t="s">
        <v>59</v>
      </c>
      <c r="F2744" s="3">
        <v>140</v>
      </c>
      <c r="G2744" s="4">
        <v>60</v>
      </c>
      <c r="H2744" s="5">
        <v>0</v>
      </c>
    </row>
    <row r="2745" spans="1:8" x14ac:dyDescent="0.35">
      <c r="A2745" s="2" t="s">
        <v>984</v>
      </c>
      <c r="B2745" s="2" t="s">
        <v>447</v>
      </c>
      <c r="C2745" s="2" t="s">
        <v>999</v>
      </c>
      <c r="D2745" s="2" t="s">
        <v>1000</v>
      </c>
      <c r="E2745" s="2" t="s">
        <v>237</v>
      </c>
      <c r="F2745" s="3">
        <v>1500</v>
      </c>
      <c r="G2745" s="4">
        <v>60</v>
      </c>
      <c r="H2745" s="5">
        <v>0</v>
      </c>
    </row>
    <row r="2746" spans="1:8" x14ac:dyDescent="0.35">
      <c r="A2746" s="2" t="s">
        <v>984</v>
      </c>
      <c r="B2746" s="2" t="s">
        <v>447</v>
      </c>
      <c r="C2746" s="2" t="s">
        <v>810</v>
      </c>
      <c r="D2746" s="2" t="s">
        <v>811</v>
      </c>
      <c r="E2746" s="2" t="s">
        <v>248</v>
      </c>
      <c r="F2746" s="3">
        <v>400</v>
      </c>
      <c r="G2746" s="4">
        <v>60</v>
      </c>
      <c r="H2746" s="5">
        <v>0</v>
      </c>
    </row>
    <row r="2747" spans="1:8" x14ac:dyDescent="0.35">
      <c r="A2747" s="2" t="s">
        <v>984</v>
      </c>
      <c r="B2747" s="2" t="s">
        <v>447</v>
      </c>
      <c r="C2747" s="2" t="s">
        <v>1001</v>
      </c>
      <c r="D2747" s="2" t="s">
        <v>1002</v>
      </c>
      <c r="E2747" s="2" t="s">
        <v>226</v>
      </c>
      <c r="F2747" s="3">
        <v>2000</v>
      </c>
      <c r="G2747" s="4">
        <v>60</v>
      </c>
      <c r="H2747" s="5">
        <v>7.4999999999999997E-3</v>
      </c>
    </row>
    <row r="2748" spans="1:8" x14ac:dyDescent="0.35">
      <c r="A2748" s="2" t="s">
        <v>984</v>
      </c>
      <c r="B2748" s="2" t="s">
        <v>447</v>
      </c>
      <c r="C2748" s="2" t="s">
        <v>1003</v>
      </c>
      <c r="D2748" s="2" t="s">
        <v>1004</v>
      </c>
      <c r="E2748" s="2" t="s">
        <v>260</v>
      </c>
      <c r="F2748" s="3">
        <v>20000</v>
      </c>
      <c r="G2748" s="4">
        <v>60</v>
      </c>
      <c r="H2748" s="5">
        <v>7.4999999999999997E-3</v>
      </c>
    </row>
    <row r="2749" spans="1:8" x14ac:dyDescent="0.35">
      <c r="A2749" s="2" t="s">
        <v>984</v>
      </c>
      <c r="B2749" s="2" t="s">
        <v>447</v>
      </c>
      <c r="C2749" s="2" t="s">
        <v>1005</v>
      </c>
      <c r="D2749" s="2" t="s">
        <v>1006</v>
      </c>
      <c r="E2749" s="2" t="s">
        <v>260</v>
      </c>
      <c r="F2749" s="3">
        <v>9800</v>
      </c>
      <c r="G2749" s="4">
        <v>60</v>
      </c>
      <c r="H2749" s="5">
        <v>7.4999999999999997E-3</v>
      </c>
    </row>
    <row r="2750" spans="1:8" x14ac:dyDescent="0.35">
      <c r="A2750" s="2" t="s">
        <v>984</v>
      </c>
      <c r="B2750" s="2" t="s">
        <v>447</v>
      </c>
      <c r="C2750" s="2" t="s">
        <v>1007</v>
      </c>
      <c r="D2750" s="2" t="s">
        <v>1008</v>
      </c>
      <c r="E2750" s="2" t="s">
        <v>1009</v>
      </c>
      <c r="F2750" s="3">
        <v>80</v>
      </c>
      <c r="G2750" s="4">
        <v>60</v>
      </c>
      <c r="H2750" s="5">
        <v>0</v>
      </c>
    </row>
    <row r="2751" spans="1:8" x14ac:dyDescent="0.35">
      <c r="A2751" s="2" t="s">
        <v>984</v>
      </c>
      <c r="B2751" s="2" t="s">
        <v>447</v>
      </c>
      <c r="C2751" s="2" t="s">
        <v>798</v>
      </c>
      <c r="D2751" s="2" t="s">
        <v>799</v>
      </c>
      <c r="E2751" s="2" t="s">
        <v>92</v>
      </c>
      <c r="F2751" s="3">
        <v>1100</v>
      </c>
      <c r="G2751" s="4">
        <v>60</v>
      </c>
      <c r="H2751" s="5">
        <v>0</v>
      </c>
    </row>
    <row r="2752" spans="1:8" x14ac:dyDescent="0.35">
      <c r="A2752" s="2" t="s">
        <v>984</v>
      </c>
      <c r="B2752" s="2" t="s">
        <v>447</v>
      </c>
      <c r="C2752" s="2" t="s">
        <v>1010</v>
      </c>
      <c r="D2752" s="2" t="s">
        <v>835</v>
      </c>
      <c r="E2752" s="2" t="s">
        <v>836</v>
      </c>
      <c r="F2752" s="3">
        <v>35</v>
      </c>
      <c r="G2752" s="4">
        <v>12</v>
      </c>
      <c r="H2752" s="5">
        <v>0</v>
      </c>
    </row>
    <row r="2753" spans="1:8" x14ac:dyDescent="0.35">
      <c r="A2753" s="2" t="s">
        <v>984</v>
      </c>
      <c r="B2753" s="2" t="s">
        <v>447</v>
      </c>
      <c r="C2753" s="2" t="s">
        <v>1011</v>
      </c>
      <c r="D2753" s="2" t="s">
        <v>824</v>
      </c>
      <c r="E2753" s="2" t="s">
        <v>315</v>
      </c>
      <c r="F2753" s="3">
        <v>60</v>
      </c>
      <c r="G2753" s="4">
        <v>12</v>
      </c>
      <c r="H2753" s="5">
        <v>0</v>
      </c>
    </row>
    <row r="2754" spans="1:8" x14ac:dyDescent="0.35">
      <c r="A2754" s="2" t="s">
        <v>984</v>
      </c>
      <c r="B2754" s="2" t="s">
        <v>447</v>
      </c>
      <c r="C2754" s="2" t="s">
        <v>1012</v>
      </c>
      <c r="D2754" s="2" t="s">
        <v>1013</v>
      </c>
      <c r="E2754" s="2" t="s">
        <v>303</v>
      </c>
      <c r="F2754" s="3">
        <v>25</v>
      </c>
      <c r="G2754" s="4">
        <v>36</v>
      </c>
      <c r="H2754" s="5">
        <v>0</v>
      </c>
    </row>
    <row r="2755" spans="1:8" x14ac:dyDescent="0.35">
      <c r="A2755" s="2" t="s">
        <v>984</v>
      </c>
      <c r="B2755" s="2" t="s">
        <v>447</v>
      </c>
      <c r="C2755" s="2" t="s">
        <v>800</v>
      </c>
      <c r="D2755" s="2" t="s">
        <v>801</v>
      </c>
      <c r="E2755" s="2" t="s">
        <v>104</v>
      </c>
      <c r="F2755" s="3">
        <v>30</v>
      </c>
      <c r="G2755" s="4">
        <v>36</v>
      </c>
      <c r="H2755" s="5">
        <v>0</v>
      </c>
    </row>
    <row r="2756" spans="1:8" x14ac:dyDescent="0.35">
      <c r="A2756" s="2" t="s">
        <v>984</v>
      </c>
      <c r="B2756" s="2" t="s">
        <v>447</v>
      </c>
      <c r="C2756" s="2" t="s">
        <v>1014</v>
      </c>
      <c r="D2756" s="2" t="s">
        <v>1015</v>
      </c>
      <c r="E2756" s="2" t="s">
        <v>300</v>
      </c>
      <c r="F2756" s="3">
        <v>35</v>
      </c>
      <c r="G2756" s="4">
        <v>12</v>
      </c>
      <c r="H2756" s="5">
        <v>0</v>
      </c>
    </row>
    <row r="2757" spans="1:8" x14ac:dyDescent="0.35">
      <c r="A2757" s="2" t="s">
        <v>984</v>
      </c>
      <c r="B2757" s="2" t="s">
        <v>447</v>
      </c>
      <c r="C2757" s="2" t="s">
        <v>829</v>
      </c>
      <c r="D2757" s="2" t="s">
        <v>632</v>
      </c>
      <c r="E2757" s="2" t="s">
        <v>322</v>
      </c>
      <c r="F2757" s="3">
        <v>32</v>
      </c>
      <c r="G2757" s="4">
        <v>60</v>
      </c>
      <c r="H2757" s="5">
        <v>0</v>
      </c>
    </row>
    <row r="2758" spans="1:8" x14ac:dyDescent="0.35">
      <c r="A2758" s="2" t="s">
        <v>984</v>
      </c>
      <c r="B2758" s="2" t="s">
        <v>447</v>
      </c>
      <c r="C2758" s="2" t="s">
        <v>1016</v>
      </c>
      <c r="D2758" s="2" t="s">
        <v>807</v>
      </c>
      <c r="E2758" s="2" t="s">
        <v>115</v>
      </c>
      <c r="F2758" s="3">
        <v>50</v>
      </c>
      <c r="G2758" s="4">
        <v>12</v>
      </c>
      <c r="H2758" s="5">
        <v>0</v>
      </c>
    </row>
    <row r="2759" spans="1:8" x14ac:dyDescent="0.35">
      <c r="A2759" s="2" t="s">
        <v>984</v>
      </c>
      <c r="B2759" s="2" t="s">
        <v>447</v>
      </c>
      <c r="C2759" s="2" t="s">
        <v>837</v>
      </c>
      <c r="D2759" s="2" t="s">
        <v>838</v>
      </c>
      <c r="E2759" s="2" t="s">
        <v>452</v>
      </c>
      <c r="F2759" s="3">
        <v>50</v>
      </c>
      <c r="G2759" s="4">
        <v>1</v>
      </c>
      <c r="H2759" s="5">
        <v>0</v>
      </c>
    </row>
    <row r="2760" spans="1:8" x14ac:dyDescent="0.35">
      <c r="A2760" s="2" t="s">
        <v>984</v>
      </c>
      <c r="B2760" s="2" t="s">
        <v>447</v>
      </c>
      <c r="C2760" s="2" t="s">
        <v>1017</v>
      </c>
      <c r="D2760" s="2" t="s">
        <v>1018</v>
      </c>
      <c r="E2760" s="2" t="s">
        <v>215</v>
      </c>
      <c r="F2760" s="3">
        <v>100</v>
      </c>
      <c r="G2760" s="4">
        <v>60</v>
      </c>
      <c r="H2760" s="5">
        <v>0</v>
      </c>
    </row>
    <row r="2761" spans="1:8" x14ac:dyDescent="0.35">
      <c r="A2761" s="2" t="s">
        <v>984</v>
      </c>
      <c r="B2761" s="2" t="s">
        <v>447</v>
      </c>
      <c r="C2761" s="2" t="s">
        <v>1019</v>
      </c>
      <c r="D2761" s="2" t="s">
        <v>1020</v>
      </c>
      <c r="E2761" s="2" t="s">
        <v>603</v>
      </c>
      <c r="F2761" s="3">
        <v>1300</v>
      </c>
      <c r="G2761" s="4">
        <v>60</v>
      </c>
      <c r="H2761" s="5">
        <v>7.4999999999999997E-3</v>
      </c>
    </row>
    <row r="2762" spans="1:8" x14ac:dyDescent="0.35">
      <c r="A2762" s="2" t="s">
        <v>984</v>
      </c>
      <c r="B2762" s="2" t="s">
        <v>447</v>
      </c>
      <c r="C2762" s="2" t="s">
        <v>1021</v>
      </c>
      <c r="D2762" s="2" t="s">
        <v>1022</v>
      </c>
      <c r="E2762" s="2" t="s">
        <v>1023</v>
      </c>
      <c r="F2762" s="3">
        <v>120</v>
      </c>
      <c r="G2762" s="4">
        <v>60</v>
      </c>
      <c r="H2762" s="5">
        <v>0</v>
      </c>
    </row>
    <row r="2763" spans="1:8" x14ac:dyDescent="0.35">
      <c r="A2763" s="2" t="s">
        <v>984</v>
      </c>
      <c r="B2763" s="2" t="s">
        <v>447</v>
      </c>
      <c r="C2763" s="2" t="s">
        <v>1024</v>
      </c>
      <c r="D2763" s="2" t="s">
        <v>1025</v>
      </c>
      <c r="E2763" s="2" t="s">
        <v>1026</v>
      </c>
      <c r="F2763" s="3">
        <v>42</v>
      </c>
      <c r="G2763" s="4">
        <v>60</v>
      </c>
      <c r="H2763" s="5">
        <v>0</v>
      </c>
    </row>
    <row r="2764" spans="1:8" x14ac:dyDescent="0.35">
      <c r="A2764" s="2" t="s">
        <v>984</v>
      </c>
      <c r="B2764" s="2" t="s">
        <v>447</v>
      </c>
      <c r="C2764" s="2" t="s">
        <v>1027</v>
      </c>
      <c r="D2764" s="2" t="s">
        <v>1028</v>
      </c>
      <c r="E2764" s="2" t="s">
        <v>820</v>
      </c>
      <c r="F2764" s="3">
        <v>110</v>
      </c>
      <c r="G2764" s="4">
        <v>60</v>
      </c>
      <c r="H2764" s="5">
        <v>0</v>
      </c>
    </row>
    <row r="2765" spans="1:8" x14ac:dyDescent="0.35">
      <c r="A2765" s="2" t="s">
        <v>984</v>
      </c>
      <c r="B2765" s="2" t="s">
        <v>447</v>
      </c>
      <c r="C2765" s="2" t="s">
        <v>1029</v>
      </c>
      <c r="D2765" s="2" t="s">
        <v>1030</v>
      </c>
      <c r="E2765" s="2" t="s">
        <v>1031</v>
      </c>
      <c r="F2765" s="3">
        <v>30</v>
      </c>
      <c r="G2765" s="4">
        <v>12</v>
      </c>
      <c r="H2765" s="5">
        <v>0</v>
      </c>
    </row>
    <row r="2766" spans="1:8" x14ac:dyDescent="0.35">
      <c r="A2766" s="2" t="s">
        <v>984</v>
      </c>
      <c r="B2766" s="2" t="s">
        <v>447</v>
      </c>
      <c r="C2766" s="2" t="s">
        <v>1032</v>
      </c>
      <c r="D2766" s="2" t="s">
        <v>1033</v>
      </c>
      <c r="E2766" s="2" t="s">
        <v>1034</v>
      </c>
      <c r="F2766" s="3">
        <v>544.16</v>
      </c>
      <c r="G2766" s="4">
        <v>60</v>
      </c>
      <c r="H2766" s="5">
        <v>0</v>
      </c>
    </row>
    <row r="2767" spans="1:8" x14ac:dyDescent="0.35">
      <c r="A2767" s="2" t="s">
        <v>984</v>
      </c>
      <c r="B2767" s="2" t="s">
        <v>447</v>
      </c>
      <c r="C2767" s="2" t="s">
        <v>1035</v>
      </c>
      <c r="D2767" s="2" t="s">
        <v>1036</v>
      </c>
      <c r="E2767" s="2" t="s">
        <v>964</v>
      </c>
      <c r="F2767" s="3">
        <v>82</v>
      </c>
      <c r="G2767" s="4">
        <v>36</v>
      </c>
      <c r="H2767" s="5">
        <v>0</v>
      </c>
    </row>
    <row r="2768" spans="1:8" x14ac:dyDescent="0.35">
      <c r="A2768" s="2" t="s">
        <v>984</v>
      </c>
      <c r="B2768" s="2" t="s">
        <v>447</v>
      </c>
      <c r="C2768" s="2" t="s">
        <v>1037</v>
      </c>
      <c r="D2768" s="2" t="s">
        <v>1038</v>
      </c>
      <c r="E2768" s="2" t="s">
        <v>1026</v>
      </c>
      <c r="F2768" s="3">
        <v>190</v>
      </c>
      <c r="G2768" s="4">
        <v>48</v>
      </c>
      <c r="H2768" s="5">
        <v>0</v>
      </c>
    </row>
    <row r="2769" spans="1:8" ht="14.5" customHeight="1" x14ac:dyDescent="0.35">
      <c r="A2769" s="2" t="s">
        <v>984</v>
      </c>
      <c r="B2769" s="2" t="s">
        <v>447</v>
      </c>
      <c r="C2769" s="2" t="s">
        <v>1039</v>
      </c>
      <c r="D2769" s="2" t="s">
        <v>1040</v>
      </c>
      <c r="E2769" s="2" t="s">
        <v>1041</v>
      </c>
      <c r="F2769" s="3">
        <v>130</v>
      </c>
      <c r="G2769" s="4">
        <v>60</v>
      </c>
      <c r="H2769" s="5">
        <v>0</v>
      </c>
    </row>
    <row r="2770" spans="1:8" x14ac:dyDescent="0.35">
      <c r="A2770" s="2" t="s">
        <v>984</v>
      </c>
      <c r="B2770" s="2" t="s">
        <v>509</v>
      </c>
      <c r="C2770" s="2" t="s">
        <v>985</v>
      </c>
      <c r="D2770" s="2" t="s">
        <v>986</v>
      </c>
      <c r="E2770" s="2" t="s">
        <v>443</v>
      </c>
      <c r="F2770" s="3">
        <v>35</v>
      </c>
      <c r="G2770" s="4">
        <v>1</v>
      </c>
      <c r="H2770" s="5">
        <v>0</v>
      </c>
    </row>
    <row r="2771" spans="1:8" x14ac:dyDescent="0.35">
      <c r="A2771" s="2" t="s">
        <v>984</v>
      </c>
      <c r="B2771" s="2" t="s">
        <v>509</v>
      </c>
      <c r="C2771" s="2" t="s">
        <v>987</v>
      </c>
      <c r="D2771" s="2" t="s">
        <v>988</v>
      </c>
      <c r="E2771" s="2" t="s">
        <v>24</v>
      </c>
      <c r="F2771" s="3">
        <v>279</v>
      </c>
      <c r="G2771" s="4">
        <v>12</v>
      </c>
      <c r="H2771" s="5">
        <v>0</v>
      </c>
    </row>
    <row r="2772" spans="1:8" x14ac:dyDescent="0.35">
      <c r="A2772" s="2" t="s">
        <v>984</v>
      </c>
      <c r="B2772" s="2" t="s">
        <v>509</v>
      </c>
      <c r="C2772" s="2" t="s">
        <v>989</v>
      </c>
      <c r="D2772" s="2" t="s">
        <v>990</v>
      </c>
      <c r="E2772" s="2" t="s">
        <v>46</v>
      </c>
      <c r="F2772" s="3">
        <v>1520.48</v>
      </c>
      <c r="G2772" s="4">
        <v>36</v>
      </c>
      <c r="H2772" s="5">
        <v>0.01</v>
      </c>
    </row>
    <row r="2773" spans="1:8" x14ac:dyDescent="0.35">
      <c r="A2773" s="2" t="s">
        <v>984</v>
      </c>
      <c r="B2773" s="2" t="s">
        <v>509</v>
      </c>
      <c r="C2773" s="2" t="s">
        <v>991</v>
      </c>
      <c r="D2773" s="2" t="s">
        <v>992</v>
      </c>
      <c r="E2773" s="2" t="s">
        <v>48</v>
      </c>
      <c r="F2773" s="3">
        <v>350.25</v>
      </c>
      <c r="G2773" s="4">
        <v>24</v>
      </c>
      <c r="H2773" s="5">
        <v>0</v>
      </c>
    </row>
    <row r="2774" spans="1:8" x14ac:dyDescent="0.35">
      <c r="A2774" s="2" t="s">
        <v>984</v>
      </c>
      <c r="B2774" s="2" t="s">
        <v>509</v>
      </c>
      <c r="C2774" s="2" t="s">
        <v>796</v>
      </c>
      <c r="D2774" s="2" t="s">
        <v>797</v>
      </c>
      <c r="E2774" s="2" t="s">
        <v>71</v>
      </c>
      <c r="F2774" s="3">
        <v>258.69</v>
      </c>
      <c r="G2774" s="4">
        <v>24</v>
      </c>
      <c r="H2774" s="5">
        <v>0</v>
      </c>
    </row>
    <row r="2775" spans="1:8" x14ac:dyDescent="0.35">
      <c r="A2775" s="2" t="s">
        <v>984</v>
      </c>
      <c r="B2775" s="2" t="s">
        <v>509</v>
      </c>
      <c r="C2775" s="2" t="s">
        <v>982</v>
      </c>
      <c r="D2775" s="2" t="s">
        <v>983</v>
      </c>
      <c r="E2775" s="2" t="s">
        <v>102</v>
      </c>
      <c r="F2775" s="3">
        <v>800</v>
      </c>
      <c r="G2775" s="4">
        <v>24</v>
      </c>
      <c r="H2775" s="5">
        <v>0</v>
      </c>
    </row>
    <row r="2776" spans="1:8" x14ac:dyDescent="0.35">
      <c r="A2776" s="2" t="s">
        <v>984</v>
      </c>
      <c r="B2776" s="2" t="s">
        <v>509</v>
      </c>
      <c r="C2776" s="2" t="s">
        <v>802</v>
      </c>
      <c r="D2776" s="2" t="s">
        <v>803</v>
      </c>
      <c r="E2776" s="2" t="s">
        <v>147</v>
      </c>
      <c r="F2776" s="3">
        <v>2111.6</v>
      </c>
      <c r="G2776" s="4">
        <v>60</v>
      </c>
      <c r="H2776" s="5">
        <v>0.01</v>
      </c>
    </row>
    <row r="2777" spans="1:8" x14ac:dyDescent="0.35">
      <c r="A2777" s="2" t="s">
        <v>984</v>
      </c>
      <c r="B2777" s="2" t="s">
        <v>509</v>
      </c>
      <c r="C2777" s="2" t="s">
        <v>993</v>
      </c>
      <c r="D2777" s="2" t="s">
        <v>994</v>
      </c>
      <c r="E2777" s="2" t="s">
        <v>158</v>
      </c>
      <c r="F2777" s="3">
        <v>2900</v>
      </c>
      <c r="G2777" s="4">
        <v>60</v>
      </c>
      <c r="H2777" s="5">
        <v>0.01</v>
      </c>
    </row>
    <row r="2778" spans="1:8" x14ac:dyDescent="0.35">
      <c r="A2778" s="2" t="s">
        <v>984</v>
      </c>
      <c r="B2778" s="2" t="s">
        <v>509</v>
      </c>
      <c r="C2778" s="2" t="s">
        <v>804</v>
      </c>
      <c r="D2778" s="2" t="s">
        <v>805</v>
      </c>
      <c r="E2778" s="2" t="s">
        <v>180</v>
      </c>
      <c r="F2778" s="3">
        <v>150</v>
      </c>
      <c r="G2778" s="4">
        <v>24</v>
      </c>
      <c r="H2778" s="5">
        <v>0</v>
      </c>
    </row>
    <row r="2779" spans="1:8" x14ac:dyDescent="0.35">
      <c r="A2779" s="2" t="s">
        <v>984</v>
      </c>
      <c r="B2779" s="2" t="s">
        <v>509</v>
      </c>
      <c r="C2779" s="2" t="s">
        <v>995</v>
      </c>
      <c r="D2779" s="2" t="s">
        <v>996</v>
      </c>
      <c r="E2779" s="2" t="s">
        <v>204</v>
      </c>
      <c r="F2779" s="3">
        <v>270</v>
      </c>
      <c r="G2779" s="4">
        <v>12</v>
      </c>
      <c r="H2779" s="5">
        <v>0</v>
      </c>
    </row>
    <row r="2780" spans="1:8" x14ac:dyDescent="0.35">
      <c r="A2780" s="2" t="s">
        <v>984</v>
      </c>
      <c r="B2780" s="2" t="s">
        <v>509</v>
      </c>
      <c r="C2780" s="2" t="s">
        <v>997</v>
      </c>
      <c r="D2780" s="2" t="s">
        <v>998</v>
      </c>
      <c r="E2780" s="2" t="s">
        <v>59</v>
      </c>
      <c r="F2780" s="3">
        <v>140</v>
      </c>
      <c r="G2780" s="4">
        <v>12</v>
      </c>
      <c r="H2780" s="5">
        <v>0</v>
      </c>
    </row>
    <row r="2781" spans="1:8" x14ac:dyDescent="0.35">
      <c r="A2781" s="2" t="s">
        <v>984</v>
      </c>
      <c r="B2781" s="2" t="s">
        <v>509</v>
      </c>
      <c r="C2781" s="2" t="s">
        <v>999</v>
      </c>
      <c r="D2781" s="2" t="s">
        <v>1000</v>
      </c>
      <c r="E2781" s="2" t="s">
        <v>237</v>
      </c>
      <c r="F2781" s="3">
        <v>1500</v>
      </c>
      <c r="G2781" s="4">
        <v>24</v>
      </c>
      <c r="H2781" s="5">
        <v>0</v>
      </c>
    </row>
    <row r="2782" spans="1:8" x14ac:dyDescent="0.35">
      <c r="A2782" s="2" t="s">
        <v>984</v>
      </c>
      <c r="B2782" s="2" t="s">
        <v>509</v>
      </c>
      <c r="C2782" s="2" t="s">
        <v>810</v>
      </c>
      <c r="D2782" s="2" t="s">
        <v>811</v>
      </c>
      <c r="E2782" s="2" t="s">
        <v>248</v>
      </c>
      <c r="F2782" s="3">
        <v>438.36</v>
      </c>
      <c r="G2782" s="4">
        <v>12</v>
      </c>
      <c r="H2782" s="5">
        <v>0</v>
      </c>
    </row>
    <row r="2783" spans="1:8" x14ac:dyDescent="0.35">
      <c r="A2783" s="2" t="s">
        <v>984</v>
      </c>
      <c r="B2783" s="2" t="s">
        <v>509</v>
      </c>
      <c r="C2783" s="2" t="s">
        <v>1001</v>
      </c>
      <c r="D2783" s="2" t="s">
        <v>1002</v>
      </c>
      <c r="E2783" s="2" t="s">
        <v>226</v>
      </c>
      <c r="F2783" s="3">
        <v>2000</v>
      </c>
      <c r="G2783" s="4">
        <v>36</v>
      </c>
      <c r="H2783" s="5">
        <v>0.01</v>
      </c>
    </row>
    <row r="2784" spans="1:8" x14ac:dyDescent="0.35">
      <c r="A2784" s="2" t="s">
        <v>984</v>
      </c>
      <c r="B2784" s="2" t="s">
        <v>509</v>
      </c>
      <c r="C2784" s="2" t="s">
        <v>1003</v>
      </c>
      <c r="D2784" s="2" t="s">
        <v>1004</v>
      </c>
      <c r="E2784" s="2" t="s">
        <v>260</v>
      </c>
      <c r="F2784" s="3">
        <v>707</v>
      </c>
      <c r="G2784" s="4">
        <v>1</v>
      </c>
      <c r="H2784" s="5">
        <v>0</v>
      </c>
    </row>
    <row r="2785" spans="1:8" x14ac:dyDescent="0.35">
      <c r="A2785" s="2" t="s">
        <v>984</v>
      </c>
      <c r="B2785" s="2" t="s">
        <v>509</v>
      </c>
      <c r="C2785" s="2" t="s">
        <v>1005</v>
      </c>
      <c r="D2785" s="2" t="s">
        <v>1006</v>
      </c>
      <c r="E2785" s="2" t="s">
        <v>260</v>
      </c>
      <c r="F2785" s="3">
        <v>9800</v>
      </c>
      <c r="G2785" s="4">
        <v>60</v>
      </c>
      <c r="H2785" s="5">
        <v>0.01</v>
      </c>
    </row>
    <row r="2786" spans="1:8" x14ac:dyDescent="0.35">
      <c r="A2786" s="2" t="s">
        <v>984</v>
      </c>
      <c r="B2786" s="2" t="s">
        <v>509</v>
      </c>
      <c r="C2786" s="2" t="s">
        <v>1007</v>
      </c>
      <c r="D2786" s="2" t="s">
        <v>1008</v>
      </c>
      <c r="E2786" s="2" t="s">
        <v>1009</v>
      </c>
      <c r="F2786" s="3">
        <v>80</v>
      </c>
      <c r="G2786" s="4">
        <v>36</v>
      </c>
      <c r="H2786" s="5">
        <v>0</v>
      </c>
    </row>
    <row r="2787" spans="1:8" x14ac:dyDescent="0.35">
      <c r="A2787" s="2" t="s">
        <v>984</v>
      </c>
      <c r="B2787" s="2" t="s">
        <v>509</v>
      </c>
      <c r="C2787" s="2" t="s">
        <v>798</v>
      </c>
      <c r="D2787" s="2" t="s">
        <v>799</v>
      </c>
      <c r="E2787" s="2" t="s">
        <v>92</v>
      </c>
      <c r="F2787" s="3">
        <v>1100</v>
      </c>
      <c r="G2787" s="4">
        <v>36</v>
      </c>
      <c r="H2787" s="5">
        <v>0</v>
      </c>
    </row>
    <row r="2788" spans="1:8" x14ac:dyDescent="0.35">
      <c r="A2788" s="2" t="s">
        <v>984</v>
      </c>
      <c r="B2788" s="2" t="s">
        <v>509</v>
      </c>
      <c r="C2788" s="2" t="s">
        <v>1010</v>
      </c>
      <c r="D2788" s="2" t="s">
        <v>835</v>
      </c>
      <c r="E2788" s="2" t="s">
        <v>836</v>
      </c>
      <c r="F2788" s="3">
        <v>35</v>
      </c>
      <c r="G2788" s="4">
        <v>12</v>
      </c>
      <c r="H2788" s="5">
        <v>0</v>
      </c>
    </row>
    <row r="2789" spans="1:8" x14ac:dyDescent="0.35">
      <c r="A2789" s="2" t="s">
        <v>984</v>
      </c>
      <c r="B2789" s="2" t="s">
        <v>509</v>
      </c>
      <c r="C2789" s="2" t="s">
        <v>1011</v>
      </c>
      <c r="D2789" s="2" t="s">
        <v>824</v>
      </c>
      <c r="E2789" s="2" t="s">
        <v>315</v>
      </c>
      <c r="F2789" s="3">
        <v>60</v>
      </c>
      <c r="G2789" s="4">
        <v>12</v>
      </c>
      <c r="H2789" s="5">
        <v>0</v>
      </c>
    </row>
    <row r="2790" spans="1:8" x14ac:dyDescent="0.35">
      <c r="A2790" s="2" t="s">
        <v>984</v>
      </c>
      <c r="B2790" s="2" t="s">
        <v>509</v>
      </c>
      <c r="C2790" s="2" t="s">
        <v>1012</v>
      </c>
      <c r="D2790" s="2" t="s">
        <v>1013</v>
      </c>
      <c r="E2790" s="2" t="s">
        <v>303</v>
      </c>
      <c r="F2790" s="3">
        <v>25</v>
      </c>
      <c r="G2790" s="4">
        <v>12</v>
      </c>
      <c r="H2790" s="5">
        <v>0</v>
      </c>
    </row>
    <row r="2791" spans="1:8" x14ac:dyDescent="0.35">
      <c r="A2791" s="2" t="s">
        <v>984</v>
      </c>
      <c r="B2791" s="2" t="s">
        <v>509</v>
      </c>
      <c r="C2791" s="2" t="s">
        <v>800</v>
      </c>
      <c r="D2791" s="2" t="s">
        <v>801</v>
      </c>
      <c r="E2791" s="2" t="s">
        <v>104</v>
      </c>
      <c r="F2791" s="3">
        <v>30</v>
      </c>
      <c r="G2791" s="4">
        <v>12</v>
      </c>
      <c r="H2791" s="5">
        <v>0</v>
      </c>
    </row>
    <row r="2792" spans="1:8" x14ac:dyDescent="0.35">
      <c r="A2792" s="2" t="s">
        <v>984</v>
      </c>
      <c r="B2792" s="2" t="s">
        <v>509</v>
      </c>
      <c r="C2792" s="2" t="s">
        <v>1014</v>
      </c>
      <c r="D2792" s="2" t="s">
        <v>1015</v>
      </c>
      <c r="E2792" s="2" t="s">
        <v>300</v>
      </c>
      <c r="F2792" s="3">
        <v>35</v>
      </c>
      <c r="G2792" s="4">
        <v>12</v>
      </c>
      <c r="H2792" s="5">
        <v>0</v>
      </c>
    </row>
    <row r="2793" spans="1:8" x14ac:dyDescent="0.35">
      <c r="A2793" s="2" t="s">
        <v>984</v>
      </c>
      <c r="B2793" s="2" t="s">
        <v>509</v>
      </c>
      <c r="C2793" s="2" t="s">
        <v>829</v>
      </c>
      <c r="D2793" s="2" t="s">
        <v>632</v>
      </c>
      <c r="E2793" s="2" t="s">
        <v>322</v>
      </c>
      <c r="F2793" s="3">
        <v>32</v>
      </c>
      <c r="G2793" s="4">
        <v>12</v>
      </c>
      <c r="H2793" s="5">
        <v>0</v>
      </c>
    </row>
    <row r="2794" spans="1:8" x14ac:dyDescent="0.35">
      <c r="A2794" s="2" t="s">
        <v>984</v>
      </c>
      <c r="B2794" s="2" t="s">
        <v>509</v>
      </c>
      <c r="C2794" s="2" t="s">
        <v>1016</v>
      </c>
      <c r="D2794" s="2" t="s">
        <v>807</v>
      </c>
      <c r="E2794" s="2" t="s">
        <v>115</v>
      </c>
      <c r="F2794" s="3">
        <v>35</v>
      </c>
      <c r="G2794" s="4">
        <v>12</v>
      </c>
      <c r="H2794" s="5">
        <v>0</v>
      </c>
    </row>
    <row r="2795" spans="1:8" x14ac:dyDescent="0.35">
      <c r="A2795" s="2" t="s">
        <v>984</v>
      </c>
      <c r="B2795" s="2" t="s">
        <v>509</v>
      </c>
      <c r="C2795" s="2" t="s">
        <v>837</v>
      </c>
      <c r="D2795" s="2" t="s">
        <v>838</v>
      </c>
      <c r="E2795" s="2" t="s">
        <v>452</v>
      </c>
      <c r="F2795" s="3">
        <v>54.5</v>
      </c>
      <c r="G2795" s="4">
        <v>1</v>
      </c>
      <c r="H2795" s="5">
        <v>0</v>
      </c>
    </row>
    <row r="2796" spans="1:8" x14ac:dyDescent="0.35">
      <c r="A2796" s="2" t="s">
        <v>984</v>
      </c>
      <c r="B2796" s="2" t="s">
        <v>509</v>
      </c>
      <c r="C2796" s="2" t="s">
        <v>1017</v>
      </c>
      <c r="D2796" s="2" t="s">
        <v>1018</v>
      </c>
      <c r="E2796" s="2" t="s">
        <v>215</v>
      </c>
      <c r="F2796" s="3">
        <v>124.03</v>
      </c>
      <c r="G2796" s="4">
        <v>24</v>
      </c>
      <c r="H2796" s="5">
        <v>0</v>
      </c>
    </row>
    <row r="2797" spans="1:8" x14ac:dyDescent="0.35">
      <c r="A2797" s="2" t="s">
        <v>984</v>
      </c>
      <c r="B2797" s="2" t="s">
        <v>509</v>
      </c>
      <c r="C2797" s="2" t="s">
        <v>1019</v>
      </c>
      <c r="D2797" s="2" t="s">
        <v>1020</v>
      </c>
      <c r="E2797" s="2" t="s">
        <v>603</v>
      </c>
      <c r="F2797" s="3">
        <v>1800</v>
      </c>
      <c r="G2797" s="4">
        <v>36</v>
      </c>
      <c r="H2797" s="5">
        <v>0.01</v>
      </c>
    </row>
    <row r="2798" spans="1:8" x14ac:dyDescent="0.35">
      <c r="A2798" s="2" t="s">
        <v>984</v>
      </c>
      <c r="B2798" s="2" t="s">
        <v>509</v>
      </c>
      <c r="C2798" s="2" t="s">
        <v>1021</v>
      </c>
      <c r="D2798" s="2" t="s">
        <v>1022</v>
      </c>
      <c r="E2798" s="2" t="s">
        <v>1023</v>
      </c>
      <c r="F2798" s="3">
        <v>120</v>
      </c>
      <c r="G2798" s="4">
        <v>24</v>
      </c>
      <c r="H2798" s="5">
        <v>0</v>
      </c>
    </row>
    <row r="2799" spans="1:8" x14ac:dyDescent="0.35">
      <c r="A2799" s="2" t="s">
        <v>984</v>
      </c>
      <c r="B2799" s="2" t="s">
        <v>509</v>
      </c>
      <c r="C2799" s="2" t="s">
        <v>1024</v>
      </c>
      <c r="D2799" s="2" t="s">
        <v>1025</v>
      </c>
      <c r="E2799" s="2" t="s">
        <v>1026</v>
      </c>
      <c r="F2799" s="3">
        <v>42</v>
      </c>
      <c r="G2799" s="4">
        <v>12</v>
      </c>
      <c r="H2799" s="5">
        <v>0</v>
      </c>
    </row>
    <row r="2800" spans="1:8" x14ac:dyDescent="0.35">
      <c r="A2800" s="2" t="s">
        <v>984</v>
      </c>
      <c r="B2800" s="2" t="s">
        <v>509</v>
      </c>
      <c r="C2800" s="2" t="s">
        <v>1027</v>
      </c>
      <c r="D2800" s="2" t="s">
        <v>1028</v>
      </c>
      <c r="E2800" s="2" t="s">
        <v>820</v>
      </c>
      <c r="F2800" s="3">
        <v>80</v>
      </c>
      <c r="G2800" s="4">
        <v>24</v>
      </c>
      <c r="H2800" s="5">
        <v>0</v>
      </c>
    </row>
    <row r="2801" spans="1:8" x14ac:dyDescent="0.35">
      <c r="A2801" s="2" t="s">
        <v>984</v>
      </c>
      <c r="B2801" s="2" t="s">
        <v>509</v>
      </c>
      <c r="C2801" s="2" t="s">
        <v>1029</v>
      </c>
      <c r="D2801" s="2" t="s">
        <v>1030</v>
      </c>
      <c r="E2801" s="2" t="s">
        <v>1031</v>
      </c>
      <c r="F2801" s="3">
        <v>30</v>
      </c>
      <c r="G2801" s="4">
        <v>12</v>
      </c>
      <c r="H2801" s="5">
        <v>0</v>
      </c>
    </row>
    <row r="2802" spans="1:8" x14ac:dyDescent="0.35">
      <c r="A2802" s="2" t="s">
        <v>984</v>
      </c>
      <c r="B2802" s="2" t="s">
        <v>509</v>
      </c>
      <c r="C2802" s="2" t="s">
        <v>1032</v>
      </c>
      <c r="D2802" s="2" t="s">
        <v>1033</v>
      </c>
      <c r="E2802" s="2" t="s">
        <v>1034</v>
      </c>
      <c r="F2802" s="3">
        <v>544.16</v>
      </c>
      <c r="G2802" s="4">
        <v>24</v>
      </c>
      <c r="H2802" s="5">
        <v>0</v>
      </c>
    </row>
    <row r="2803" spans="1:8" x14ac:dyDescent="0.35">
      <c r="A2803" s="2" t="s">
        <v>984</v>
      </c>
      <c r="B2803" s="2" t="s">
        <v>509</v>
      </c>
      <c r="C2803" s="2" t="s">
        <v>1035</v>
      </c>
      <c r="D2803" s="2" t="s">
        <v>1036</v>
      </c>
      <c r="E2803" s="2" t="s">
        <v>964</v>
      </c>
      <c r="F2803" s="3">
        <v>82</v>
      </c>
      <c r="G2803" s="4">
        <v>24</v>
      </c>
      <c r="H2803" s="5">
        <v>0</v>
      </c>
    </row>
    <row r="2804" spans="1:8" x14ac:dyDescent="0.35">
      <c r="A2804" s="2" t="s">
        <v>984</v>
      </c>
      <c r="B2804" s="2" t="s">
        <v>509</v>
      </c>
      <c r="C2804" s="2" t="s">
        <v>1037</v>
      </c>
      <c r="D2804" s="2" t="s">
        <v>1038</v>
      </c>
      <c r="E2804" s="2" t="s">
        <v>1026</v>
      </c>
      <c r="F2804" s="3">
        <v>190</v>
      </c>
      <c r="G2804" s="4">
        <v>12</v>
      </c>
      <c r="H2804" s="5">
        <v>0</v>
      </c>
    </row>
    <row r="2805" spans="1:8" ht="14.5" customHeight="1" x14ac:dyDescent="0.35">
      <c r="A2805" s="2" t="s">
        <v>984</v>
      </c>
      <c r="B2805" s="2" t="s">
        <v>509</v>
      </c>
      <c r="C2805" s="2" t="s">
        <v>1039</v>
      </c>
      <c r="D2805" s="2" t="s">
        <v>1040</v>
      </c>
      <c r="E2805" s="2" t="s">
        <v>1041</v>
      </c>
      <c r="F2805" s="3">
        <v>80</v>
      </c>
      <c r="G2805" s="4">
        <v>12</v>
      </c>
      <c r="H2805" s="5">
        <v>0</v>
      </c>
    </row>
    <row r="2806" spans="1:8" x14ac:dyDescent="0.35">
      <c r="A2806" s="2" t="s">
        <v>984</v>
      </c>
      <c r="B2806" s="2" t="s">
        <v>788</v>
      </c>
      <c r="C2806" s="2" t="s">
        <v>985</v>
      </c>
      <c r="D2806" s="2" t="s">
        <v>986</v>
      </c>
      <c r="E2806" s="2" t="s">
        <v>443</v>
      </c>
      <c r="F2806" s="3">
        <v>29</v>
      </c>
      <c r="G2806" s="4">
        <v>1</v>
      </c>
      <c r="H2806" s="5">
        <v>0</v>
      </c>
    </row>
    <row r="2807" spans="1:8" x14ac:dyDescent="0.35">
      <c r="A2807" s="2" t="s">
        <v>984</v>
      </c>
      <c r="B2807" s="2" t="s">
        <v>788</v>
      </c>
      <c r="C2807" s="2" t="s">
        <v>987</v>
      </c>
      <c r="D2807" s="2" t="s">
        <v>988</v>
      </c>
      <c r="E2807" s="2" t="s">
        <v>24</v>
      </c>
      <c r="F2807" s="3">
        <v>250</v>
      </c>
      <c r="G2807" s="4">
        <v>60</v>
      </c>
      <c r="H2807" s="5">
        <v>0</v>
      </c>
    </row>
    <row r="2808" spans="1:8" x14ac:dyDescent="0.35">
      <c r="A2808" s="2" t="s">
        <v>984</v>
      </c>
      <c r="B2808" s="2" t="s">
        <v>788</v>
      </c>
      <c r="C2808" s="2" t="s">
        <v>989</v>
      </c>
      <c r="D2808" s="2" t="s">
        <v>990</v>
      </c>
      <c r="E2808" s="2" t="s">
        <v>46</v>
      </c>
      <c r="F2808" s="3">
        <v>3500</v>
      </c>
      <c r="G2808" s="4">
        <v>60</v>
      </c>
      <c r="H2808" s="5">
        <v>7.4999999999999997E-3</v>
      </c>
    </row>
    <row r="2809" spans="1:8" x14ac:dyDescent="0.35">
      <c r="A2809" s="2" t="s">
        <v>984</v>
      </c>
      <c r="B2809" s="2" t="s">
        <v>788</v>
      </c>
      <c r="C2809" s="2" t="s">
        <v>991</v>
      </c>
      <c r="D2809" s="2" t="s">
        <v>992</v>
      </c>
      <c r="E2809" s="2" t="s">
        <v>48</v>
      </c>
      <c r="F2809" s="3">
        <v>3500</v>
      </c>
      <c r="G2809" s="4">
        <v>60</v>
      </c>
      <c r="H2809" s="5">
        <v>0</v>
      </c>
    </row>
    <row r="2810" spans="1:8" x14ac:dyDescent="0.35">
      <c r="A2810" s="2" t="s">
        <v>984</v>
      </c>
      <c r="B2810" s="2" t="s">
        <v>788</v>
      </c>
      <c r="C2810" s="2" t="s">
        <v>796</v>
      </c>
      <c r="D2810" s="2" t="s">
        <v>797</v>
      </c>
      <c r="E2810" s="2" t="s">
        <v>71</v>
      </c>
      <c r="F2810" s="3">
        <v>3000</v>
      </c>
      <c r="G2810" s="4">
        <v>60</v>
      </c>
      <c r="H2810" s="5">
        <v>0</v>
      </c>
    </row>
    <row r="2811" spans="1:8" x14ac:dyDescent="0.35">
      <c r="A2811" s="2" t="s">
        <v>984</v>
      </c>
      <c r="B2811" s="2" t="s">
        <v>788</v>
      </c>
      <c r="C2811" s="2" t="s">
        <v>982</v>
      </c>
      <c r="D2811" s="2" t="s">
        <v>983</v>
      </c>
      <c r="E2811" s="2" t="s">
        <v>102</v>
      </c>
      <c r="F2811" s="3">
        <v>788</v>
      </c>
      <c r="G2811" s="4">
        <v>1</v>
      </c>
      <c r="H2811" s="5">
        <v>0</v>
      </c>
    </row>
    <row r="2812" spans="1:8" x14ac:dyDescent="0.35">
      <c r="A2812" s="2" t="s">
        <v>984</v>
      </c>
      <c r="B2812" s="2" t="s">
        <v>788</v>
      </c>
      <c r="C2812" s="2" t="s">
        <v>802</v>
      </c>
      <c r="D2812" s="2" t="s">
        <v>803</v>
      </c>
      <c r="E2812" s="2" t="s">
        <v>147</v>
      </c>
      <c r="F2812" s="3">
        <v>500</v>
      </c>
      <c r="G2812" s="4">
        <v>60</v>
      </c>
      <c r="H2812" s="5">
        <v>7.4999999999999997E-3</v>
      </c>
    </row>
    <row r="2813" spans="1:8" x14ac:dyDescent="0.35">
      <c r="A2813" s="2" t="s">
        <v>984</v>
      </c>
      <c r="B2813" s="2" t="s">
        <v>788</v>
      </c>
      <c r="C2813" s="2" t="s">
        <v>993</v>
      </c>
      <c r="D2813" s="2" t="s">
        <v>994</v>
      </c>
      <c r="E2813" s="2" t="s">
        <v>158</v>
      </c>
      <c r="F2813" s="3">
        <v>500</v>
      </c>
      <c r="G2813" s="4">
        <v>60</v>
      </c>
      <c r="H2813" s="5">
        <v>7.4999999999999997E-3</v>
      </c>
    </row>
    <row r="2814" spans="1:8" x14ac:dyDescent="0.35">
      <c r="A2814" s="2" t="s">
        <v>984</v>
      </c>
      <c r="B2814" s="2" t="s">
        <v>788</v>
      </c>
      <c r="C2814" s="2" t="s">
        <v>804</v>
      </c>
      <c r="D2814" s="2" t="s">
        <v>805</v>
      </c>
      <c r="E2814" s="2" t="s">
        <v>180</v>
      </c>
      <c r="F2814" s="3">
        <v>150</v>
      </c>
      <c r="G2814" s="4">
        <v>60</v>
      </c>
      <c r="H2814" s="5">
        <v>0</v>
      </c>
    </row>
    <row r="2815" spans="1:8" x14ac:dyDescent="0.35">
      <c r="A2815" s="2" t="s">
        <v>984</v>
      </c>
      <c r="B2815" s="2" t="s">
        <v>788</v>
      </c>
      <c r="C2815" s="2" t="s">
        <v>995</v>
      </c>
      <c r="D2815" s="2" t="s">
        <v>996</v>
      </c>
      <c r="E2815" s="2" t="s">
        <v>204</v>
      </c>
      <c r="F2815" s="3">
        <v>270</v>
      </c>
      <c r="G2815" s="4">
        <v>60</v>
      </c>
      <c r="H2815" s="5">
        <v>0</v>
      </c>
    </row>
    <row r="2816" spans="1:8" x14ac:dyDescent="0.35">
      <c r="A2816" s="2" t="s">
        <v>984</v>
      </c>
      <c r="B2816" s="2" t="s">
        <v>788</v>
      </c>
      <c r="C2816" s="2" t="s">
        <v>997</v>
      </c>
      <c r="D2816" s="2" t="s">
        <v>998</v>
      </c>
      <c r="E2816" s="2" t="s">
        <v>59</v>
      </c>
      <c r="F2816" s="3">
        <v>140</v>
      </c>
      <c r="G2816" s="4">
        <v>60</v>
      </c>
      <c r="H2816" s="5">
        <v>0</v>
      </c>
    </row>
    <row r="2817" spans="1:8" x14ac:dyDescent="0.35">
      <c r="A2817" s="2" t="s">
        <v>984</v>
      </c>
      <c r="B2817" s="2" t="s">
        <v>788</v>
      </c>
      <c r="C2817" s="2" t="s">
        <v>999</v>
      </c>
      <c r="D2817" s="2" t="s">
        <v>1000</v>
      </c>
      <c r="E2817" s="2" t="s">
        <v>237</v>
      </c>
      <c r="F2817" s="3">
        <v>1500</v>
      </c>
      <c r="G2817" s="4">
        <v>60</v>
      </c>
      <c r="H2817" s="5">
        <v>0</v>
      </c>
    </row>
    <row r="2818" spans="1:8" x14ac:dyDescent="0.35">
      <c r="A2818" s="2" t="s">
        <v>984</v>
      </c>
      <c r="B2818" s="2" t="s">
        <v>788</v>
      </c>
      <c r="C2818" s="2" t="s">
        <v>810</v>
      </c>
      <c r="D2818" s="2" t="s">
        <v>811</v>
      </c>
      <c r="E2818" s="2" t="s">
        <v>248</v>
      </c>
      <c r="F2818" s="3">
        <v>400</v>
      </c>
      <c r="G2818" s="4">
        <v>60</v>
      </c>
      <c r="H2818" s="5">
        <v>0</v>
      </c>
    </row>
    <row r="2819" spans="1:8" x14ac:dyDescent="0.35">
      <c r="A2819" s="2" t="s">
        <v>984</v>
      </c>
      <c r="B2819" s="2" t="s">
        <v>788</v>
      </c>
      <c r="C2819" s="2" t="s">
        <v>1001</v>
      </c>
      <c r="D2819" s="2" t="s">
        <v>1002</v>
      </c>
      <c r="E2819" s="2" t="s">
        <v>226</v>
      </c>
      <c r="F2819" s="3">
        <v>2000</v>
      </c>
      <c r="G2819" s="4">
        <v>60</v>
      </c>
      <c r="H2819" s="5">
        <v>7.4999999999999997E-3</v>
      </c>
    </row>
    <row r="2820" spans="1:8" x14ac:dyDescent="0.35">
      <c r="A2820" s="2" t="s">
        <v>984</v>
      </c>
      <c r="B2820" s="2" t="s">
        <v>788</v>
      </c>
      <c r="C2820" s="2" t="s">
        <v>1003</v>
      </c>
      <c r="D2820" s="2" t="s">
        <v>1004</v>
      </c>
      <c r="E2820" s="2" t="s">
        <v>260</v>
      </c>
      <c r="F2820" s="3">
        <v>20000</v>
      </c>
      <c r="G2820" s="4">
        <v>60</v>
      </c>
      <c r="H2820" s="5">
        <v>7.4999999999999997E-3</v>
      </c>
    </row>
    <row r="2821" spans="1:8" x14ac:dyDescent="0.35">
      <c r="A2821" s="2" t="s">
        <v>984</v>
      </c>
      <c r="B2821" s="2" t="s">
        <v>788</v>
      </c>
      <c r="C2821" s="2" t="s">
        <v>1005</v>
      </c>
      <c r="D2821" s="2" t="s">
        <v>1006</v>
      </c>
      <c r="E2821" s="2" t="s">
        <v>260</v>
      </c>
      <c r="F2821" s="3">
        <v>9800</v>
      </c>
      <c r="G2821" s="4">
        <v>60</v>
      </c>
      <c r="H2821" s="5">
        <v>7.4999999999999997E-3</v>
      </c>
    </row>
    <row r="2822" spans="1:8" x14ac:dyDescent="0.35">
      <c r="A2822" s="2" t="s">
        <v>984</v>
      </c>
      <c r="B2822" s="2" t="s">
        <v>788</v>
      </c>
      <c r="C2822" s="2" t="s">
        <v>1007</v>
      </c>
      <c r="D2822" s="2" t="s">
        <v>1008</v>
      </c>
      <c r="E2822" s="2" t="s">
        <v>1009</v>
      </c>
      <c r="F2822" s="3">
        <v>80</v>
      </c>
      <c r="G2822" s="4">
        <v>60</v>
      </c>
      <c r="H2822" s="5">
        <v>0</v>
      </c>
    </row>
    <row r="2823" spans="1:8" x14ac:dyDescent="0.35">
      <c r="A2823" s="2" t="s">
        <v>984</v>
      </c>
      <c r="B2823" s="2" t="s">
        <v>788</v>
      </c>
      <c r="C2823" s="2" t="s">
        <v>798</v>
      </c>
      <c r="D2823" s="2" t="s">
        <v>799</v>
      </c>
      <c r="E2823" s="2" t="s">
        <v>92</v>
      </c>
      <c r="F2823" s="3">
        <v>1100</v>
      </c>
      <c r="G2823" s="4">
        <v>60</v>
      </c>
      <c r="H2823" s="5">
        <v>0</v>
      </c>
    </row>
    <row r="2824" spans="1:8" x14ac:dyDescent="0.35">
      <c r="A2824" s="2" t="s">
        <v>984</v>
      </c>
      <c r="B2824" s="2" t="s">
        <v>788</v>
      </c>
      <c r="C2824" s="2" t="s">
        <v>1010</v>
      </c>
      <c r="D2824" s="2" t="s">
        <v>835</v>
      </c>
      <c r="E2824" s="2" t="s">
        <v>836</v>
      </c>
      <c r="F2824" s="3">
        <v>35</v>
      </c>
      <c r="G2824" s="4">
        <v>12</v>
      </c>
      <c r="H2824" s="5">
        <v>0</v>
      </c>
    </row>
    <row r="2825" spans="1:8" x14ac:dyDescent="0.35">
      <c r="A2825" s="2" t="s">
        <v>984</v>
      </c>
      <c r="B2825" s="2" t="s">
        <v>788</v>
      </c>
      <c r="C2825" s="2" t="s">
        <v>1011</v>
      </c>
      <c r="D2825" s="2" t="s">
        <v>824</v>
      </c>
      <c r="E2825" s="2" t="s">
        <v>315</v>
      </c>
      <c r="F2825" s="3">
        <v>60</v>
      </c>
      <c r="G2825" s="4">
        <v>12</v>
      </c>
      <c r="H2825" s="5">
        <v>0</v>
      </c>
    </row>
    <row r="2826" spans="1:8" x14ac:dyDescent="0.35">
      <c r="A2826" s="2" t="s">
        <v>984</v>
      </c>
      <c r="B2826" s="2" t="s">
        <v>788</v>
      </c>
      <c r="C2826" s="2" t="s">
        <v>1012</v>
      </c>
      <c r="D2826" s="2" t="s">
        <v>1013</v>
      </c>
      <c r="E2826" s="2" t="s">
        <v>303</v>
      </c>
      <c r="F2826" s="3">
        <v>25</v>
      </c>
      <c r="G2826" s="4">
        <v>36</v>
      </c>
      <c r="H2826" s="5">
        <v>0</v>
      </c>
    </row>
    <row r="2827" spans="1:8" x14ac:dyDescent="0.35">
      <c r="A2827" s="2" t="s">
        <v>984</v>
      </c>
      <c r="B2827" s="2" t="s">
        <v>788</v>
      </c>
      <c r="C2827" s="2" t="s">
        <v>800</v>
      </c>
      <c r="D2827" s="2" t="s">
        <v>801</v>
      </c>
      <c r="E2827" s="2" t="s">
        <v>104</v>
      </c>
      <c r="F2827" s="3">
        <v>30</v>
      </c>
      <c r="G2827" s="4">
        <v>36</v>
      </c>
      <c r="H2827" s="5">
        <v>0</v>
      </c>
    </row>
    <row r="2828" spans="1:8" x14ac:dyDescent="0.35">
      <c r="A2828" s="2" t="s">
        <v>984</v>
      </c>
      <c r="B2828" s="2" t="s">
        <v>788</v>
      </c>
      <c r="C2828" s="2" t="s">
        <v>1014</v>
      </c>
      <c r="D2828" s="2" t="s">
        <v>1015</v>
      </c>
      <c r="E2828" s="2" t="s">
        <v>300</v>
      </c>
      <c r="F2828" s="3">
        <v>35</v>
      </c>
      <c r="G2828" s="4">
        <v>12</v>
      </c>
      <c r="H2828" s="5">
        <v>0</v>
      </c>
    </row>
    <row r="2829" spans="1:8" x14ac:dyDescent="0.35">
      <c r="A2829" s="2" t="s">
        <v>984</v>
      </c>
      <c r="B2829" s="2" t="s">
        <v>788</v>
      </c>
      <c r="C2829" s="2" t="s">
        <v>829</v>
      </c>
      <c r="D2829" s="2" t="s">
        <v>632</v>
      </c>
      <c r="E2829" s="2" t="s">
        <v>322</v>
      </c>
      <c r="F2829" s="3">
        <v>32</v>
      </c>
      <c r="G2829" s="4">
        <v>60</v>
      </c>
      <c r="H2829" s="5">
        <v>0</v>
      </c>
    </row>
    <row r="2830" spans="1:8" x14ac:dyDescent="0.35">
      <c r="A2830" s="2" t="s">
        <v>984</v>
      </c>
      <c r="B2830" s="2" t="s">
        <v>788</v>
      </c>
      <c r="C2830" s="2" t="s">
        <v>1016</v>
      </c>
      <c r="D2830" s="2" t="s">
        <v>807</v>
      </c>
      <c r="E2830" s="2" t="s">
        <v>115</v>
      </c>
      <c r="F2830" s="3">
        <v>50</v>
      </c>
      <c r="G2830" s="4">
        <v>12</v>
      </c>
      <c r="H2830" s="5">
        <v>0</v>
      </c>
    </row>
    <row r="2831" spans="1:8" x14ac:dyDescent="0.35">
      <c r="A2831" s="2" t="s">
        <v>984</v>
      </c>
      <c r="B2831" s="2" t="s">
        <v>788</v>
      </c>
      <c r="C2831" s="2" t="s">
        <v>837</v>
      </c>
      <c r="D2831" s="2" t="s">
        <v>838</v>
      </c>
      <c r="E2831" s="2" t="s">
        <v>452</v>
      </c>
      <c r="F2831" s="3">
        <v>50</v>
      </c>
      <c r="G2831" s="4">
        <v>1</v>
      </c>
      <c r="H2831" s="5">
        <v>0</v>
      </c>
    </row>
    <row r="2832" spans="1:8" x14ac:dyDescent="0.35">
      <c r="A2832" s="2" t="s">
        <v>984</v>
      </c>
      <c r="B2832" s="2" t="s">
        <v>788</v>
      </c>
      <c r="C2832" s="2" t="s">
        <v>1017</v>
      </c>
      <c r="D2832" s="2" t="s">
        <v>1018</v>
      </c>
      <c r="E2832" s="2" t="s">
        <v>215</v>
      </c>
      <c r="F2832" s="3">
        <v>100</v>
      </c>
      <c r="G2832" s="4">
        <v>60</v>
      </c>
      <c r="H2832" s="5">
        <v>0</v>
      </c>
    </row>
    <row r="2833" spans="1:8" x14ac:dyDescent="0.35">
      <c r="A2833" s="2" t="s">
        <v>984</v>
      </c>
      <c r="B2833" s="2" t="s">
        <v>788</v>
      </c>
      <c r="C2833" s="2" t="s">
        <v>1019</v>
      </c>
      <c r="D2833" s="2" t="s">
        <v>1020</v>
      </c>
      <c r="E2833" s="2" t="s">
        <v>603</v>
      </c>
      <c r="F2833" s="3">
        <v>1300</v>
      </c>
      <c r="G2833" s="4">
        <v>60</v>
      </c>
      <c r="H2833" s="5">
        <v>7.4999999999999997E-3</v>
      </c>
    </row>
    <row r="2834" spans="1:8" x14ac:dyDescent="0.35">
      <c r="A2834" s="2" t="s">
        <v>984</v>
      </c>
      <c r="B2834" s="2" t="s">
        <v>788</v>
      </c>
      <c r="C2834" s="2" t="s">
        <v>1021</v>
      </c>
      <c r="D2834" s="2" t="s">
        <v>1022</v>
      </c>
      <c r="E2834" s="2" t="s">
        <v>1023</v>
      </c>
      <c r="F2834" s="3">
        <v>120</v>
      </c>
      <c r="G2834" s="4">
        <v>60</v>
      </c>
      <c r="H2834" s="5">
        <v>0</v>
      </c>
    </row>
    <row r="2835" spans="1:8" x14ac:dyDescent="0.35">
      <c r="A2835" s="2" t="s">
        <v>984</v>
      </c>
      <c r="B2835" s="2" t="s">
        <v>788</v>
      </c>
      <c r="C2835" s="2" t="s">
        <v>1024</v>
      </c>
      <c r="D2835" s="2" t="s">
        <v>1025</v>
      </c>
      <c r="E2835" s="2" t="s">
        <v>1026</v>
      </c>
      <c r="F2835" s="3">
        <v>42</v>
      </c>
      <c r="G2835" s="4">
        <v>60</v>
      </c>
      <c r="H2835" s="5">
        <v>0</v>
      </c>
    </row>
    <row r="2836" spans="1:8" x14ac:dyDescent="0.35">
      <c r="A2836" s="2" t="s">
        <v>984</v>
      </c>
      <c r="B2836" s="2" t="s">
        <v>788</v>
      </c>
      <c r="C2836" s="2" t="s">
        <v>1027</v>
      </c>
      <c r="D2836" s="2" t="s">
        <v>1028</v>
      </c>
      <c r="E2836" s="2" t="s">
        <v>820</v>
      </c>
      <c r="F2836" s="3">
        <v>110</v>
      </c>
      <c r="G2836" s="4">
        <v>60</v>
      </c>
      <c r="H2836" s="5">
        <v>0</v>
      </c>
    </row>
    <row r="2837" spans="1:8" x14ac:dyDescent="0.35">
      <c r="A2837" s="2" t="s">
        <v>984</v>
      </c>
      <c r="B2837" s="2" t="s">
        <v>788</v>
      </c>
      <c r="C2837" s="2" t="s">
        <v>1029</v>
      </c>
      <c r="D2837" s="2" t="s">
        <v>1030</v>
      </c>
      <c r="E2837" s="2" t="s">
        <v>1031</v>
      </c>
      <c r="F2837" s="3">
        <v>30</v>
      </c>
      <c r="G2837" s="4">
        <v>12</v>
      </c>
      <c r="H2837" s="5">
        <v>0</v>
      </c>
    </row>
    <row r="2838" spans="1:8" x14ac:dyDescent="0.35">
      <c r="A2838" s="2" t="s">
        <v>984</v>
      </c>
      <c r="B2838" s="2" t="s">
        <v>788</v>
      </c>
      <c r="C2838" s="2" t="s">
        <v>1032</v>
      </c>
      <c r="D2838" s="2" t="s">
        <v>1033</v>
      </c>
      <c r="E2838" s="2" t="s">
        <v>1034</v>
      </c>
      <c r="F2838" s="3">
        <v>544.16</v>
      </c>
      <c r="G2838" s="4">
        <v>60</v>
      </c>
      <c r="H2838" s="5">
        <v>0</v>
      </c>
    </row>
    <row r="2839" spans="1:8" x14ac:dyDescent="0.35">
      <c r="A2839" s="2" t="s">
        <v>984</v>
      </c>
      <c r="B2839" s="2" t="s">
        <v>788</v>
      </c>
      <c r="C2839" s="2" t="s">
        <v>1035</v>
      </c>
      <c r="D2839" s="2" t="s">
        <v>1036</v>
      </c>
      <c r="E2839" s="2" t="s">
        <v>964</v>
      </c>
      <c r="F2839" s="3">
        <v>82</v>
      </c>
      <c r="G2839" s="4">
        <v>36</v>
      </c>
      <c r="H2839" s="5">
        <v>0</v>
      </c>
    </row>
    <row r="2840" spans="1:8" x14ac:dyDescent="0.35">
      <c r="A2840" s="2" t="s">
        <v>984</v>
      </c>
      <c r="B2840" s="2" t="s">
        <v>788</v>
      </c>
      <c r="C2840" s="2" t="s">
        <v>1037</v>
      </c>
      <c r="D2840" s="2" t="s">
        <v>1038</v>
      </c>
      <c r="E2840" s="2" t="s">
        <v>1026</v>
      </c>
      <c r="F2840" s="3">
        <v>190</v>
      </c>
      <c r="G2840" s="4">
        <v>48</v>
      </c>
      <c r="H2840" s="5">
        <v>0</v>
      </c>
    </row>
    <row r="2841" spans="1:8" ht="14.5" customHeight="1" x14ac:dyDescent="0.35">
      <c r="A2841" s="2" t="s">
        <v>984</v>
      </c>
      <c r="B2841" s="2" t="s">
        <v>788</v>
      </c>
      <c r="C2841" s="2" t="s">
        <v>1039</v>
      </c>
      <c r="D2841" s="2" t="s">
        <v>1040</v>
      </c>
      <c r="E2841" s="2" t="s">
        <v>1041</v>
      </c>
      <c r="F2841" s="3">
        <v>130</v>
      </c>
      <c r="G2841" s="4">
        <v>60</v>
      </c>
      <c r="H2841" s="5">
        <v>0</v>
      </c>
    </row>
    <row r="2842" spans="1:8" x14ac:dyDescent="0.35">
      <c r="A2842" s="2" t="s">
        <v>984</v>
      </c>
      <c r="B2842" s="2" t="s">
        <v>291</v>
      </c>
      <c r="C2842" s="2" t="s">
        <v>985</v>
      </c>
      <c r="D2842" s="2" t="s">
        <v>986</v>
      </c>
      <c r="E2842" s="2" t="s">
        <v>443</v>
      </c>
      <c r="F2842" s="3">
        <v>29</v>
      </c>
      <c r="G2842" s="4">
        <v>1</v>
      </c>
      <c r="H2842" s="5">
        <v>0</v>
      </c>
    </row>
    <row r="2843" spans="1:8" x14ac:dyDescent="0.35">
      <c r="A2843" s="2" t="s">
        <v>984</v>
      </c>
      <c r="B2843" s="2" t="s">
        <v>291</v>
      </c>
      <c r="C2843" s="2" t="s">
        <v>987</v>
      </c>
      <c r="D2843" s="2" t="s">
        <v>988</v>
      </c>
      <c r="E2843" s="2" t="s">
        <v>24</v>
      </c>
      <c r="F2843" s="3">
        <v>250</v>
      </c>
      <c r="G2843" s="4">
        <v>60</v>
      </c>
      <c r="H2843" s="5">
        <v>0</v>
      </c>
    </row>
    <row r="2844" spans="1:8" x14ac:dyDescent="0.35">
      <c r="A2844" s="2" t="s">
        <v>984</v>
      </c>
      <c r="B2844" s="2" t="s">
        <v>291</v>
      </c>
      <c r="C2844" s="2" t="s">
        <v>989</v>
      </c>
      <c r="D2844" s="2" t="s">
        <v>990</v>
      </c>
      <c r="E2844" s="2" t="s">
        <v>46</v>
      </c>
      <c r="F2844" s="3">
        <v>1350</v>
      </c>
      <c r="G2844" s="4">
        <v>60</v>
      </c>
      <c r="H2844" s="5">
        <v>7.4999999999999997E-3</v>
      </c>
    </row>
    <row r="2845" spans="1:8" x14ac:dyDescent="0.35">
      <c r="A2845" s="2" t="s">
        <v>984</v>
      </c>
      <c r="B2845" s="2" t="s">
        <v>291</v>
      </c>
      <c r="C2845" s="2" t="s">
        <v>991</v>
      </c>
      <c r="D2845" s="2" t="s">
        <v>992</v>
      </c>
      <c r="E2845" s="2" t="s">
        <v>48</v>
      </c>
      <c r="F2845" s="3">
        <v>350.25</v>
      </c>
      <c r="G2845" s="4">
        <v>60</v>
      </c>
      <c r="H2845" s="5">
        <v>0</v>
      </c>
    </row>
    <row r="2846" spans="1:8" x14ac:dyDescent="0.35">
      <c r="A2846" s="2" t="s">
        <v>984</v>
      </c>
      <c r="B2846" s="2" t="s">
        <v>291</v>
      </c>
      <c r="C2846" s="2" t="s">
        <v>796</v>
      </c>
      <c r="D2846" s="2" t="s">
        <v>797</v>
      </c>
      <c r="E2846" s="2" t="s">
        <v>71</v>
      </c>
      <c r="F2846" s="3">
        <v>200</v>
      </c>
      <c r="G2846" s="4">
        <v>60</v>
      </c>
      <c r="H2846" s="5">
        <v>0</v>
      </c>
    </row>
    <row r="2847" spans="1:8" x14ac:dyDescent="0.35">
      <c r="A2847" s="2" t="s">
        <v>984</v>
      </c>
      <c r="B2847" s="2" t="s">
        <v>291</v>
      </c>
      <c r="C2847" s="2" t="s">
        <v>982</v>
      </c>
      <c r="D2847" s="2" t="s">
        <v>983</v>
      </c>
      <c r="E2847" s="2" t="s">
        <v>102</v>
      </c>
      <c r="F2847" s="3">
        <v>50</v>
      </c>
      <c r="G2847" s="4">
        <v>1</v>
      </c>
      <c r="H2847" s="5">
        <v>0</v>
      </c>
    </row>
    <row r="2848" spans="1:8" x14ac:dyDescent="0.35">
      <c r="A2848" s="2" t="s">
        <v>984</v>
      </c>
      <c r="B2848" s="2" t="s">
        <v>291</v>
      </c>
      <c r="C2848" s="2" t="s">
        <v>802</v>
      </c>
      <c r="D2848" s="2" t="s">
        <v>803</v>
      </c>
      <c r="E2848" s="2" t="s">
        <v>147</v>
      </c>
      <c r="F2848" s="3">
        <v>1400</v>
      </c>
      <c r="G2848" s="4">
        <v>60</v>
      </c>
      <c r="H2848" s="5">
        <v>7.4999999999999997E-3</v>
      </c>
    </row>
    <row r="2849" spans="1:8" x14ac:dyDescent="0.35">
      <c r="A2849" s="2" t="s">
        <v>984</v>
      </c>
      <c r="B2849" s="2" t="s">
        <v>291</v>
      </c>
      <c r="C2849" s="2" t="s">
        <v>993</v>
      </c>
      <c r="D2849" s="2" t="s">
        <v>994</v>
      </c>
      <c r="E2849" s="2" t="s">
        <v>158</v>
      </c>
      <c r="F2849" s="3">
        <v>2000</v>
      </c>
      <c r="G2849" s="4">
        <v>60</v>
      </c>
      <c r="H2849" s="5">
        <v>7.4999999999999997E-3</v>
      </c>
    </row>
    <row r="2850" spans="1:8" x14ac:dyDescent="0.35">
      <c r="A2850" s="2" t="s">
        <v>984</v>
      </c>
      <c r="B2850" s="2" t="s">
        <v>291</v>
      </c>
      <c r="C2850" s="2" t="s">
        <v>804</v>
      </c>
      <c r="D2850" s="2" t="s">
        <v>805</v>
      </c>
      <c r="E2850" s="2" t="s">
        <v>180</v>
      </c>
      <c r="F2850" s="3">
        <v>150</v>
      </c>
      <c r="G2850" s="4">
        <v>60</v>
      </c>
      <c r="H2850" s="5">
        <v>0</v>
      </c>
    </row>
    <row r="2851" spans="1:8" x14ac:dyDescent="0.35">
      <c r="A2851" s="2" t="s">
        <v>984</v>
      </c>
      <c r="B2851" s="2" t="s">
        <v>291</v>
      </c>
      <c r="C2851" s="2" t="s">
        <v>995</v>
      </c>
      <c r="D2851" s="2" t="s">
        <v>996</v>
      </c>
      <c r="E2851" s="2" t="s">
        <v>204</v>
      </c>
      <c r="F2851" s="3">
        <v>270</v>
      </c>
      <c r="G2851" s="4">
        <v>60</v>
      </c>
      <c r="H2851" s="5">
        <v>0</v>
      </c>
    </row>
    <row r="2852" spans="1:8" x14ac:dyDescent="0.35">
      <c r="A2852" s="2" t="s">
        <v>984</v>
      </c>
      <c r="B2852" s="2" t="s">
        <v>291</v>
      </c>
      <c r="C2852" s="2" t="s">
        <v>997</v>
      </c>
      <c r="D2852" s="2" t="s">
        <v>998</v>
      </c>
      <c r="E2852" s="2" t="s">
        <v>59</v>
      </c>
      <c r="F2852" s="3">
        <v>140</v>
      </c>
      <c r="G2852" s="4">
        <v>60</v>
      </c>
      <c r="H2852" s="5">
        <v>0</v>
      </c>
    </row>
    <row r="2853" spans="1:8" x14ac:dyDescent="0.35">
      <c r="A2853" s="2" t="s">
        <v>984</v>
      </c>
      <c r="B2853" s="2" t="s">
        <v>291</v>
      </c>
      <c r="C2853" s="2" t="s">
        <v>999</v>
      </c>
      <c r="D2853" s="2" t="s">
        <v>1000</v>
      </c>
      <c r="E2853" s="2" t="s">
        <v>237</v>
      </c>
      <c r="F2853" s="3">
        <v>1500</v>
      </c>
      <c r="G2853" s="4">
        <v>60</v>
      </c>
      <c r="H2853" s="5">
        <v>0</v>
      </c>
    </row>
    <row r="2854" spans="1:8" x14ac:dyDescent="0.35">
      <c r="A2854" s="2" t="s">
        <v>984</v>
      </c>
      <c r="B2854" s="2" t="s">
        <v>291</v>
      </c>
      <c r="C2854" s="2" t="s">
        <v>810</v>
      </c>
      <c r="D2854" s="2" t="s">
        <v>811</v>
      </c>
      <c r="E2854" s="2" t="s">
        <v>248</v>
      </c>
      <c r="F2854" s="3">
        <v>400</v>
      </c>
      <c r="G2854" s="4">
        <v>60</v>
      </c>
      <c r="H2854" s="5">
        <v>0</v>
      </c>
    </row>
    <row r="2855" spans="1:8" x14ac:dyDescent="0.35">
      <c r="A2855" s="2" t="s">
        <v>984</v>
      </c>
      <c r="B2855" s="2" t="s">
        <v>291</v>
      </c>
      <c r="C2855" s="2" t="s">
        <v>1001</v>
      </c>
      <c r="D2855" s="2" t="s">
        <v>1002</v>
      </c>
      <c r="E2855" s="2" t="s">
        <v>226</v>
      </c>
      <c r="F2855" s="3">
        <v>2000</v>
      </c>
      <c r="G2855" s="4">
        <v>60</v>
      </c>
      <c r="H2855" s="5">
        <v>7.4999999999999997E-3</v>
      </c>
    </row>
    <row r="2856" spans="1:8" x14ac:dyDescent="0.35">
      <c r="A2856" s="2" t="s">
        <v>984</v>
      </c>
      <c r="B2856" s="2" t="s">
        <v>291</v>
      </c>
      <c r="C2856" s="2" t="s">
        <v>1003</v>
      </c>
      <c r="D2856" s="2" t="s">
        <v>1004</v>
      </c>
      <c r="E2856" s="2" t="s">
        <v>260</v>
      </c>
      <c r="F2856" s="3">
        <v>20000</v>
      </c>
      <c r="G2856" s="4">
        <v>60</v>
      </c>
      <c r="H2856" s="5">
        <v>7.4999999999999997E-3</v>
      </c>
    </row>
    <row r="2857" spans="1:8" x14ac:dyDescent="0.35">
      <c r="A2857" s="2" t="s">
        <v>984</v>
      </c>
      <c r="B2857" s="2" t="s">
        <v>291</v>
      </c>
      <c r="C2857" s="2" t="s">
        <v>1005</v>
      </c>
      <c r="D2857" s="2" t="s">
        <v>1006</v>
      </c>
      <c r="E2857" s="2" t="s">
        <v>260</v>
      </c>
      <c r="F2857" s="3">
        <v>9800</v>
      </c>
      <c r="G2857" s="4">
        <v>60</v>
      </c>
      <c r="H2857" s="5">
        <v>7.4999999999999997E-3</v>
      </c>
    </row>
    <row r="2858" spans="1:8" x14ac:dyDescent="0.35">
      <c r="A2858" s="2" t="s">
        <v>984</v>
      </c>
      <c r="B2858" s="2" t="s">
        <v>291</v>
      </c>
      <c r="C2858" s="2" t="s">
        <v>1007</v>
      </c>
      <c r="D2858" s="2" t="s">
        <v>1008</v>
      </c>
      <c r="E2858" s="2" t="s">
        <v>1009</v>
      </c>
      <c r="F2858" s="3">
        <v>80</v>
      </c>
      <c r="G2858" s="4">
        <v>60</v>
      </c>
      <c r="H2858" s="5">
        <v>0</v>
      </c>
    </row>
    <row r="2859" spans="1:8" x14ac:dyDescent="0.35">
      <c r="A2859" s="2" t="s">
        <v>984</v>
      </c>
      <c r="B2859" s="2" t="s">
        <v>291</v>
      </c>
      <c r="C2859" s="2" t="s">
        <v>798</v>
      </c>
      <c r="D2859" s="2" t="s">
        <v>799</v>
      </c>
      <c r="E2859" s="2" t="s">
        <v>92</v>
      </c>
      <c r="F2859" s="3">
        <v>1100</v>
      </c>
      <c r="G2859" s="4">
        <v>60</v>
      </c>
      <c r="H2859" s="5">
        <v>0</v>
      </c>
    </row>
    <row r="2860" spans="1:8" x14ac:dyDescent="0.35">
      <c r="A2860" s="2" t="s">
        <v>984</v>
      </c>
      <c r="B2860" s="2" t="s">
        <v>291</v>
      </c>
      <c r="C2860" s="2" t="s">
        <v>1010</v>
      </c>
      <c r="D2860" s="2" t="s">
        <v>835</v>
      </c>
      <c r="E2860" s="2" t="s">
        <v>836</v>
      </c>
      <c r="F2860" s="3">
        <v>35</v>
      </c>
      <c r="G2860" s="4">
        <v>12</v>
      </c>
      <c r="H2860" s="5">
        <v>0</v>
      </c>
    </row>
    <row r="2861" spans="1:8" x14ac:dyDescent="0.35">
      <c r="A2861" s="2" t="s">
        <v>984</v>
      </c>
      <c r="B2861" s="2" t="s">
        <v>291</v>
      </c>
      <c r="C2861" s="2" t="s">
        <v>1011</v>
      </c>
      <c r="D2861" s="2" t="s">
        <v>824</v>
      </c>
      <c r="E2861" s="2" t="s">
        <v>315</v>
      </c>
      <c r="F2861" s="3">
        <v>60</v>
      </c>
      <c r="G2861" s="4">
        <v>12</v>
      </c>
      <c r="H2861" s="5">
        <v>0</v>
      </c>
    </row>
    <row r="2862" spans="1:8" x14ac:dyDescent="0.35">
      <c r="A2862" s="2" t="s">
        <v>984</v>
      </c>
      <c r="B2862" s="2" t="s">
        <v>291</v>
      </c>
      <c r="C2862" s="2" t="s">
        <v>1012</v>
      </c>
      <c r="D2862" s="2" t="s">
        <v>1013</v>
      </c>
      <c r="E2862" s="2" t="s">
        <v>303</v>
      </c>
      <c r="F2862" s="3">
        <v>25</v>
      </c>
      <c r="G2862" s="4">
        <v>36</v>
      </c>
      <c r="H2862" s="5">
        <v>0</v>
      </c>
    </row>
    <row r="2863" spans="1:8" x14ac:dyDescent="0.35">
      <c r="A2863" s="2" t="s">
        <v>984</v>
      </c>
      <c r="B2863" s="2" t="s">
        <v>291</v>
      </c>
      <c r="C2863" s="2" t="s">
        <v>800</v>
      </c>
      <c r="D2863" s="2" t="s">
        <v>801</v>
      </c>
      <c r="E2863" s="2" t="s">
        <v>104</v>
      </c>
      <c r="F2863" s="3">
        <v>30</v>
      </c>
      <c r="G2863" s="4">
        <v>36</v>
      </c>
      <c r="H2863" s="5">
        <v>0</v>
      </c>
    </row>
    <row r="2864" spans="1:8" x14ac:dyDescent="0.35">
      <c r="A2864" s="2" t="s">
        <v>984</v>
      </c>
      <c r="B2864" s="2" t="s">
        <v>291</v>
      </c>
      <c r="C2864" s="2" t="s">
        <v>1014</v>
      </c>
      <c r="D2864" s="2" t="s">
        <v>1015</v>
      </c>
      <c r="E2864" s="2" t="s">
        <v>300</v>
      </c>
      <c r="F2864" s="3">
        <v>35</v>
      </c>
      <c r="G2864" s="4">
        <v>12</v>
      </c>
      <c r="H2864" s="5">
        <v>0</v>
      </c>
    </row>
    <row r="2865" spans="1:8" x14ac:dyDescent="0.35">
      <c r="A2865" s="2" t="s">
        <v>984</v>
      </c>
      <c r="B2865" s="2" t="s">
        <v>291</v>
      </c>
      <c r="C2865" s="2" t="s">
        <v>829</v>
      </c>
      <c r="D2865" s="2" t="s">
        <v>632</v>
      </c>
      <c r="E2865" s="2" t="s">
        <v>322</v>
      </c>
      <c r="F2865" s="3">
        <v>32</v>
      </c>
      <c r="G2865" s="4">
        <v>60</v>
      </c>
      <c r="H2865" s="5">
        <v>0</v>
      </c>
    </row>
    <row r="2866" spans="1:8" x14ac:dyDescent="0.35">
      <c r="A2866" s="2" t="s">
        <v>984</v>
      </c>
      <c r="B2866" s="2" t="s">
        <v>291</v>
      </c>
      <c r="C2866" s="2" t="s">
        <v>1016</v>
      </c>
      <c r="D2866" s="2" t="s">
        <v>807</v>
      </c>
      <c r="E2866" s="2" t="s">
        <v>115</v>
      </c>
      <c r="F2866" s="3">
        <v>50</v>
      </c>
      <c r="G2866" s="4">
        <v>12</v>
      </c>
      <c r="H2866" s="5">
        <v>0</v>
      </c>
    </row>
    <row r="2867" spans="1:8" x14ac:dyDescent="0.35">
      <c r="A2867" s="2" t="s">
        <v>984</v>
      </c>
      <c r="B2867" s="2" t="s">
        <v>291</v>
      </c>
      <c r="C2867" s="2" t="s">
        <v>837</v>
      </c>
      <c r="D2867" s="2" t="s">
        <v>838</v>
      </c>
      <c r="E2867" s="2" t="s">
        <v>452</v>
      </c>
      <c r="F2867" s="3">
        <v>50</v>
      </c>
      <c r="G2867" s="4">
        <v>1</v>
      </c>
      <c r="H2867" s="5">
        <v>0</v>
      </c>
    </row>
    <row r="2868" spans="1:8" x14ac:dyDescent="0.35">
      <c r="A2868" s="2" t="s">
        <v>984</v>
      </c>
      <c r="B2868" s="2" t="s">
        <v>291</v>
      </c>
      <c r="C2868" s="2" t="s">
        <v>1017</v>
      </c>
      <c r="D2868" s="2" t="s">
        <v>1018</v>
      </c>
      <c r="E2868" s="2" t="s">
        <v>215</v>
      </c>
      <c r="F2868" s="3">
        <v>100</v>
      </c>
      <c r="G2868" s="4">
        <v>60</v>
      </c>
      <c r="H2868" s="5">
        <v>0</v>
      </c>
    </row>
    <row r="2869" spans="1:8" x14ac:dyDescent="0.35">
      <c r="A2869" s="2" t="s">
        <v>984</v>
      </c>
      <c r="B2869" s="2" t="s">
        <v>291</v>
      </c>
      <c r="C2869" s="2" t="s">
        <v>1019</v>
      </c>
      <c r="D2869" s="2" t="s">
        <v>1020</v>
      </c>
      <c r="E2869" s="2" t="s">
        <v>603</v>
      </c>
      <c r="F2869" s="3">
        <v>1300</v>
      </c>
      <c r="G2869" s="4">
        <v>60</v>
      </c>
      <c r="H2869" s="5">
        <v>7.4999999999999997E-3</v>
      </c>
    </row>
    <row r="2870" spans="1:8" x14ac:dyDescent="0.35">
      <c r="A2870" s="2" t="s">
        <v>984</v>
      </c>
      <c r="B2870" s="2" t="s">
        <v>291</v>
      </c>
      <c r="C2870" s="2" t="s">
        <v>1021</v>
      </c>
      <c r="D2870" s="2" t="s">
        <v>1022</v>
      </c>
      <c r="E2870" s="2" t="s">
        <v>1023</v>
      </c>
      <c r="F2870" s="3">
        <v>120</v>
      </c>
      <c r="G2870" s="4">
        <v>60</v>
      </c>
      <c r="H2870" s="5">
        <v>0</v>
      </c>
    </row>
    <row r="2871" spans="1:8" x14ac:dyDescent="0.35">
      <c r="A2871" s="2" t="s">
        <v>984</v>
      </c>
      <c r="B2871" s="2" t="s">
        <v>291</v>
      </c>
      <c r="C2871" s="2" t="s">
        <v>1024</v>
      </c>
      <c r="D2871" s="2" t="s">
        <v>1025</v>
      </c>
      <c r="E2871" s="2" t="s">
        <v>1026</v>
      </c>
      <c r="F2871" s="3">
        <v>42</v>
      </c>
      <c r="G2871" s="4">
        <v>60</v>
      </c>
      <c r="H2871" s="5">
        <v>0</v>
      </c>
    </row>
    <row r="2872" spans="1:8" x14ac:dyDescent="0.35">
      <c r="A2872" s="2" t="s">
        <v>984</v>
      </c>
      <c r="B2872" s="2" t="s">
        <v>291</v>
      </c>
      <c r="C2872" s="2" t="s">
        <v>1027</v>
      </c>
      <c r="D2872" s="2" t="s">
        <v>1028</v>
      </c>
      <c r="E2872" s="2" t="s">
        <v>820</v>
      </c>
      <c r="F2872" s="3">
        <v>110</v>
      </c>
      <c r="G2872" s="4">
        <v>60</v>
      </c>
      <c r="H2872" s="5">
        <v>0</v>
      </c>
    </row>
    <row r="2873" spans="1:8" x14ac:dyDescent="0.35">
      <c r="A2873" s="2" t="s">
        <v>984</v>
      </c>
      <c r="B2873" s="2" t="s">
        <v>291</v>
      </c>
      <c r="C2873" s="2" t="s">
        <v>1029</v>
      </c>
      <c r="D2873" s="2" t="s">
        <v>1030</v>
      </c>
      <c r="E2873" s="2" t="s">
        <v>1031</v>
      </c>
      <c r="F2873" s="3">
        <v>30</v>
      </c>
      <c r="G2873" s="4">
        <v>12</v>
      </c>
      <c r="H2873" s="5">
        <v>0</v>
      </c>
    </row>
    <row r="2874" spans="1:8" x14ac:dyDescent="0.35">
      <c r="A2874" s="2" t="s">
        <v>984</v>
      </c>
      <c r="B2874" s="2" t="s">
        <v>291</v>
      </c>
      <c r="C2874" s="2" t="s">
        <v>1032</v>
      </c>
      <c r="D2874" s="2" t="s">
        <v>1033</v>
      </c>
      <c r="E2874" s="2" t="s">
        <v>1034</v>
      </c>
      <c r="F2874" s="3">
        <v>544.16</v>
      </c>
      <c r="G2874" s="4">
        <v>60</v>
      </c>
      <c r="H2874" s="5">
        <v>0</v>
      </c>
    </row>
    <row r="2875" spans="1:8" x14ac:dyDescent="0.35">
      <c r="A2875" s="2" t="s">
        <v>984</v>
      </c>
      <c r="B2875" s="2" t="s">
        <v>291</v>
      </c>
      <c r="C2875" s="2" t="s">
        <v>1035</v>
      </c>
      <c r="D2875" s="2" t="s">
        <v>1036</v>
      </c>
      <c r="E2875" s="2" t="s">
        <v>964</v>
      </c>
      <c r="F2875" s="3">
        <v>82</v>
      </c>
      <c r="G2875" s="4">
        <v>36</v>
      </c>
      <c r="H2875" s="5">
        <v>0</v>
      </c>
    </row>
    <row r="2876" spans="1:8" x14ac:dyDescent="0.35">
      <c r="A2876" s="2" t="s">
        <v>984</v>
      </c>
      <c r="B2876" s="2" t="s">
        <v>291</v>
      </c>
      <c r="C2876" s="2" t="s">
        <v>1037</v>
      </c>
      <c r="D2876" s="2" t="s">
        <v>1038</v>
      </c>
      <c r="E2876" s="2" t="s">
        <v>1026</v>
      </c>
      <c r="F2876" s="3">
        <v>190</v>
      </c>
      <c r="G2876" s="4">
        <v>48</v>
      </c>
      <c r="H2876" s="5">
        <v>0</v>
      </c>
    </row>
    <row r="2877" spans="1:8" ht="14.5" customHeight="1" x14ac:dyDescent="0.35">
      <c r="A2877" s="2" t="s">
        <v>984</v>
      </c>
      <c r="B2877" s="2" t="s">
        <v>291</v>
      </c>
      <c r="C2877" s="2" t="s">
        <v>1039</v>
      </c>
      <c r="D2877" s="2" t="s">
        <v>1040</v>
      </c>
      <c r="E2877" s="2" t="s">
        <v>1041</v>
      </c>
      <c r="F2877" s="3">
        <v>130</v>
      </c>
      <c r="G2877" s="4">
        <v>60</v>
      </c>
      <c r="H2877" s="5">
        <v>0</v>
      </c>
    </row>
    <row r="2878" spans="1:8" x14ac:dyDescent="0.35">
      <c r="A2878" s="2" t="s">
        <v>984</v>
      </c>
      <c r="B2878" s="2" t="s">
        <v>787</v>
      </c>
      <c r="C2878" s="2" t="s">
        <v>985</v>
      </c>
      <c r="D2878" s="2" t="s">
        <v>986</v>
      </c>
      <c r="E2878" s="2" t="s">
        <v>443</v>
      </c>
      <c r="F2878" s="3">
        <v>46</v>
      </c>
      <c r="G2878" s="4">
        <v>1</v>
      </c>
      <c r="H2878" s="5">
        <v>0</v>
      </c>
    </row>
    <row r="2879" spans="1:8" x14ac:dyDescent="0.35">
      <c r="A2879" s="2" t="s">
        <v>984</v>
      </c>
      <c r="B2879" s="2" t="s">
        <v>787</v>
      </c>
      <c r="C2879" s="2" t="s">
        <v>987</v>
      </c>
      <c r="D2879" s="2" t="s">
        <v>988</v>
      </c>
      <c r="E2879" s="2" t="s">
        <v>24</v>
      </c>
      <c r="F2879" s="3">
        <v>250</v>
      </c>
      <c r="G2879" s="4">
        <v>60</v>
      </c>
      <c r="H2879" s="5">
        <v>0</v>
      </c>
    </row>
    <row r="2880" spans="1:8" x14ac:dyDescent="0.35">
      <c r="A2880" s="2" t="s">
        <v>984</v>
      </c>
      <c r="B2880" s="2" t="s">
        <v>787</v>
      </c>
      <c r="C2880" s="2" t="s">
        <v>989</v>
      </c>
      <c r="D2880" s="2" t="s">
        <v>990</v>
      </c>
      <c r="E2880" s="2" t="s">
        <v>46</v>
      </c>
      <c r="F2880" s="3">
        <v>1350</v>
      </c>
      <c r="G2880" s="4">
        <v>60</v>
      </c>
      <c r="H2880" s="5">
        <v>7.4999999999999997E-3</v>
      </c>
    </row>
    <row r="2881" spans="1:8" x14ac:dyDescent="0.35">
      <c r="A2881" s="2" t="s">
        <v>984</v>
      </c>
      <c r="B2881" s="2" t="s">
        <v>787</v>
      </c>
      <c r="C2881" s="2" t="s">
        <v>991</v>
      </c>
      <c r="D2881" s="2" t="s">
        <v>992</v>
      </c>
      <c r="E2881" s="2" t="s">
        <v>48</v>
      </c>
      <c r="F2881" s="3">
        <v>389.39</v>
      </c>
      <c r="G2881" s="4">
        <v>60</v>
      </c>
      <c r="H2881" s="5">
        <v>0</v>
      </c>
    </row>
    <row r="2882" spans="1:8" x14ac:dyDescent="0.35">
      <c r="A2882" s="2" t="s">
        <v>984</v>
      </c>
      <c r="B2882" s="2" t="s">
        <v>787</v>
      </c>
      <c r="C2882" s="2" t="s">
        <v>796</v>
      </c>
      <c r="D2882" s="2" t="s">
        <v>797</v>
      </c>
      <c r="E2882" s="2" t="s">
        <v>71</v>
      </c>
      <c r="F2882" s="3">
        <v>555.74</v>
      </c>
      <c r="G2882" s="4">
        <v>60</v>
      </c>
      <c r="H2882" s="5">
        <v>0</v>
      </c>
    </row>
    <row r="2883" spans="1:8" x14ac:dyDescent="0.35">
      <c r="A2883" s="2" t="s">
        <v>984</v>
      </c>
      <c r="B2883" s="2" t="s">
        <v>787</v>
      </c>
      <c r="C2883" s="2" t="s">
        <v>982</v>
      </c>
      <c r="D2883" s="2" t="s">
        <v>983</v>
      </c>
      <c r="E2883" s="2" t="s">
        <v>102</v>
      </c>
      <c r="F2883" s="3">
        <v>70</v>
      </c>
      <c r="G2883" s="4">
        <v>1</v>
      </c>
      <c r="H2883" s="5">
        <v>0</v>
      </c>
    </row>
    <row r="2884" spans="1:8" x14ac:dyDescent="0.35">
      <c r="A2884" s="2" t="s">
        <v>984</v>
      </c>
      <c r="B2884" s="2" t="s">
        <v>787</v>
      </c>
      <c r="C2884" s="2" t="s">
        <v>802</v>
      </c>
      <c r="D2884" s="2" t="s">
        <v>803</v>
      </c>
      <c r="E2884" s="2" t="s">
        <v>147</v>
      </c>
      <c r="F2884" s="3">
        <v>1980</v>
      </c>
      <c r="G2884" s="4">
        <v>60</v>
      </c>
      <c r="H2884" s="5">
        <v>7.4999999999999997E-3</v>
      </c>
    </row>
    <row r="2885" spans="1:8" x14ac:dyDescent="0.35">
      <c r="A2885" s="2" t="s">
        <v>984</v>
      </c>
      <c r="B2885" s="2" t="s">
        <v>787</v>
      </c>
      <c r="C2885" s="2" t="s">
        <v>993</v>
      </c>
      <c r="D2885" s="2" t="s">
        <v>994</v>
      </c>
      <c r="E2885" s="2" t="s">
        <v>158</v>
      </c>
      <c r="F2885" s="3">
        <v>3764</v>
      </c>
      <c r="G2885" s="4">
        <v>60</v>
      </c>
      <c r="H2885" s="5">
        <v>7.4999999999999997E-3</v>
      </c>
    </row>
    <row r="2886" spans="1:8" x14ac:dyDescent="0.35">
      <c r="A2886" s="2" t="s">
        <v>984</v>
      </c>
      <c r="B2886" s="2" t="s">
        <v>787</v>
      </c>
      <c r="C2886" s="2" t="s">
        <v>804</v>
      </c>
      <c r="D2886" s="2" t="s">
        <v>805</v>
      </c>
      <c r="E2886" s="2" t="s">
        <v>180</v>
      </c>
      <c r="F2886" s="3">
        <v>210.98</v>
      </c>
      <c r="G2886" s="4">
        <v>60</v>
      </c>
      <c r="H2886" s="5">
        <v>0</v>
      </c>
    </row>
    <row r="2887" spans="1:8" x14ac:dyDescent="0.35">
      <c r="A2887" s="2" t="s">
        <v>984</v>
      </c>
      <c r="B2887" s="2" t="s">
        <v>787</v>
      </c>
      <c r="C2887" s="2" t="s">
        <v>995</v>
      </c>
      <c r="D2887" s="2" t="s">
        <v>996</v>
      </c>
      <c r="E2887" s="2" t="s">
        <v>204</v>
      </c>
      <c r="F2887" s="3">
        <v>290</v>
      </c>
      <c r="G2887" s="4">
        <v>60</v>
      </c>
      <c r="H2887" s="5">
        <v>0</v>
      </c>
    </row>
    <row r="2888" spans="1:8" x14ac:dyDescent="0.35">
      <c r="A2888" s="2" t="s">
        <v>984</v>
      </c>
      <c r="B2888" s="2" t="s">
        <v>787</v>
      </c>
      <c r="C2888" s="2" t="s">
        <v>997</v>
      </c>
      <c r="D2888" s="2" t="s">
        <v>998</v>
      </c>
      <c r="E2888" s="2" t="s">
        <v>59</v>
      </c>
      <c r="F2888" s="3">
        <v>264.89999999999998</v>
      </c>
      <c r="G2888" s="4">
        <v>60</v>
      </c>
      <c r="H2888" s="5">
        <v>0</v>
      </c>
    </row>
    <row r="2889" spans="1:8" x14ac:dyDescent="0.35">
      <c r="A2889" s="2" t="s">
        <v>984</v>
      </c>
      <c r="B2889" s="2" t="s">
        <v>787</v>
      </c>
      <c r="C2889" s="2" t="s">
        <v>999</v>
      </c>
      <c r="D2889" s="2" t="s">
        <v>1000</v>
      </c>
      <c r="E2889" s="2" t="s">
        <v>237</v>
      </c>
      <c r="F2889" s="3">
        <v>54.61</v>
      </c>
      <c r="G2889" s="4">
        <v>1</v>
      </c>
      <c r="H2889" s="5">
        <v>0</v>
      </c>
    </row>
    <row r="2890" spans="1:8" x14ac:dyDescent="0.35">
      <c r="A2890" s="2" t="s">
        <v>984</v>
      </c>
      <c r="B2890" s="2" t="s">
        <v>787</v>
      </c>
      <c r="C2890" s="2" t="s">
        <v>810</v>
      </c>
      <c r="D2890" s="2" t="s">
        <v>811</v>
      </c>
      <c r="E2890" s="2" t="s">
        <v>248</v>
      </c>
      <c r="F2890" s="3">
        <v>400</v>
      </c>
      <c r="G2890" s="4">
        <v>60</v>
      </c>
      <c r="H2890" s="5">
        <v>0</v>
      </c>
    </row>
    <row r="2891" spans="1:8" x14ac:dyDescent="0.35">
      <c r="A2891" s="2" t="s">
        <v>984</v>
      </c>
      <c r="B2891" s="2" t="s">
        <v>787</v>
      </c>
      <c r="C2891" s="2" t="s">
        <v>1001</v>
      </c>
      <c r="D2891" s="2" t="s">
        <v>1002</v>
      </c>
      <c r="E2891" s="2" t="s">
        <v>226</v>
      </c>
      <c r="F2891" s="3">
        <v>2399</v>
      </c>
      <c r="G2891" s="4">
        <v>60</v>
      </c>
      <c r="H2891" s="5">
        <v>7.4999999999999997E-3</v>
      </c>
    </row>
    <row r="2892" spans="1:8" x14ac:dyDescent="0.35">
      <c r="A2892" s="2" t="s">
        <v>984</v>
      </c>
      <c r="B2892" s="2" t="s">
        <v>787</v>
      </c>
      <c r="C2892" s="2" t="s">
        <v>1003</v>
      </c>
      <c r="D2892" s="2" t="s">
        <v>1004</v>
      </c>
      <c r="E2892" s="2" t="s">
        <v>260</v>
      </c>
      <c r="F2892" s="3">
        <v>22200</v>
      </c>
      <c r="G2892" s="4">
        <v>60</v>
      </c>
      <c r="H2892" s="5">
        <v>0.04</v>
      </c>
    </row>
    <row r="2893" spans="1:8" x14ac:dyDescent="0.35">
      <c r="A2893" s="2" t="s">
        <v>984</v>
      </c>
      <c r="B2893" s="2" t="s">
        <v>787</v>
      </c>
      <c r="C2893" s="2" t="s">
        <v>1005</v>
      </c>
      <c r="D2893" s="2" t="s">
        <v>1006</v>
      </c>
      <c r="E2893" s="2" t="s">
        <v>260</v>
      </c>
      <c r="F2893" s="3">
        <v>10900</v>
      </c>
      <c r="G2893" s="4">
        <v>60</v>
      </c>
      <c r="H2893" s="5">
        <v>0.04</v>
      </c>
    </row>
    <row r="2894" spans="1:8" x14ac:dyDescent="0.35">
      <c r="A2894" s="2" t="s">
        <v>984</v>
      </c>
      <c r="B2894" s="2" t="s">
        <v>787</v>
      </c>
      <c r="C2894" s="2" t="s">
        <v>1007</v>
      </c>
      <c r="D2894" s="2" t="s">
        <v>1008</v>
      </c>
      <c r="E2894" s="2" t="s">
        <v>1009</v>
      </c>
      <c r="F2894" s="3">
        <v>80</v>
      </c>
      <c r="G2894" s="4">
        <v>60</v>
      </c>
      <c r="H2894" s="5">
        <v>0</v>
      </c>
    </row>
    <row r="2895" spans="1:8" x14ac:dyDescent="0.35">
      <c r="A2895" s="2" t="s">
        <v>984</v>
      </c>
      <c r="B2895" s="2" t="s">
        <v>787</v>
      </c>
      <c r="C2895" s="2" t="s">
        <v>798</v>
      </c>
      <c r="D2895" s="2" t="s">
        <v>799</v>
      </c>
      <c r="E2895" s="2" t="s">
        <v>92</v>
      </c>
      <c r="F2895" s="3">
        <v>1100</v>
      </c>
      <c r="G2895" s="4">
        <v>60</v>
      </c>
      <c r="H2895" s="5">
        <v>0</v>
      </c>
    </row>
    <row r="2896" spans="1:8" x14ac:dyDescent="0.35">
      <c r="A2896" s="2" t="s">
        <v>984</v>
      </c>
      <c r="B2896" s="2" t="s">
        <v>787</v>
      </c>
      <c r="C2896" s="2" t="s">
        <v>1010</v>
      </c>
      <c r="D2896" s="2" t="s">
        <v>835</v>
      </c>
      <c r="E2896" s="2" t="s">
        <v>836</v>
      </c>
      <c r="F2896" s="3">
        <v>65.05</v>
      </c>
      <c r="G2896" s="4">
        <v>12</v>
      </c>
      <c r="H2896" s="5">
        <v>0</v>
      </c>
    </row>
    <row r="2897" spans="1:8" x14ac:dyDescent="0.35">
      <c r="A2897" s="2" t="s">
        <v>984</v>
      </c>
      <c r="B2897" s="2" t="s">
        <v>787</v>
      </c>
      <c r="C2897" s="2" t="s">
        <v>1011</v>
      </c>
      <c r="D2897" s="2" t="s">
        <v>824</v>
      </c>
      <c r="E2897" s="2" t="s">
        <v>315</v>
      </c>
      <c r="F2897" s="3">
        <v>118.05</v>
      </c>
      <c r="G2897" s="4">
        <v>12</v>
      </c>
      <c r="H2897" s="5">
        <v>0</v>
      </c>
    </row>
    <row r="2898" spans="1:8" x14ac:dyDescent="0.35">
      <c r="A2898" s="2" t="s">
        <v>984</v>
      </c>
      <c r="B2898" s="2" t="s">
        <v>787</v>
      </c>
      <c r="C2898" s="2" t="s">
        <v>1012</v>
      </c>
      <c r="D2898" s="2" t="s">
        <v>1013</v>
      </c>
      <c r="E2898" s="2" t="s">
        <v>303</v>
      </c>
      <c r="F2898" s="3">
        <v>35.4</v>
      </c>
      <c r="G2898" s="4">
        <v>36</v>
      </c>
      <c r="H2898" s="5">
        <v>0</v>
      </c>
    </row>
    <row r="2899" spans="1:8" x14ac:dyDescent="0.35">
      <c r="A2899" s="2" t="s">
        <v>984</v>
      </c>
      <c r="B2899" s="2" t="s">
        <v>787</v>
      </c>
      <c r="C2899" s="2" t="s">
        <v>800</v>
      </c>
      <c r="D2899" s="2" t="s">
        <v>801</v>
      </c>
      <c r="E2899" s="2" t="s">
        <v>104</v>
      </c>
      <c r="F2899" s="3">
        <v>42</v>
      </c>
      <c r="G2899" s="4">
        <v>36</v>
      </c>
      <c r="H2899" s="5">
        <v>0</v>
      </c>
    </row>
    <row r="2900" spans="1:8" x14ac:dyDescent="0.35">
      <c r="A2900" s="2" t="s">
        <v>984</v>
      </c>
      <c r="B2900" s="2" t="s">
        <v>787</v>
      </c>
      <c r="C2900" s="2" t="s">
        <v>1014</v>
      </c>
      <c r="D2900" s="2" t="s">
        <v>1015</v>
      </c>
      <c r="E2900" s="2" t="s">
        <v>300</v>
      </c>
      <c r="F2900" s="3">
        <v>44.9</v>
      </c>
      <c r="G2900" s="4">
        <v>12</v>
      </c>
      <c r="H2900" s="5">
        <v>0</v>
      </c>
    </row>
    <row r="2901" spans="1:8" x14ac:dyDescent="0.35">
      <c r="A2901" s="2" t="s">
        <v>984</v>
      </c>
      <c r="B2901" s="2" t="s">
        <v>787</v>
      </c>
      <c r="C2901" s="2" t="s">
        <v>829</v>
      </c>
      <c r="D2901" s="2" t="s">
        <v>632</v>
      </c>
      <c r="E2901" s="2" t="s">
        <v>322</v>
      </c>
      <c r="F2901" s="3">
        <v>48.6</v>
      </c>
      <c r="G2901" s="4">
        <v>60</v>
      </c>
      <c r="H2901" s="5">
        <v>0</v>
      </c>
    </row>
    <row r="2902" spans="1:8" x14ac:dyDescent="0.35">
      <c r="A2902" s="2" t="s">
        <v>984</v>
      </c>
      <c r="B2902" s="2" t="s">
        <v>787</v>
      </c>
      <c r="C2902" s="2" t="s">
        <v>1016</v>
      </c>
      <c r="D2902" s="2" t="s">
        <v>807</v>
      </c>
      <c r="E2902" s="2" t="s">
        <v>115</v>
      </c>
      <c r="F2902" s="3">
        <v>115.42</v>
      </c>
      <c r="G2902" s="4">
        <v>12</v>
      </c>
      <c r="H2902" s="5">
        <v>0</v>
      </c>
    </row>
    <row r="2903" spans="1:8" x14ac:dyDescent="0.35">
      <c r="A2903" s="2" t="s">
        <v>984</v>
      </c>
      <c r="B2903" s="2" t="s">
        <v>787</v>
      </c>
      <c r="C2903" s="2" t="s">
        <v>837</v>
      </c>
      <c r="D2903" s="2" t="s">
        <v>838</v>
      </c>
      <c r="E2903" s="2" t="s">
        <v>452</v>
      </c>
      <c r="F2903" s="3">
        <v>50</v>
      </c>
      <c r="G2903" s="4">
        <v>1</v>
      </c>
      <c r="H2903" s="5">
        <v>0</v>
      </c>
    </row>
    <row r="2904" spans="1:8" x14ac:dyDescent="0.35">
      <c r="A2904" s="2" t="s">
        <v>984</v>
      </c>
      <c r="B2904" s="2" t="s">
        <v>787</v>
      </c>
      <c r="C2904" s="2" t="s">
        <v>1017</v>
      </c>
      <c r="D2904" s="2" t="s">
        <v>1018</v>
      </c>
      <c r="E2904" s="2" t="s">
        <v>215</v>
      </c>
      <c r="F2904" s="3">
        <v>100</v>
      </c>
      <c r="G2904" s="4">
        <v>60</v>
      </c>
      <c r="H2904" s="5">
        <v>0</v>
      </c>
    </row>
    <row r="2905" spans="1:8" x14ac:dyDescent="0.35">
      <c r="A2905" s="2" t="s">
        <v>984</v>
      </c>
      <c r="B2905" s="2" t="s">
        <v>787</v>
      </c>
      <c r="C2905" s="2" t="s">
        <v>1019</v>
      </c>
      <c r="D2905" s="2" t="s">
        <v>1020</v>
      </c>
      <c r="E2905" s="2" t="s">
        <v>603</v>
      </c>
      <c r="F2905" s="3">
        <v>2900</v>
      </c>
      <c r="G2905" s="4">
        <v>60</v>
      </c>
      <c r="H2905" s="5">
        <v>7.4999999999999997E-3</v>
      </c>
    </row>
    <row r="2906" spans="1:8" x14ac:dyDescent="0.35">
      <c r="A2906" s="2" t="s">
        <v>984</v>
      </c>
      <c r="B2906" s="2" t="s">
        <v>787</v>
      </c>
      <c r="C2906" s="2" t="s">
        <v>1021</v>
      </c>
      <c r="D2906" s="2" t="s">
        <v>1022</v>
      </c>
      <c r="E2906" s="2" t="s">
        <v>1023</v>
      </c>
      <c r="F2906" s="3">
        <v>120</v>
      </c>
      <c r="G2906" s="4">
        <v>60</v>
      </c>
      <c r="H2906" s="5">
        <v>0</v>
      </c>
    </row>
    <row r="2907" spans="1:8" x14ac:dyDescent="0.35">
      <c r="A2907" s="2" t="s">
        <v>984</v>
      </c>
      <c r="B2907" s="2" t="s">
        <v>787</v>
      </c>
      <c r="C2907" s="2" t="s">
        <v>1024</v>
      </c>
      <c r="D2907" s="2" t="s">
        <v>1025</v>
      </c>
      <c r="E2907" s="2" t="s">
        <v>1026</v>
      </c>
      <c r="F2907" s="3">
        <v>42</v>
      </c>
      <c r="G2907" s="4">
        <v>60</v>
      </c>
      <c r="H2907" s="5">
        <v>0</v>
      </c>
    </row>
    <row r="2908" spans="1:8" x14ac:dyDescent="0.35">
      <c r="A2908" s="2" t="s">
        <v>984</v>
      </c>
      <c r="B2908" s="2" t="s">
        <v>787</v>
      </c>
      <c r="C2908" s="2" t="s">
        <v>1027</v>
      </c>
      <c r="D2908" s="2" t="s">
        <v>1028</v>
      </c>
      <c r="E2908" s="2" t="s">
        <v>820</v>
      </c>
      <c r="F2908" s="3">
        <v>110</v>
      </c>
      <c r="G2908" s="4">
        <v>60</v>
      </c>
      <c r="H2908" s="5">
        <v>0</v>
      </c>
    </row>
    <row r="2909" spans="1:8" x14ac:dyDescent="0.35">
      <c r="A2909" s="2" t="s">
        <v>984</v>
      </c>
      <c r="B2909" s="2" t="s">
        <v>787</v>
      </c>
      <c r="C2909" s="2" t="s">
        <v>1029</v>
      </c>
      <c r="D2909" s="2" t="s">
        <v>1030</v>
      </c>
      <c r="E2909" s="2" t="s">
        <v>1031</v>
      </c>
      <c r="F2909" s="3">
        <v>30</v>
      </c>
      <c r="G2909" s="4">
        <v>12</v>
      </c>
      <c r="H2909" s="5">
        <v>0</v>
      </c>
    </row>
    <row r="2910" spans="1:8" x14ac:dyDescent="0.35">
      <c r="A2910" s="2" t="s">
        <v>984</v>
      </c>
      <c r="B2910" s="2" t="s">
        <v>787</v>
      </c>
      <c r="C2910" s="2" t="s">
        <v>1032</v>
      </c>
      <c r="D2910" s="2" t="s">
        <v>1033</v>
      </c>
      <c r="E2910" s="2" t="s">
        <v>1034</v>
      </c>
      <c r="F2910" s="3">
        <v>544.16</v>
      </c>
      <c r="G2910" s="4">
        <v>60</v>
      </c>
      <c r="H2910" s="5">
        <v>0</v>
      </c>
    </row>
    <row r="2911" spans="1:8" x14ac:dyDescent="0.35">
      <c r="A2911" s="2" t="s">
        <v>984</v>
      </c>
      <c r="B2911" s="2" t="s">
        <v>787</v>
      </c>
      <c r="C2911" s="2" t="s">
        <v>1035</v>
      </c>
      <c r="D2911" s="2" t="s">
        <v>1036</v>
      </c>
      <c r="E2911" s="2" t="s">
        <v>964</v>
      </c>
      <c r="F2911" s="3">
        <v>82</v>
      </c>
      <c r="G2911" s="4">
        <v>36</v>
      </c>
      <c r="H2911" s="5">
        <v>0</v>
      </c>
    </row>
    <row r="2912" spans="1:8" x14ac:dyDescent="0.35">
      <c r="A2912" s="2" t="s">
        <v>984</v>
      </c>
      <c r="B2912" s="2" t="s">
        <v>787</v>
      </c>
      <c r="C2912" s="2" t="s">
        <v>1037</v>
      </c>
      <c r="D2912" s="2" t="s">
        <v>1038</v>
      </c>
      <c r="E2912" s="2" t="s">
        <v>1026</v>
      </c>
      <c r="F2912" s="3">
        <v>190</v>
      </c>
      <c r="G2912" s="4">
        <v>48</v>
      </c>
      <c r="H2912" s="5">
        <v>0</v>
      </c>
    </row>
    <row r="2913" spans="1:8" ht="14.5" customHeight="1" x14ac:dyDescent="0.35">
      <c r="A2913" s="2" t="s">
        <v>984</v>
      </c>
      <c r="B2913" s="2" t="s">
        <v>787</v>
      </c>
      <c r="C2913" s="2" t="s">
        <v>1039</v>
      </c>
      <c r="D2913" s="2" t="s">
        <v>1040</v>
      </c>
      <c r="E2913" s="2" t="s">
        <v>1041</v>
      </c>
      <c r="F2913" s="3">
        <v>130</v>
      </c>
      <c r="G2913" s="4">
        <v>60</v>
      </c>
      <c r="H2913" s="5">
        <v>0</v>
      </c>
    </row>
    <row r="2914" spans="1:8" x14ac:dyDescent="0.35">
      <c r="A2914" s="2" t="s">
        <v>1042</v>
      </c>
      <c r="B2914" s="2" t="s">
        <v>291</v>
      </c>
      <c r="C2914" s="2" t="s">
        <v>1043</v>
      </c>
      <c r="D2914" s="2" t="s">
        <v>1044</v>
      </c>
      <c r="E2914" s="2" t="s">
        <v>102</v>
      </c>
      <c r="F2914" s="3">
        <v>9758.16</v>
      </c>
      <c r="G2914" s="4">
        <v>36</v>
      </c>
      <c r="H2914" s="5">
        <v>0</v>
      </c>
    </row>
    <row r="2915" spans="1:8" x14ac:dyDescent="0.35">
      <c r="A2915" s="2" t="s">
        <v>1042</v>
      </c>
      <c r="B2915" s="2" t="s">
        <v>291</v>
      </c>
      <c r="C2915" s="2" t="s">
        <v>1045</v>
      </c>
      <c r="D2915" s="2" t="s">
        <v>1046</v>
      </c>
      <c r="E2915" s="2" t="s">
        <v>452</v>
      </c>
      <c r="F2915" s="3">
        <v>55</v>
      </c>
      <c r="G2915" s="4">
        <v>1</v>
      </c>
      <c r="H2915" s="5">
        <v>0</v>
      </c>
    </row>
    <row r="2916" spans="1:8" x14ac:dyDescent="0.35">
      <c r="A2916" s="2" t="s">
        <v>1042</v>
      </c>
      <c r="B2916" s="2" t="s">
        <v>291</v>
      </c>
      <c r="C2916" s="2" t="s">
        <v>1047</v>
      </c>
      <c r="D2916" s="2" t="s">
        <v>1048</v>
      </c>
      <c r="E2916" s="2" t="s">
        <v>215</v>
      </c>
      <c r="F2916" s="3">
        <v>16</v>
      </c>
      <c r="G2916" s="4">
        <v>1</v>
      </c>
      <c r="H2916" s="5">
        <v>0</v>
      </c>
    </row>
    <row r="2917" spans="1:8" x14ac:dyDescent="0.35">
      <c r="A2917" s="2" t="s">
        <v>1042</v>
      </c>
      <c r="B2917" s="2" t="s">
        <v>291</v>
      </c>
      <c r="C2917" s="2" t="s">
        <v>1049</v>
      </c>
      <c r="D2917" s="2" t="s">
        <v>1050</v>
      </c>
      <c r="E2917" s="2" t="s">
        <v>1051</v>
      </c>
      <c r="F2917" s="3">
        <v>4590</v>
      </c>
      <c r="G2917" s="4">
        <v>36</v>
      </c>
      <c r="H2917" s="5">
        <v>1.4999999999999999E-2</v>
      </c>
    </row>
    <row r="2918" spans="1:8" x14ac:dyDescent="0.35">
      <c r="A2918" s="2" t="s">
        <v>1042</v>
      </c>
      <c r="B2918" s="2" t="s">
        <v>291</v>
      </c>
      <c r="C2918" s="2" t="s">
        <v>1052</v>
      </c>
      <c r="D2918" s="2" t="s">
        <v>1053</v>
      </c>
      <c r="E2918" s="2" t="s">
        <v>260</v>
      </c>
      <c r="F2918" s="3">
        <v>1116.76</v>
      </c>
      <c r="G2918" s="4">
        <v>1</v>
      </c>
      <c r="H2918" s="5">
        <v>0</v>
      </c>
    </row>
    <row r="2919" spans="1:8" x14ac:dyDescent="0.35">
      <c r="A2919" s="2" t="s">
        <v>1042</v>
      </c>
      <c r="B2919" s="2" t="s">
        <v>291</v>
      </c>
      <c r="C2919" s="2" t="s">
        <v>1054</v>
      </c>
      <c r="D2919" s="2" t="s">
        <v>1055</v>
      </c>
      <c r="E2919" s="2" t="s">
        <v>415</v>
      </c>
      <c r="F2919" s="3">
        <v>2303.9699999999998</v>
      </c>
      <c r="G2919" s="4">
        <v>1</v>
      </c>
      <c r="H2919" s="5">
        <v>0</v>
      </c>
    </row>
    <row r="2920" spans="1:8" x14ac:dyDescent="0.35">
      <c r="A2920" s="2" t="s">
        <v>1042</v>
      </c>
      <c r="B2920" s="2" t="s">
        <v>291</v>
      </c>
      <c r="C2920" s="2" t="s">
        <v>1056</v>
      </c>
      <c r="D2920" s="2" t="s">
        <v>1057</v>
      </c>
      <c r="E2920" s="2" t="s">
        <v>1058</v>
      </c>
      <c r="F2920" s="3">
        <v>3151</v>
      </c>
      <c r="G2920" s="4">
        <v>36</v>
      </c>
      <c r="H2920" s="5">
        <v>1.4999999999999999E-2</v>
      </c>
    </row>
    <row r="2921" spans="1:8" x14ac:dyDescent="0.35">
      <c r="A2921" s="2" t="s">
        <v>1042</v>
      </c>
      <c r="B2921" s="2" t="s">
        <v>291</v>
      </c>
      <c r="C2921" s="2" t="s">
        <v>1059</v>
      </c>
      <c r="D2921" s="2" t="s">
        <v>1060</v>
      </c>
      <c r="E2921" s="2" t="s">
        <v>147</v>
      </c>
      <c r="F2921" s="3">
        <v>2425.35</v>
      </c>
      <c r="G2921" s="4">
        <v>36</v>
      </c>
      <c r="H2921" s="5">
        <v>1.4999999999999999E-2</v>
      </c>
    </row>
    <row r="2922" spans="1:8" x14ac:dyDescent="0.35">
      <c r="A2922" s="2" t="s">
        <v>1042</v>
      </c>
      <c r="B2922" s="2" t="s">
        <v>291</v>
      </c>
      <c r="C2922" s="2" t="s">
        <v>1061</v>
      </c>
      <c r="D2922" s="2" t="s">
        <v>743</v>
      </c>
      <c r="E2922" s="2" t="s">
        <v>92</v>
      </c>
      <c r="F2922" s="3">
        <v>650</v>
      </c>
      <c r="G2922" s="4">
        <v>36</v>
      </c>
      <c r="H2922" s="5">
        <v>1.4999999999999999E-2</v>
      </c>
    </row>
    <row r="2923" spans="1:8" x14ac:dyDescent="0.35">
      <c r="A2923" s="2" t="s">
        <v>1042</v>
      </c>
      <c r="B2923" s="2" t="s">
        <v>291</v>
      </c>
      <c r="C2923" s="2" t="s">
        <v>1062</v>
      </c>
      <c r="D2923" s="2" t="s">
        <v>1063</v>
      </c>
      <c r="E2923" s="2" t="s">
        <v>226</v>
      </c>
      <c r="F2923" s="3">
        <v>2983.69</v>
      </c>
      <c r="G2923" s="4">
        <v>36</v>
      </c>
      <c r="H2923" s="5">
        <v>1.4999999999999999E-2</v>
      </c>
    </row>
    <row r="2924" spans="1:8" x14ac:dyDescent="0.35">
      <c r="A2924" s="2" t="s">
        <v>1042</v>
      </c>
      <c r="B2924" s="2" t="s">
        <v>291</v>
      </c>
      <c r="C2924" s="2" t="s">
        <v>1064</v>
      </c>
      <c r="D2924" s="2" t="s">
        <v>1065</v>
      </c>
      <c r="E2924" s="2" t="s">
        <v>443</v>
      </c>
      <c r="F2924" s="3">
        <v>1520</v>
      </c>
      <c r="G2924" s="4">
        <v>36</v>
      </c>
      <c r="H2924" s="5">
        <v>1.4999999999999999E-2</v>
      </c>
    </row>
    <row r="2925" spans="1:8" x14ac:dyDescent="0.35">
      <c r="A2925" s="2" t="s">
        <v>1042</v>
      </c>
      <c r="B2925" s="2" t="s">
        <v>291</v>
      </c>
      <c r="C2925" s="2" t="s">
        <v>1066</v>
      </c>
      <c r="D2925" s="2" t="s">
        <v>1067</v>
      </c>
      <c r="E2925" s="2" t="s">
        <v>35</v>
      </c>
      <c r="F2925" s="3">
        <v>1399</v>
      </c>
      <c r="G2925" s="4">
        <v>36</v>
      </c>
      <c r="H2925" s="5">
        <v>1.4999999999999999E-2</v>
      </c>
    </row>
    <row r="2926" spans="1:8" x14ac:dyDescent="0.35">
      <c r="A2926" s="2" t="s">
        <v>1042</v>
      </c>
      <c r="B2926" s="2" t="s">
        <v>291</v>
      </c>
      <c r="C2926" s="2" t="s">
        <v>1068</v>
      </c>
      <c r="D2926" s="2" t="s">
        <v>1069</v>
      </c>
      <c r="E2926" s="2" t="s">
        <v>1070</v>
      </c>
      <c r="F2926" s="3">
        <v>699</v>
      </c>
      <c r="G2926" s="4">
        <v>36</v>
      </c>
      <c r="H2926" s="5">
        <v>1.4999999999999999E-2</v>
      </c>
    </row>
    <row r="2927" spans="1:8" x14ac:dyDescent="0.35">
      <c r="A2927" s="2" t="s">
        <v>1042</v>
      </c>
      <c r="B2927" s="2" t="s">
        <v>291</v>
      </c>
      <c r="C2927" s="2" t="s">
        <v>1071</v>
      </c>
      <c r="D2927" s="2" t="s">
        <v>1072</v>
      </c>
      <c r="E2927" s="2" t="s">
        <v>300</v>
      </c>
      <c r="F2927" s="3">
        <v>0</v>
      </c>
      <c r="G2927" s="4">
        <v>12</v>
      </c>
      <c r="H2927" s="5">
        <v>0.05</v>
      </c>
    </row>
    <row r="2928" spans="1:8" x14ac:dyDescent="0.35">
      <c r="A2928" s="2" t="s">
        <v>1042</v>
      </c>
      <c r="B2928" s="2" t="s">
        <v>291</v>
      </c>
      <c r="C2928" s="2" t="s">
        <v>1073</v>
      </c>
      <c r="D2928" s="2" t="s">
        <v>1074</v>
      </c>
      <c r="E2928" s="2" t="s">
        <v>322</v>
      </c>
      <c r="F2928" s="3">
        <v>0</v>
      </c>
      <c r="G2928" s="4">
        <v>12</v>
      </c>
      <c r="H2928" s="5">
        <v>1.4999999999999999E-2</v>
      </c>
    </row>
    <row r="2929" spans="1:8" x14ac:dyDescent="0.35">
      <c r="A2929" s="2" t="s">
        <v>1042</v>
      </c>
      <c r="B2929" s="2" t="s">
        <v>291</v>
      </c>
      <c r="C2929" s="2" t="s">
        <v>1075</v>
      </c>
      <c r="D2929" s="2" t="s">
        <v>1076</v>
      </c>
      <c r="E2929" s="2" t="s">
        <v>1077</v>
      </c>
      <c r="F2929" s="3">
        <v>1299</v>
      </c>
      <c r="G2929" s="4">
        <v>36</v>
      </c>
      <c r="H2929" s="5">
        <v>1.4999999999999999E-2</v>
      </c>
    </row>
    <row r="2930" spans="1:8" x14ac:dyDescent="0.35">
      <c r="A2930" s="2" t="s">
        <v>1042</v>
      </c>
      <c r="B2930" s="2" t="s">
        <v>291</v>
      </c>
      <c r="C2930" s="2" t="s">
        <v>1078</v>
      </c>
      <c r="D2930" s="2" t="s">
        <v>1079</v>
      </c>
      <c r="E2930" s="2" t="s">
        <v>45</v>
      </c>
      <c r="F2930" s="3">
        <v>1936.48</v>
      </c>
      <c r="G2930" s="4">
        <v>36</v>
      </c>
      <c r="H2930" s="5">
        <v>1.4999999999999999E-2</v>
      </c>
    </row>
    <row r="2931" spans="1:8" x14ac:dyDescent="0.35">
      <c r="A2931" s="2" t="s">
        <v>1042</v>
      </c>
      <c r="B2931" s="2" t="s">
        <v>510</v>
      </c>
      <c r="C2931" s="2" t="s">
        <v>1080</v>
      </c>
      <c r="D2931" s="2" t="s">
        <v>1081</v>
      </c>
      <c r="E2931" s="2" t="s">
        <v>1082</v>
      </c>
      <c r="F2931" s="3">
        <v>1280</v>
      </c>
      <c r="G2931" s="4">
        <v>36</v>
      </c>
      <c r="H2931" s="5">
        <v>0</v>
      </c>
    </row>
    <row r="2932" spans="1:8" x14ac:dyDescent="0.35">
      <c r="A2932" s="2" t="s">
        <v>1042</v>
      </c>
      <c r="B2932" s="2" t="s">
        <v>510</v>
      </c>
      <c r="C2932" s="2" t="s">
        <v>1083</v>
      </c>
      <c r="D2932" s="2" t="s">
        <v>1084</v>
      </c>
      <c r="E2932" s="2" t="s">
        <v>1085</v>
      </c>
      <c r="F2932" s="3">
        <v>1920</v>
      </c>
      <c r="G2932" s="4">
        <v>36</v>
      </c>
      <c r="H2932" s="5">
        <v>0</v>
      </c>
    </row>
    <row r="2933" spans="1:8" x14ac:dyDescent="0.35">
      <c r="A2933" s="2" t="s">
        <v>1042</v>
      </c>
      <c r="B2933" s="2" t="s">
        <v>510</v>
      </c>
      <c r="C2933" s="2" t="s">
        <v>1086</v>
      </c>
      <c r="D2933" s="2" t="s">
        <v>1087</v>
      </c>
      <c r="E2933" s="2" t="s">
        <v>35</v>
      </c>
      <c r="F2933" s="3">
        <v>2560</v>
      </c>
      <c r="G2933" s="4">
        <v>36</v>
      </c>
      <c r="H2933" s="5">
        <v>0</v>
      </c>
    </row>
    <row r="2934" spans="1:8" x14ac:dyDescent="0.35">
      <c r="A2934" s="2" t="s">
        <v>1042</v>
      </c>
      <c r="B2934" s="2" t="s">
        <v>510</v>
      </c>
      <c r="C2934" s="2" t="s">
        <v>1088</v>
      </c>
      <c r="D2934" s="2" t="s">
        <v>1089</v>
      </c>
      <c r="E2934" s="2" t="s">
        <v>46</v>
      </c>
      <c r="F2934" s="3">
        <v>3200</v>
      </c>
      <c r="G2934" s="4">
        <v>24</v>
      </c>
      <c r="H2934" s="5">
        <v>0</v>
      </c>
    </row>
    <row r="2935" spans="1:8" x14ac:dyDescent="0.35">
      <c r="A2935" s="2" t="s">
        <v>1042</v>
      </c>
      <c r="B2935" s="2" t="s">
        <v>510</v>
      </c>
      <c r="C2935" s="2" t="s">
        <v>1090</v>
      </c>
      <c r="D2935" s="2" t="s">
        <v>1091</v>
      </c>
      <c r="E2935" s="2" t="s">
        <v>1092</v>
      </c>
      <c r="F2935" s="3">
        <v>256</v>
      </c>
      <c r="G2935" s="4">
        <v>24</v>
      </c>
      <c r="H2935" s="5">
        <v>0</v>
      </c>
    </row>
    <row r="2936" spans="1:8" x14ac:dyDescent="0.35">
      <c r="A2936" s="2" t="s">
        <v>1042</v>
      </c>
      <c r="B2936" s="2" t="s">
        <v>510</v>
      </c>
      <c r="C2936" s="2" t="s">
        <v>581</v>
      </c>
      <c r="D2936" s="2" t="s">
        <v>355</v>
      </c>
      <c r="E2936" s="2" t="s">
        <v>356</v>
      </c>
      <c r="F2936" s="3">
        <v>256</v>
      </c>
      <c r="G2936" s="4">
        <v>24</v>
      </c>
      <c r="H2936" s="5">
        <v>0</v>
      </c>
    </row>
    <row r="2937" spans="1:8" x14ac:dyDescent="0.35">
      <c r="A2937" s="2" t="s">
        <v>1042</v>
      </c>
      <c r="B2937" s="2" t="s">
        <v>510</v>
      </c>
      <c r="C2937" s="2" t="s">
        <v>582</v>
      </c>
      <c r="D2937" s="2" t="s">
        <v>360</v>
      </c>
      <c r="E2937" s="2" t="s">
        <v>361</v>
      </c>
      <c r="F2937" s="3">
        <v>409.6</v>
      </c>
      <c r="G2937" s="4">
        <v>24</v>
      </c>
      <c r="H2937" s="5">
        <v>0</v>
      </c>
    </row>
    <row r="2938" spans="1:8" x14ac:dyDescent="0.35">
      <c r="A2938" s="2" t="s">
        <v>1042</v>
      </c>
      <c r="B2938" s="2" t="s">
        <v>510</v>
      </c>
      <c r="C2938" s="2" t="s">
        <v>1093</v>
      </c>
      <c r="D2938" s="2" t="s">
        <v>1094</v>
      </c>
      <c r="E2938" s="2" t="s">
        <v>92</v>
      </c>
      <c r="F2938" s="3">
        <v>912</v>
      </c>
      <c r="G2938" s="4">
        <v>12</v>
      </c>
      <c r="H2938" s="5">
        <v>0</v>
      </c>
    </row>
    <row r="2939" spans="1:8" x14ac:dyDescent="0.35">
      <c r="A2939" s="2" t="s">
        <v>1042</v>
      </c>
      <c r="B2939" s="2" t="s">
        <v>510</v>
      </c>
      <c r="C2939" s="2" t="s">
        <v>1095</v>
      </c>
      <c r="D2939" s="2" t="s">
        <v>1096</v>
      </c>
      <c r="E2939" s="2" t="s">
        <v>368</v>
      </c>
      <c r="F2939" s="3">
        <v>2560</v>
      </c>
      <c r="G2939" s="4">
        <v>24</v>
      </c>
      <c r="H2939" s="5">
        <v>0</v>
      </c>
    </row>
    <row r="2940" spans="1:8" x14ac:dyDescent="0.35">
      <c r="A2940" s="2" t="s">
        <v>1042</v>
      </c>
      <c r="B2940" s="2" t="s">
        <v>510</v>
      </c>
      <c r="C2940" s="2" t="s">
        <v>1097</v>
      </c>
      <c r="D2940" s="2" t="s">
        <v>1098</v>
      </c>
      <c r="E2940" s="2" t="s">
        <v>1099</v>
      </c>
      <c r="F2940" s="3">
        <v>3200</v>
      </c>
      <c r="G2940" s="4">
        <v>24</v>
      </c>
      <c r="H2940" s="5">
        <v>0</v>
      </c>
    </row>
    <row r="2941" spans="1:8" x14ac:dyDescent="0.35">
      <c r="A2941" s="2" t="s">
        <v>1042</v>
      </c>
      <c r="B2941" s="2" t="s">
        <v>510</v>
      </c>
      <c r="C2941" s="2" t="s">
        <v>1100</v>
      </c>
      <c r="D2941" s="2" t="s">
        <v>1101</v>
      </c>
      <c r="E2941" s="2" t="s">
        <v>71</v>
      </c>
      <c r="F2941" s="3">
        <v>512</v>
      </c>
      <c r="G2941" s="4">
        <v>12</v>
      </c>
      <c r="H2941" s="5">
        <v>0</v>
      </c>
    </row>
    <row r="2942" spans="1:8" x14ac:dyDescent="0.35">
      <c r="A2942" s="2" t="s">
        <v>1042</v>
      </c>
      <c r="B2942" s="2" t="s">
        <v>510</v>
      </c>
      <c r="C2942" s="2" t="s">
        <v>1102</v>
      </c>
      <c r="D2942" s="2" t="s">
        <v>1103</v>
      </c>
      <c r="E2942" s="2" t="s">
        <v>92</v>
      </c>
      <c r="F2942" s="3">
        <v>3200</v>
      </c>
      <c r="G2942" s="4">
        <v>12</v>
      </c>
      <c r="H2942" s="5">
        <v>0</v>
      </c>
    </row>
    <row r="2943" spans="1:8" x14ac:dyDescent="0.35">
      <c r="A2943" s="2" t="s">
        <v>1042</v>
      </c>
      <c r="B2943" s="2" t="s">
        <v>510</v>
      </c>
      <c r="C2943" s="2" t="s">
        <v>1104</v>
      </c>
      <c r="D2943" s="2" t="s">
        <v>1105</v>
      </c>
      <c r="E2943" s="2" t="s">
        <v>1106</v>
      </c>
      <c r="F2943" s="3">
        <v>3200</v>
      </c>
      <c r="G2943" s="4">
        <v>24</v>
      </c>
      <c r="H2943" s="5">
        <v>0</v>
      </c>
    </row>
    <row r="2944" spans="1:8" x14ac:dyDescent="0.35">
      <c r="A2944" s="2" t="s">
        <v>1042</v>
      </c>
      <c r="B2944" s="2" t="s">
        <v>510</v>
      </c>
      <c r="C2944" s="2" t="s">
        <v>1107</v>
      </c>
      <c r="D2944" s="2" t="s">
        <v>1108</v>
      </c>
      <c r="E2944" s="2" t="s">
        <v>1109</v>
      </c>
      <c r="F2944" s="3">
        <v>3840</v>
      </c>
      <c r="G2944" s="4">
        <v>24</v>
      </c>
      <c r="H2944" s="5">
        <v>0</v>
      </c>
    </row>
    <row r="2945" spans="1:8" x14ac:dyDescent="0.35">
      <c r="A2945" s="2" t="s">
        <v>1042</v>
      </c>
      <c r="B2945" s="2" t="s">
        <v>510</v>
      </c>
      <c r="C2945" s="2" t="s">
        <v>1110</v>
      </c>
      <c r="D2945" s="2" t="s">
        <v>1111</v>
      </c>
      <c r="E2945" s="2" t="s">
        <v>1112</v>
      </c>
      <c r="F2945" s="3">
        <v>384</v>
      </c>
      <c r="G2945" s="4">
        <v>12</v>
      </c>
      <c r="H2945" s="5">
        <v>0</v>
      </c>
    </row>
    <row r="2946" spans="1:8" ht="26" x14ac:dyDescent="0.35">
      <c r="A2946" s="2" t="s">
        <v>1042</v>
      </c>
      <c r="B2946" s="2" t="s">
        <v>510</v>
      </c>
      <c r="C2946" s="2" t="s">
        <v>1113</v>
      </c>
      <c r="D2946" s="2" t="s">
        <v>1114</v>
      </c>
      <c r="E2946" s="2" t="s">
        <v>1115</v>
      </c>
      <c r="F2946" s="3">
        <v>204.8</v>
      </c>
      <c r="G2946" s="4">
        <v>12</v>
      </c>
      <c r="H2946" s="5">
        <v>0</v>
      </c>
    </row>
    <row r="2947" spans="1:8" x14ac:dyDescent="0.35">
      <c r="A2947" s="2" t="s">
        <v>1042</v>
      </c>
      <c r="B2947" s="2" t="s">
        <v>510</v>
      </c>
      <c r="C2947" s="2" t="s">
        <v>1116</v>
      </c>
      <c r="D2947" s="2" t="s">
        <v>1117</v>
      </c>
      <c r="E2947" s="2" t="s">
        <v>82</v>
      </c>
      <c r="F2947" s="3">
        <v>2176</v>
      </c>
      <c r="G2947" s="4">
        <v>24</v>
      </c>
      <c r="H2947" s="5">
        <v>0</v>
      </c>
    </row>
    <row r="2948" spans="1:8" x14ac:dyDescent="0.35">
      <c r="A2948" s="2" t="s">
        <v>1042</v>
      </c>
      <c r="B2948" s="2" t="s">
        <v>510</v>
      </c>
      <c r="C2948" s="2" t="s">
        <v>1118</v>
      </c>
      <c r="D2948" s="2" t="s">
        <v>1119</v>
      </c>
      <c r="E2948" s="2" t="s">
        <v>1120</v>
      </c>
      <c r="F2948" s="3">
        <v>25.6</v>
      </c>
      <c r="G2948" s="4">
        <v>6</v>
      </c>
      <c r="H2948" s="5">
        <v>0</v>
      </c>
    </row>
    <row r="2949" spans="1:8" x14ac:dyDescent="0.35">
      <c r="A2949" s="2" t="s">
        <v>1042</v>
      </c>
      <c r="B2949" s="2" t="s">
        <v>510</v>
      </c>
      <c r="C2949" s="2" t="s">
        <v>1121</v>
      </c>
      <c r="D2949" s="2" t="s">
        <v>1122</v>
      </c>
      <c r="E2949" s="2" t="s">
        <v>1123</v>
      </c>
      <c r="F2949" s="3">
        <v>1920</v>
      </c>
      <c r="G2949" s="4">
        <v>24</v>
      </c>
      <c r="H2949" s="5">
        <v>0</v>
      </c>
    </row>
    <row r="2950" spans="1:8" x14ac:dyDescent="0.35">
      <c r="A2950" s="2" t="s">
        <v>1042</v>
      </c>
      <c r="B2950" s="2" t="s">
        <v>510</v>
      </c>
      <c r="C2950" s="2" t="s">
        <v>1124</v>
      </c>
      <c r="D2950" s="2" t="s">
        <v>1125</v>
      </c>
      <c r="E2950" s="2" t="s">
        <v>1126</v>
      </c>
      <c r="F2950" s="3">
        <v>38.4</v>
      </c>
      <c r="G2950" s="4">
        <v>1</v>
      </c>
      <c r="H2950" s="5">
        <v>0</v>
      </c>
    </row>
    <row r="2951" spans="1:8" ht="14.5" customHeight="1" x14ac:dyDescent="0.35">
      <c r="A2951" s="2" t="s">
        <v>1042</v>
      </c>
      <c r="B2951" s="2" t="s">
        <v>510</v>
      </c>
      <c r="C2951" s="2" t="s">
        <v>1127</v>
      </c>
      <c r="D2951" s="2" t="s">
        <v>1128</v>
      </c>
      <c r="E2951" s="2" t="s">
        <v>1129</v>
      </c>
      <c r="F2951" s="3">
        <v>38.4</v>
      </c>
      <c r="G2951" s="4">
        <v>1</v>
      </c>
      <c r="H2951" s="5">
        <v>0</v>
      </c>
    </row>
    <row r="2952" spans="1:8" ht="14.5" customHeight="1" x14ac:dyDescent="0.35">
      <c r="A2952" s="2" t="s">
        <v>1042</v>
      </c>
      <c r="B2952" s="2" t="s">
        <v>510</v>
      </c>
      <c r="C2952" s="2" t="s">
        <v>1130</v>
      </c>
      <c r="D2952" s="2" t="s">
        <v>1131</v>
      </c>
      <c r="E2952" s="2" t="s">
        <v>1132</v>
      </c>
      <c r="F2952" s="3">
        <v>57.6</v>
      </c>
      <c r="G2952" s="4">
        <v>1</v>
      </c>
      <c r="H2952" s="5">
        <v>0</v>
      </c>
    </row>
    <row r="2953" spans="1:8" x14ac:dyDescent="0.35">
      <c r="A2953" s="2" t="s">
        <v>1042</v>
      </c>
      <c r="B2953" s="2" t="s">
        <v>510</v>
      </c>
      <c r="C2953" s="2" t="s">
        <v>1133</v>
      </c>
      <c r="D2953" s="2" t="s">
        <v>1134</v>
      </c>
      <c r="E2953" s="2" t="s">
        <v>147</v>
      </c>
      <c r="F2953" s="3">
        <v>2496</v>
      </c>
      <c r="G2953" s="4">
        <v>24</v>
      </c>
      <c r="H2953" s="5">
        <v>0</v>
      </c>
    </row>
    <row r="2954" spans="1:8" x14ac:dyDescent="0.35">
      <c r="A2954" s="2" t="s">
        <v>1042</v>
      </c>
      <c r="B2954" s="2" t="s">
        <v>510</v>
      </c>
      <c r="C2954" s="2" t="s">
        <v>1135</v>
      </c>
      <c r="D2954" s="2" t="s">
        <v>1136</v>
      </c>
      <c r="E2954" s="2" t="s">
        <v>158</v>
      </c>
      <c r="F2954" s="3">
        <v>3584</v>
      </c>
      <c r="G2954" s="4">
        <v>24</v>
      </c>
      <c r="H2954" s="5">
        <v>0</v>
      </c>
    </row>
    <row r="2955" spans="1:8" x14ac:dyDescent="0.35">
      <c r="A2955" s="2" t="s">
        <v>1042</v>
      </c>
      <c r="B2955" s="2" t="s">
        <v>510</v>
      </c>
      <c r="C2955" s="2" t="s">
        <v>1137</v>
      </c>
      <c r="D2955" s="2" t="s">
        <v>1138</v>
      </c>
      <c r="E2955" s="2" t="s">
        <v>59</v>
      </c>
      <c r="F2955" s="3">
        <v>384</v>
      </c>
      <c r="G2955" s="4">
        <v>12</v>
      </c>
      <c r="H2955" s="5">
        <v>0</v>
      </c>
    </row>
    <row r="2956" spans="1:8" x14ac:dyDescent="0.35">
      <c r="A2956" s="2" t="s">
        <v>1042</v>
      </c>
      <c r="B2956" s="2" t="s">
        <v>510</v>
      </c>
      <c r="C2956" s="2" t="s">
        <v>1139</v>
      </c>
      <c r="D2956" s="2" t="s">
        <v>1140</v>
      </c>
      <c r="E2956" s="2" t="s">
        <v>226</v>
      </c>
      <c r="F2956" s="3">
        <v>4480</v>
      </c>
      <c r="G2956" s="4">
        <v>24</v>
      </c>
      <c r="H2956" s="5">
        <v>0</v>
      </c>
    </row>
    <row r="2957" spans="1:8" x14ac:dyDescent="0.35">
      <c r="A2957" s="2" t="s">
        <v>1042</v>
      </c>
      <c r="B2957" s="2" t="s">
        <v>510</v>
      </c>
      <c r="C2957" s="2" t="s">
        <v>1141</v>
      </c>
      <c r="D2957" s="2" t="s">
        <v>1142</v>
      </c>
      <c r="E2957" s="2" t="s">
        <v>347</v>
      </c>
      <c r="F2957" s="3">
        <v>1920</v>
      </c>
      <c r="G2957" s="4">
        <v>24</v>
      </c>
      <c r="H2957" s="5">
        <v>0</v>
      </c>
    </row>
    <row r="2958" spans="1:8" x14ac:dyDescent="0.35">
      <c r="A2958" s="2" t="s">
        <v>1042</v>
      </c>
      <c r="B2958" s="2" t="s">
        <v>510</v>
      </c>
      <c r="C2958" s="2" t="s">
        <v>1143</v>
      </c>
      <c r="D2958" s="2" t="s">
        <v>1144</v>
      </c>
      <c r="E2958" s="2" t="s">
        <v>248</v>
      </c>
      <c r="F2958" s="3">
        <v>384</v>
      </c>
      <c r="G2958" s="4">
        <v>12</v>
      </c>
      <c r="H2958" s="5">
        <v>0</v>
      </c>
    </row>
    <row r="2959" spans="1:8" x14ac:dyDescent="0.35">
      <c r="A2959" s="2" t="s">
        <v>1042</v>
      </c>
      <c r="B2959" s="2" t="s">
        <v>510</v>
      </c>
      <c r="C2959" s="2" t="s">
        <v>1145</v>
      </c>
      <c r="D2959" s="2" t="s">
        <v>1146</v>
      </c>
      <c r="E2959" s="2" t="s">
        <v>258</v>
      </c>
      <c r="F2959" s="3">
        <v>115200</v>
      </c>
      <c r="G2959" s="4">
        <v>48</v>
      </c>
      <c r="H2959" s="5">
        <v>0</v>
      </c>
    </row>
    <row r="2960" spans="1:8" x14ac:dyDescent="0.35">
      <c r="A2960" s="2" t="s">
        <v>1042</v>
      </c>
      <c r="B2960" s="2" t="s">
        <v>510</v>
      </c>
      <c r="C2960" s="2" t="s">
        <v>1147</v>
      </c>
      <c r="D2960" s="2" t="s">
        <v>1148</v>
      </c>
      <c r="E2960" s="2" t="s">
        <v>260</v>
      </c>
      <c r="F2960" s="3">
        <v>44800</v>
      </c>
      <c r="G2960" s="4">
        <v>48</v>
      </c>
      <c r="H2960" s="5">
        <v>0</v>
      </c>
    </row>
    <row r="2961" spans="1:8" x14ac:dyDescent="0.35">
      <c r="A2961" s="2" t="s">
        <v>1042</v>
      </c>
      <c r="B2961" s="2" t="s">
        <v>510</v>
      </c>
      <c r="C2961" s="2" t="s">
        <v>1149</v>
      </c>
      <c r="D2961" s="2" t="s">
        <v>1150</v>
      </c>
      <c r="E2961" s="2" t="s">
        <v>271</v>
      </c>
      <c r="F2961" s="3">
        <v>172800</v>
      </c>
      <c r="G2961" s="4">
        <v>48</v>
      </c>
      <c r="H2961" s="5">
        <v>0</v>
      </c>
    </row>
    <row r="2962" spans="1:8" x14ac:dyDescent="0.35">
      <c r="A2962" s="2" t="s">
        <v>1042</v>
      </c>
      <c r="B2962" s="2" t="s">
        <v>510</v>
      </c>
      <c r="C2962" s="2" t="s">
        <v>1151</v>
      </c>
      <c r="D2962" s="2" t="s">
        <v>1152</v>
      </c>
      <c r="E2962" s="2" t="s">
        <v>260</v>
      </c>
      <c r="F2962" s="3">
        <v>32525.200000000001</v>
      </c>
      <c r="G2962" s="4">
        <v>48</v>
      </c>
      <c r="H2962" s="5">
        <v>0</v>
      </c>
    </row>
    <row r="2963" spans="1:8" x14ac:dyDescent="0.35">
      <c r="A2963" s="2" t="s">
        <v>1042</v>
      </c>
      <c r="B2963" s="2" t="s">
        <v>510</v>
      </c>
      <c r="C2963" s="2" t="s">
        <v>1153</v>
      </c>
      <c r="D2963" s="2" t="s">
        <v>1154</v>
      </c>
      <c r="E2963" s="2" t="s">
        <v>260</v>
      </c>
      <c r="F2963" s="3">
        <v>83200</v>
      </c>
      <c r="G2963" s="4">
        <v>48</v>
      </c>
      <c r="H2963" s="5">
        <v>0</v>
      </c>
    </row>
    <row r="2964" spans="1:8" x14ac:dyDescent="0.35">
      <c r="A2964" s="2" t="s">
        <v>1042</v>
      </c>
      <c r="B2964" s="2" t="s">
        <v>510</v>
      </c>
      <c r="C2964" s="2" t="s">
        <v>1155</v>
      </c>
      <c r="D2964" s="2" t="s">
        <v>1156</v>
      </c>
      <c r="E2964" s="2" t="s">
        <v>470</v>
      </c>
      <c r="F2964" s="3">
        <v>384</v>
      </c>
      <c r="G2964" s="4">
        <v>6</v>
      </c>
      <c r="H2964" s="5">
        <v>0</v>
      </c>
    </row>
    <row r="2965" spans="1:8" x14ac:dyDescent="0.35">
      <c r="A2965" s="2" t="s">
        <v>1042</v>
      </c>
      <c r="B2965" s="2" t="s">
        <v>510</v>
      </c>
      <c r="C2965" s="2" t="s">
        <v>1157</v>
      </c>
      <c r="D2965" s="2" t="s">
        <v>1158</v>
      </c>
      <c r="E2965" s="2" t="s">
        <v>489</v>
      </c>
      <c r="F2965" s="3">
        <v>1920</v>
      </c>
      <c r="G2965" s="4">
        <v>24</v>
      </c>
      <c r="H2965" s="5">
        <v>0</v>
      </c>
    </row>
    <row r="2966" spans="1:8" x14ac:dyDescent="0.35">
      <c r="A2966" s="2" t="s">
        <v>1042</v>
      </c>
      <c r="B2966" s="2" t="s">
        <v>510</v>
      </c>
      <c r="C2966" s="2" t="s">
        <v>1159</v>
      </c>
      <c r="D2966" s="2" t="s">
        <v>1160</v>
      </c>
      <c r="E2966" s="2" t="s">
        <v>1161</v>
      </c>
      <c r="F2966" s="3">
        <v>556.79999999999995</v>
      </c>
      <c r="G2966" s="4">
        <v>12</v>
      </c>
      <c r="H2966" s="5">
        <v>0</v>
      </c>
    </row>
    <row r="2967" spans="1:8" x14ac:dyDescent="0.35">
      <c r="A2967" s="2" t="s">
        <v>1042</v>
      </c>
      <c r="B2967" s="2" t="s">
        <v>510</v>
      </c>
      <c r="C2967" s="2" t="s">
        <v>1162</v>
      </c>
      <c r="D2967" s="2" t="s">
        <v>1163</v>
      </c>
      <c r="E2967" s="2" t="s">
        <v>115</v>
      </c>
      <c r="F2967" s="3">
        <v>64</v>
      </c>
      <c r="G2967" s="4">
        <v>12</v>
      </c>
      <c r="H2967" s="5">
        <v>0</v>
      </c>
    </row>
    <row r="2968" spans="1:8" x14ac:dyDescent="0.35">
      <c r="A2968" s="2" t="s">
        <v>1042</v>
      </c>
      <c r="B2968" s="2" t="s">
        <v>510</v>
      </c>
      <c r="C2968" s="2" t="s">
        <v>1164</v>
      </c>
      <c r="D2968" s="2" t="s">
        <v>1165</v>
      </c>
      <c r="E2968" s="2" t="s">
        <v>836</v>
      </c>
      <c r="F2968" s="3">
        <v>192</v>
      </c>
      <c r="G2968" s="4">
        <v>12</v>
      </c>
      <c r="H2968" s="5">
        <v>0</v>
      </c>
    </row>
    <row r="2969" spans="1:8" x14ac:dyDescent="0.35">
      <c r="A2969" s="2" t="s">
        <v>1042</v>
      </c>
      <c r="B2969" s="2" t="s">
        <v>510</v>
      </c>
      <c r="C2969" s="2" t="s">
        <v>1166</v>
      </c>
      <c r="D2969" s="2" t="s">
        <v>1167</v>
      </c>
      <c r="E2969" s="2" t="s">
        <v>315</v>
      </c>
      <c r="F2969" s="3">
        <v>153.6</v>
      </c>
      <c r="G2969" s="4">
        <v>12</v>
      </c>
      <c r="H2969" s="5">
        <v>0</v>
      </c>
    </row>
    <row r="2970" spans="1:8" x14ac:dyDescent="0.35">
      <c r="A2970" s="2" t="s">
        <v>1042</v>
      </c>
      <c r="B2970" s="2" t="s">
        <v>510</v>
      </c>
      <c r="C2970" s="2" t="s">
        <v>1168</v>
      </c>
      <c r="D2970" s="2" t="s">
        <v>1169</v>
      </c>
      <c r="E2970" s="2" t="s">
        <v>344</v>
      </c>
      <c r="F2970" s="3">
        <v>4480</v>
      </c>
      <c r="G2970" s="4">
        <v>48</v>
      </c>
      <c r="H2970" s="5">
        <v>0</v>
      </c>
    </row>
    <row r="2971" spans="1:8" x14ac:dyDescent="0.35">
      <c r="A2971" s="2" t="s">
        <v>1042</v>
      </c>
      <c r="B2971" s="2" t="s">
        <v>510</v>
      </c>
      <c r="C2971" s="2" t="s">
        <v>1170</v>
      </c>
      <c r="D2971" s="2" t="s">
        <v>1171</v>
      </c>
      <c r="E2971" s="2" t="s">
        <v>398</v>
      </c>
      <c r="F2971" s="3">
        <v>57.6</v>
      </c>
      <c r="G2971" s="4">
        <v>12</v>
      </c>
      <c r="H2971" s="5">
        <v>0</v>
      </c>
    </row>
    <row r="2972" spans="1:8" x14ac:dyDescent="0.35">
      <c r="A2972" s="2" t="s">
        <v>1042</v>
      </c>
      <c r="B2972" s="2" t="s">
        <v>510</v>
      </c>
      <c r="C2972" s="2" t="s">
        <v>1172</v>
      </c>
      <c r="D2972" s="2" t="s">
        <v>1173</v>
      </c>
      <c r="E2972" s="2" t="s">
        <v>322</v>
      </c>
      <c r="F2972" s="3">
        <v>512</v>
      </c>
      <c r="G2972" s="4">
        <v>12</v>
      </c>
      <c r="H2972" s="5">
        <v>0</v>
      </c>
    </row>
    <row r="2973" spans="1:8" x14ac:dyDescent="0.35">
      <c r="A2973" s="2" t="s">
        <v>1042</v>
      </c>
      <c r="B2973" s="2" t="s">
        <v>510</v>
      </c>
      <c r="C2973" s="2" t="s">
        <v>1174</v>
      </c>
      <c r="D2973" s="2" t="s">
        <v>1175</v>
      </c>
      <c r="E2973" s="2" t="s">
        <v>1176</v>
      </c>
      <c r="F2973" s="3">
        <v>512</v>
      </c>
      <c r="G2973" s="4">
        <v>12</v>
      </c>
      <c r="H2973" s="5">
        <v>0</v>
      </c>
    </row>
    <row r="2974" spans="1:8" x14ac:dyDescent="0.35">
      <c r="A2974" s="2" t="s">
        <v>1042</v>
      </c>
      <c r="B2974" s="2" t="s">
        <v>510</v>
      </c>
      <c r="C2974" s="2" t="s">
        <v>837</v>
      </c>
      <c r="D2974" s="2" t="s">
        <v>838</v>
      </c>
      <c r="E2974" s="2" t="s">
        <v>452</v>
      </c>
      <c r="F2974" s="3">
        <v>96</v>
      </c>
      <c r="G2974" s="4">
        <v>1</v>
      </c>
      <c r="H2974" s="5">
        <v>0</v>
      </c>
    </row>
    <row r="2975" spans="1:8" x14ac:dyDescent="0.35">
      <c r="A2975" s="2" t="s">
        <v>1042</v>
      </c>
      <c r="B2975" s="2" t="s">
        <v>510</v>
      </c>
      <c r="C2975" s="2" t="s">
        <v>1177</v>
      </c>
      <c r="D2975" s="2" t="s">
        <v>1065</v>
      </c>
      <c r="E2975" s="2" t="s">
        <v>443</v>
      </c>
      <c r="F2975" s="3">
        <v>1024</v>
      </c>
      <c r="G2975" s="4">
        <v>12</v>
      </c>
      <c r="H2975" s="5">
        <v>0</v>
      </c>
    </row>
    <row r="2976" spans="1:8" x14ac:dyDescent="0.35">
      <c r="A2976" s="2" t="s">
        <v>1042</v>
      </c>
      <c r="B2976" s="2" t="s">
        <v>510</v>
      </c>
      <c r="C2976" s="2" t="s">
        <v>1178</v>
      </c>
      <c r="D2976" s="2" t="s">
        <v>1179</v>
      </c>
      <c r="E2976" s="2" t="s">
        <v>102</v>
      </c>
      <c r="F2976" s="3">
        <v>190.44</v>
      </c>
      <c r="G2976" s="4">
        <v>1</v>
      </c>
      <c r="H2976" s="5">
        <v>0</v>
      </c>
    </row>
    <row r="2977" spans="1:8" x14ac:dyDescent="0.35">
      <c r="A2977" s="2" t="s">
        <v>1042</v>
      </c>
      <c r="B2977" s="2" t="s">
        <v>510</v>
      </c>
      <c r="C2977" s="2" t="s">
        <v>1180</v>
      </c>
      <c r="D2977" s="2" t="s">
        <v>1181</v>
      </c>
      <c r="E2977" s="2" t="s">
        <v>300</v>
      </c>
      <c r="F2977" s="3">
        <v>64</v>
      </c>
      <c r="G2977" s="4">
        <v>12</v>
      </c>
      <c r="H2977" s="5">
        <v>0</v>
      </c>
    </row>
    <row r="2978" spans="1:8" x14ac:dyDescent="0.35">
      <c r="A2978" s="2" t="s">
        <v>1042</v>
      </c>
      <c r="B2978" s="2" t="s">
        <v>510</v>
      </c>
      <c r="C2978" s="2" t="s">
        <v>1182</v>
      </c>
      <c r="D2978" s="2" t="s">
        <v>1183</v>
      </c>
      <c r="E2978" s="2" t="s">
        <v>564</v>
      </c>
      <c r="F2978" s="3">
        <v>153.6</v>
      </c>
      <c r="G2978" s="4">
        <v>12</v>
      </c>
      <c r="H2978" s="5">
        <v>0</v>
      </c>
    </row>
    <row r="2979" spans="1:8" x14ac:dyDescent="0.35">
      <c r="A2979" s="2" t="s">
        <v>1042</v>
      </c>
      <c r="B2979" s="2" t="s">
        <v>291</v>
      </c>
      <c r="C2979" s="2" t="s">
        <v>1080</v>
      </c>
      <c r="D2979" s="2" t="s">
        <v>1081</v>
      </c>
      <c r="E2979" s="2" t="s">
        <v>1082</v>
      </c>
      <c r="F2979" s="3">
        <v>804.21</v>
      </c>
      <c r="G2979" s="4">
        <v>12</v>
      </c>
      <c r="H2979" s="5">
        <v>0</v>
      </c>
    </row>
    <row r="2980" spans="1:8" x14ac:dyDescent="0.35">
      <c r="A2980" s="2" t="s">
        <v>1042</v>
      </c>
      <c r="B2980" s="2" t="s">
        <v>291</v>
      </c>
      <c r="C2980" s="2" t="s">
        <v>1083</v>
      </c>
      <c r="D2980" s="2" t="s">
        <v>1084</v>
      </c>
      <c r="E2980" s="2" t="s">
        <v>1085</v>
      </c>
      <c r="F2980" s="3">
        <v>600</v>
      </c>
      <c r="G2980" s="4">
        <v>12</v>
      </c>
      <c r="H2980" s="5">
        <v>0</v>
      </c>
    </row>
    <row r="2981" spans="1:8" x14ac:dyDescent="0.35">
      <c r="A2981" s="2" t="s">
        <v>1042</v>
      </c>
      <c r="B2981" s="2" t="s">
        <v>291</v>
      </c>
      <c r="C2981" s="2" t="s">
        <v>1086</v>
      </c>
      <c r="D2981" s="2" t="s">
        <v>1087</v>
      </c>
      <c r="E2981" s="2" t="s">
        <v>35</v>
      </c>
      <c r="F2981" s="3">
        <v>690</v>
      </c>
      <c r="G2981" s="4">
        <v>12</v>
      </c>
      <c r="H2981" s="5">
        <v>0</v>
      </c>
    </row>
    <row r="2982" spans="1:8" x14ac:dyDescent="0.35">
      <c r="A2982" s="2" t="s">
        <v>1042</v>
      </c>
      <c r="B2982" s="2" t="s">
        <v>291</v>
      </c>
      <c r="C2982" s="2" t="s">
        <v>1088</v>
      </c>
      <c r="D2982" s="2" t="s">
        <v>1089</v>
      </c>
      <c r="E2982" s="2" t="s">
        <v>46</v>
      </c>
      <c r="F2982" s="3">
        <v>1650</v>
      </c>
      <c r="G2982" s="4">
        <v>12</v>
      </c>
      <c r="H2982" s="5">
        <v>7.4999999999999997E-3</v>
      </c>
    </row>
    <row r="2983" spans="1:8" x14ac:dyDescent="0.35">
      <c r="A2983" s="2" t="s">
        <v>1042</v>
      </c>
      <c r="B2983" s="2" t="s">
        <v>291</v>
      </c>
      <c r="C2983" s="2" t="s">
        <v>1090</v>
      </c>
      <c r="D2983" s="2" t="s">
        <v>1091</v>
      </c>
      <c r="E2983" s="2" t="s">
        <v>1092</v>
      </c>
      <c r="F2983" s="3">
        <v>80</v>
      </c>
      <c r="G2983" s="4">
        <v>12</v>
      </c>
      <c r="H2983" s="5">
        <v>0</v>
      </c>
    </row>
    <row r="2984" spans="1:8" x14ac:dyDescent="0.35">
      <c r="A2984" s="2" t="s">
        <v>1042</v>
      </c>
      <c r="B2984" s="2" t="s">
        <v>291</v>
      </c>
      <c r="C2984" s="2" t="s">
        <v>581</v>
      </c>
      <c r="D2984" s="2" t="s">
        <v>355</v>
      </c>
      <c r="E2984" s="2" t="s">
        <v>356</v>
      </c>
      <c r="F2984" s="3">
        <v>200</v>
      </c>
      <c r="G2984" s="4">
        <v>12</v>
      </c>
      <c r="H2984" s="5">
        <v>0</v>
      </c>
    </row>
    <row r="2985" spans="1:8" x14ac:dyDescent="0.35">
      <c r="A2985" s="2" t="s">
        <v>1042</v>
      </c>
      <c r="B2985" s="2" t="s">
        <v>291</v>
      </c>
      <c r="C2985" s="2" t="s">
        <v>582</v>
      </c>
      <c r="D2985" s="2" t="s">
        <v>360</v>
      </c>
      <c r="E2985" s="2" t="s">
        <v>361</v>
      </c>
      <c r="F2985" s="3">
        <v>320</v>
      </c>
      <c r="G2985" s="4">
        <v>12</v>
      </c>
      <c r="H2985" s="5">
        <v>0</v>
      </c>
    </row>
    <row r="2986" spans="1:8" x14ac:dyDescent="0.35">
      <c r="A2986" s="2" t="s">
        <v>1042</v>
      </c>
      <c r="B2986" s="2" t="s">
        <v>291</v>
      </c>
      <c r="C2986" s="2" t="s">
        <v>1093</v>
      </c>
      <c r="D2986" s="2" t="s">
        <v>1094</v>
      </c>
      <c r="E2986" s="2" t="s">
        <v>92</v>
      </c>
      <c r="F2986" s="3">
        <v>420</v>
      </c>
      <c r="G2986" s="4">
        <v>12</v>
      </c>
      <c r="H2986" s="5">
        <v>0</v>
      </c>
    </row>
    <row r="2987" spans="1:8" x14ac:dyDescent="0.35">
      <c r="A2987" s="2" t="s">
        <v>1042</v>
      </c>
      <c r="B2987" s="2" t="s">
        <v>291</v>
      </c>
      <c r="C2987" s="2" t="s">
        <v>1095</v>
      </c>
      <c r="D2987" s="2" t="s">
        <v>1096</v>
      </c>
      <c r="E2987" s="2" t="s">
        <v>368</v>
      </c>
      <c r="F2987" s="3">
        <v>1066.05</v>
      </c>
      <c r="G2987" s="4">
        <v>12</v>
      </c>
      <c r="H2987" s="5">
        <v>0</v>
      </c>
    </row>
    <row r="2988" spans="1:8" x14ac:dyDescent="0.35">
      <c r="A2988" s="2" t="s">
        <v>1042</v>
      </c>
      <c r="B2988" s="2" t="s">
        <v>291</v>
      </c>
      <c r="C2988" s="2" t="s">
        <v>1097</v>
      </c>
      <c r="D2988" s="2" t="s">
        <v>1098</v>
      </c>
      <c r="E2988" s="2" t="s">
        <v>1099</v>
      </c>
      <c r="F2988" s="3">
        <v>1350</v>
      </c>
      <c r="G2988" s="4">
        <v>12</v>
      </c>
      <c r="H2988" s="5">
        <v>0</v>
      </c>
    </row>
    <row r="2989" spans="1:8" x14ac:dyDescent="0.35">
      <c r="A2989" s="2" t="s">
        <v>1042</v>
      </c>
      <c r="B2989" s="2" t="s">
        <v>291</v>
      </c>
      <c r="C2989" s="2" t="s">
        <v>1100</v>
      </c>
      <c r="D2989" s="2" t="s">
        <v>1101</v>
      </c>
      <c r="E2989" s="2" t="s">
        <v>71</v>
      </c>
      <c r="F2989" s="3">
        <v>215</v>
      </c>
      <c r="G2989" s="4">
        <v>12</v>
      </c>
      <c r="H2989" s="5">
        <v>0</v>
      </c>
    </row>
    <row r="2990" spans="1:8" x14ac:dyDescent="0.35">
      <c r="A2990" s="2" t="s">
        <v>1042</v>
      </c>
      <c r="B2990" s="2" t="s">
        <v>291</v>
      </c>
      <c r="C2990" s="2" t="s">
        <v>1102</v>
      </c>
      <c r="D2990" s="2" t="s">
        <v>1103</v>
      </c>
      <c r="E2990" s="2" t="s">
        <v>92</v>
      </c>
      <c r="F2990" s="3">
        <v>2500</v>
      </c>
      <c r="G2990" s="4">
        <v>12</v>
      </c>
      <c r="H2990" s="5">
        <v>0</v>
      </c>
    </row>
    <row r="2991" spans="1:8" ht="14.5" customHeight="1" x14ac:dyDescent="0.35">
      <c r="A2991" s="2" t="s">
        <v>1042</v>
      </c>
      <c r="B2991" s="2" t="s">
        <v>291</v>
      </c>
      <c r="C2991" s="2" t="s">
        <v>1104</v>
      </c>
      <c r="D2991" s="2" t="s">
        <v>1105</v>
      </c>
      <c r="E2991" s="2" t="s">
        <v>1106</v>
      </c>
      <c r="F2991" s="3">
        <v>715</v>
      </c>
      <c r="G2991" s="4">
        <v>12</v>
      </c>
      <c r="H2991" s="5">
        <v>0</v>
      </c>
    </row>
    <row r="2992" spans="1:8" ht="14.5" customHeight="1" x14ac:dyDescent="0.35">
      <c r="A2992" s="2" t="s">
        <v>1042</v>
      </c>
      <c r="B2992" s="2" t="s">
        <v>291</v>
      </c>
      <c r="C2992" s="2" t="s">
        <v>1107</v>
      </c>
      <c r="D2992" s="2" t="s">
        <v>1108</v>
      </c>
      <c r="E2992" s="2" t="s">
        <v>1109</v>
      </c>
      <c r="F2992" s="3">
        <v>935</v>
      </c>
      <c r="G2992" s="4">
        <v>12</v>
      </c>
      <c r="H2992" s="5">
        <v>0</v>
      </c>
    </row>
    <row r="2993" spans="1:8" x14ac:dyDescent="0.35">
      <c r="A2993" s="2" t="s">
        <v>1042</v>
      </c>
      <c r="B2993" s="2" t="s">
        <v>291</v>
      </c>
      <c r="C2993" s="2" t="s">
        <v>1110</v>
      </c>
      <c r="D2993" s="2" t="s">
        <v>1111</v>
      </c>
      <c r="E2993" s="2" t="s">
        <v>1112</v>
      </c>
      <c r="F2993" s="3">
        <v>130</v>
      </c>
      <c r="G2993" s="4">
        <v>12</v>
      </c>
      <c r="H2993" s="5">
        <v>0</v>
      </c>
    </row>
    <row r="2994" spans="1:8" ht="26" x14ac:dyDescent="0.35">
      <c r="A2994" s="2" t="s">
        <v>1042</v>
      </c>
      <c r="B2994" s="2" t="s">
        <v>291</v>
      </c>
      <c r="C2994" s="2" t="s">
        <v>1113</v>
      </c>
      <c r="D2994" s="2" t="s">
        <v>1114</v>
      </c>
      <c r="E2994" s="2" t="s">
        <v>1115</v>
      </c>
      <c r="F2994" s="3">
        <v>110</v>
      </c>
      <c r="G2994" s="4">
        <v>12</v>
      </c>
      <c r="H2994" s="5">
        <v>0</v>
      </c>
    </row>
    <row r="2995" spans="1:8" x14ac:dyDescent="0.35">
      <c r="A2995" s="2" t="s">
        <v>1042</v>
      </c>
      <c r="B2995" s="2" t="s">
        <v>291</v>
      </c>
      <c r="C2995" s="2" t="s">
        <v>1116</v>
      </c>
      <c r="D2995" s="2" t="s">
        <v>1117</v>
      </c>
      <c r="E2995" s="2" t="s">
        <v>82</v>
      </c>
      <c r="F2995" s="3">
        <v>1236</v>
      </c>
      <c r="G2995" s="4">
        <v>12</v>
      </c>
      <c r="H2995" s="5">
        <v>0</v>
      </c>
    </row>
    <row r="2996" spans="1:8" x14ac:dyDescent="0.35">
      <c r="A2996" s="2" t="s">
        <v>1042</v>
      </c>
      <c r="B2996" s="2" t="s">
        <v>291</v>
      </c>
      <c r="C2996" s="2" t="s">
        <v>1118</v>
      </c>
      <c r="D2996" s="2" t="s">
        <v>1119</v>
      </c>
      <c r="E2996" s="2" t="s">
        <v>1120</v>
      </c>
      <c r="F2996" s="3">
        <v>4.3</v>
      </c>
      <c r="G2996" s="4">
        <v>12</v>
      </c>
      <c r="H2996" s="5">
        <v>0</v>
      </c>
    </row>
    <row r="2997" spans="1:8" x14ac:dyDescent="0.35">
      <c r="A2997" s="2" t="s">
        <v>1042</v>
      </c>
      <c r="B2997" s="2" t="s">
        <v>291</v>
      </c>
      <c r="C2997" s="2" t="s">
        <v>1121</v>
      </c>
      <c r="D2997" s="2" t="s">
        <v>1122</v>
      </c>
      <c r="E2997" s="2" t="s">
        <v>1123</v>
      </c>
      <c r="F2997" s="3">
        <v>350</v>
      </c>
      <c r="G2997" s="4">
        <v>12</v>
      </c>
      <c r="H2997" s="5">
        <v>0</v>
      </c>
    </row>
    <row r="2998" spans="1:8" ht="14.5" customHeight="1" x14ac:dyDescent="0.35">
      <c r="A2998" s="2" t="s">
        <v>1042</v>
      </c>
      <c r="B2998" s="2" t="s">
        <v>291</v>
      </c>
      <c r="C2998" s="2" t="s">
        <v>1124</v>
      </c>
      <c r="D2998" s="2" t="s">
        <v>1125</v>
      </c>
      <c r="E2998" s="2" t="s">
        <v>1126</v>
      </c>
      <c r="F2998" s="3">
        <v>9.35</v>
      </c>
      <c r="G2998" s="4">
        <v>1</v>
      </c>
      <c r="H2998" s="5">
        <v>0</v>
      </c>
    </row>
    <row r="2999" spans="1:8" ht="14.5" customHeight="1" x14ac:dyDescent="0.35">
      <c r="A2999" s="2" t="s">
        <v>1042</v>
      </c>
      <c r="B2999" s="2" t="s">
        <v>291</v>
      </c>
      <c r="C2999" s="2" t="s">
        <v>1127</v>
      </c>
      <c r="D2999" s="2" t="s">
        <v>1128</v>
      </c>
      <c r="E2999" s="2" t="s">
        <v>1129</v>
      </c>
      <c r="F2999" s="3">
        <v>22.91</v>
      </c>
      <c r="G2999" s="4">
        <v>1</v>
      </c>
      <c r="H2999" s="5">
        <v>0</v>
      </c>
    </row>
    <row r="3000" spans="1:8" ht="14.5" customHeight="1" x14ac:dyDescent="0.35">
      <c r="A3000" s="2" t="s">
        <v>1042</v>
      </c>
      <c r="B3000" s="2" t="s">
        <v>291</v>
      </c>
      <c r="C3000" s="2" t="s">
        <v>1130</v>
      </c>
      <c r="D3000" s="2" t="s">
        <v>1131</v>
      </c>
      <c r="E3000" s="2" t="s">
        <v>1132</v>
      </c>
      <c r="F3000" s="3">
        <v>22.91</v>
      </c>
      <c r="G3000" s="4">
        <v>1</v>
      </c>
      <c r="H3000" s="5">
        <v>0</v>
      </c>
    </row>
    <row r="3001" spans="1:8" x14ac:dyDescent="0.35">
      <c r="A3001" s="2" t="s">
        <v>1042</v>
      </c>
      <c r="B3001" s="2" t="s">
        <v>291</v>
      </c>
      <c r="C3001" s="2" t="s">
        <v>1133</v>
      </c>
      <c r="D3001" s="2" t="s">
        <v>1134</v>
      </c>
      <c r="E3001" s="2" t="s">
        <v>147</v>
      </c>
      <c r="F3001" s="3">
        <v>1365</v>
      </c>
      <c r="G3001" s="4">
        <v>12</v>
      </c>
      <c r="H3001" s="5">
        <v>7.4999999999999997E-3</v>
      </c>
    </row>
    <row r="3002" spans="1:8" x14ac:dyDescent="0.35">
      <c r="A3002" s="2" t="s">
        <v>1042</v>
      </c>
      <c r="B3002" s="2" t="s">
        <v>291</v>
      </c>
      <c r="C3002" s="2" t="s">
        <v>1135</v>
      </c>
      <c r="D3002" s="2" t="s">
        <v>1136</v>
      </c>
      <c r="E3002" s="2" t="s">
        <v>158</v>
      </c>
      <c r="F3002" s="3">
        <v>1100</v>
      </c>
      <c r="G3002" s="4">
        <v>12</v>
      </c>
      <c r="H3002" s="5">
        <v>7.4999999999999997E-3</v>
      </c>
    </row>
    <row r="3003" spans="1:8" x14ac:dyDescent="0.35">
      <c r="A3003" s="2" t="s">
        <v>1042</v>
      </c>
      <c r="B3003" s="2" t="s">
        <v>291</v>
      </c>
      <c r="C3003" s="2" t="s">
        <v>1137</v>
      </c>
      <c r="D3003" s="2" t="s">
        <v>1138</v>
      </c>
      <c r="E3003" s="2" t="s">
        <v>59</v>
      </c>
      <c r="F3003" s="3">
        <v>93</v>
      </c>
      <c r="G3003" s="4">
        <v>12</v>
      </c>
      <c r="H3003" s="5">
        <v>0</v>
      </c>
    </row>
    <row r="3004" spans="1:8" x14ac:dyDescent="0.35">
      <c r="A3004" s="2" t="s">
        <v>1042</v>
      </c>
      <c r="B3004" s="2" t="s">
        <v>291</v>
      </c>
      <c r="C3004" s="2" t="s">
        <v>1139</v>
      </c>
      <c r="D3004" s="2" t="s">
        <v>1140</v>
      </c>
      <c r="E3004" s="2" t="s">
        <v>226</v>
      </c>
      <c r="F3004" s="3">
        <v>3500</v>
      </c>
      <c r="G3004" s="4">
        <v>12</v>
      </c>
      <c r="H3004" s="5">
        <v>7.4999999999999997E-3</v>
      </c>
    </row>
    <row r="3005" spans="1:8" x14ac:dyDescent="0.35">
      <c r="A3005" s="2" t="s">
        <v>1042</v>
      </c>
      <c r="B3005" s="2" t="s">
        <v>291</v>
      </c>
      <c r="C3005" s="2" t="s">
        <v>1141</v>
      </c>
      <c r="D3005" s="2" t="s">
        <v>1142</v>
      </c>
      <c r="E3005" s="2" t="s">
        <v>347</v>
      </c>
      <c r="F3005" s="3">
        <v>650</v>
      </c>
      <c r="G3005" s="4">
        <v>12</v>
      </c>
      <c r="H3005" s="5">
        <v>0</v>
      </c>
    </row>
    <row r="3006" spans="1:8" x14ac:dyDescent="0.35">
      <c r="A3006" s="2" t="s">
        <v>1042</v>
      </c>
      <c r="B3006" s="2" t="s">
        <v>291</v>
      </c>
      <c r="C3006" s="2" t="s">
        <v>1143</v>
      </c>
      <c r="D3006" s="2" t="s">
        <v>1144</v>
      </c>
      <c r="E3006" s="2" t="s">
        <v>248</v>
      </c>
      <c r="F3006" s="3">
        <v>300</v>
      </c>
      <c r="G3006" s="4">
        <v>12</v>
      </c>
      <c r="H3006" s="5">
        <v>0</v>
      </c>
    </row>
    <row r="3007" spans="1:8" x14ac:dyDescent="0.35">
      <c r="A3007" s="2" t="s">
        <v>1042</v>
      </c>
      <c r="B3007" s="2" t="s">
        <v>291</v>
      </c>
      <c r="C3007" s="2" t="s">
        <v>1145</v>
      </c>
      <c r="D3007" s="2" t="s">
        <v>1146</v>
      </c>
      <c r="E3007" s="2" t="s">
        <v>258</v>
      </c>
      <c r="F3007" s="3">
        <v>3500</v>
      </c>
      <c r="G3007" s="4">
        <v>12</v>
      </c>
      <c r="H3007" s="5">
        <v>7.4999999999999997E-3</v>
      </c>
    </row>
    <row r="3008" spans="1:8" x14ac:dyDescent="0.35">
      <c r="A3008" s="2" t="s">
        <v>1042</v>
      </c>
      <c r="B3008" s="2" t="s">
        <v>291</v>
      </c>
      <c r="C3008" s="2" t="s">
        <v>1147</v>
      </c>
      <c r="D3008" s="2" t="s">
        <v>1148</v>
      </c>
      <c r="E3008" s="2" t="s">
        <v>260</v>
      </c>
      <c r="F3008" s="3">
        <v>19000</v>
      </c>
      <c r="G3008" s="4">
        <v>12</v>
      </c>
      <c r="H3008" s="5">
        <v>7.4999999999999997E-3</v>
      </c>
    </row>
    <row r="3009" spans="1:8" x14ac:dyDescent="0.35">
      <c r="A3009" s="2" t="s">
        <v>1042</v>
      </c>
      <c r="B3009" s="2" t="s">
        <v>291</v>
      </c>
      <c r="C3009" s="2" t="s">
        <v>1149</v>
      </c>
      <c r="D3009" s="2" t="s">
        <v>1150</v>
      </c>
      <c r="E3009" s="2" t="s">
        <v>271</v>
      </c>
      <c r="F3009" s="3">
        <v>62950</v>
      </c>
      <c r="G3009" s="4">
        <v>12</v>
      </c>
      <c r="H3009" s="5">
        <v>7.4999999999999997E-3</v>
      </c>
    </row>
    <row r="3010" spans="1:8" x14ac:dyDescent="0.35">
      <c r="A3010" s="2" t="s">
        <v>1042</v>
      </c>
      <c r="B3010" s="2" t="s">
        <v>291</v>
      </c>
      <c r="C3010" s="2" t="s">
        <v>1151</v>
      </c>
      <c r="D3010" s="2" t="s">
        <v>1152</v>
      </c>
      <c r="E3010" s="2" t="s">
        <v>260</v>
      </c>
      <c r="F3010" s="3">
        <v>18500</v>
      </c>
      <c r="G3010" s="4">
        <v>12</v>
      </c>
      <c r="H3010" s="5">
        <v>7.4999999999999997E-3</v>
      </c>
    </row>
    <row r="3011" spans="1:8" x14ac:dyDescent="0.35">
      <c r="A3011" s="2" t="s">
        <v>1042</v>
      </c>
      <c r="B3011" s="2" t="s">
        <v>291</v>
      </c>
      <c r="C3011" s="2" t="s">
        <v>1153</v>
      </c>
      <c r="D3011" s="2" t="s">
        <v>1154</v>
      </c>
      <c r="E3011" s="2" t="s">
        <v>260</v>
      </c>
      <c r="F3011" s="3">
        <v>2700</v>
      </c>
      <c r="G3011" s="4">
        <v>12</v>
      </c>
      <c r="H3011" s="5">
        <v>7.4999999999999997E-3</v>
      </c>
    </row>
    <row r="3012" spans="1:8" x14ac:dyDescent="0.35">
      <c r="A3012" s="2" t="s">
        <v>1042</v>
      </c>
      <c r="B3012" s="2" t="s">
        <v>291</v>
      </c>
      <c r="C3012" s="2" t="s">
        <v>1155</v>
      </c>
      <c r="D3012" s="2" t="s">
        <v>1156</v>
      </c>
      <c r="E3012" s="2" t="s">
        <v>470</v>
      </c>
      <c r="F3012" s="3">
        <v>135</v>
      </c>
      <c r="G3012" s="4">
        <v>6</v>
      </c>
      <c r="H3012" s="5">
        <v>0</v>
      </c>
    </row>
    <row r="3013" spans="1:8" x14ac:dyDescent="0.35">
      <c r="A3013" s="2" t="s">
        <v>1042</v>
      </c>
      <c r="B3013" s="2" t="s">
        <v>291</v>
      </c>
      <c r="C3013" s="2" t="s">
        <v>1157</v>
      </c>
      <c r="D3013" s="2" t="s">
        <v>1158</v>
      </c>
      <c r="E3013" s="2" t="s">
        <v>489</v>
      </c>
      <c r="F3013" s="3">
        <v>1500</v>
      </c>
      <c r="G3013" s="4">
        <v>12</v>
      </c>
      <c r="H3013" s="5">
        <v>7.4999999999999997E-3</v>
      </c>
    </row>
    <row r="3014" spans="1:8" x14ac:dyDescent="0.35">
      <c r="A3014" s="2" t="s">
        <v>1042</v>
      </c>
      <c r="B3014" s="2" t="s">
        <v>291</v>
      </c>
      <c r="C3014" s="2" t="s">
        <v>1159</v>
      </c>
      <c r="D3014" s="2" t="s">
        <v>1160</v>
      </c>
      <c r="E3014" s="2" t="s">
        <v>1161</v>
      </c>
      <c r="F3014" s="3">
        <v>435</v>
      </c>
      <c r="G3014" s="4">
        <v>12</v>
      </c>
      <c r="H3014" s="5">
        <v>0</v>
      </c>
    </row>
    <row r="3015" spans="1:8" x14ac:dyDescent="0.35">
      <c r="A3015" s="2" t="s">
        <v>1042</v>
      </c>
      <c r="B3015" s="2" t="s">
        <v>291</v>
      </c>
      <c r="C3015" s="2" t="s">
        <v>1162</v>
      </c>
      <c r="D3015" s="2" t="s">
        <v>1163</v>
      </c>
      <c r="E3015" s="2" t="s">
        <v>115</v>
      </c>
      <c r="F3015" s="3">
        <v>30</v>
      </c>
      <c r="G3015" s="4">
        <v>12</v>
      </c>
      <c r="H3015" s="5">
        <v>0</v>
      </c>
    </row>
    <row r="3016" spans="1:8" x14ac:dyDescent="0.35">
      <c r="A3016" s="2" t="s">
        <v>1042</v>
      </c>
      <c r="B3016" s="2" t="s">
        <v>291</v>
      </c>
      <c r="C3016" s="2" t="s">
        <v>1164</v>
      </c>
      <c r="D3016" s="2" t="s">
        <v>1165</v>
      </c>
      <c r="E3016" s="2" t="s">
        <v>836</v>
      </c>
      <c r="F3016" s="3">
        <v>120</v>
      </c>
      <c r="G3016" s="4">
        <v>12</v>
      </c>
      <c r="H3016" s="5">
        <v>0</v>
      </c>
    </row>
    <row r="3017" spans="1:8" x14ac:dyDescent="0.35">
      <c r="A3017" s="2" t="s">
        <v>1042</v>
      </c>
      <c r="B3017" s="2" t="s">
        <v>291</v>
      </c>
      <c r="C3017" s="2" t="s">
        <v>1166</v>
      </c>
      <c r="D3017" s="2" t="s">
        <v>1167</v>
      </c>
      <c r="E3017" s="2" t="s">
        <v>315</v>
      </c>
      <c r="F3017" s="3">
        <v>120</v>
      </c>
      <c r="G3017" s="4">
        <v>12</v>
      </c>
      <c r="H3017" s="5">
        <v>0</v>
      </c>
    </row>
    <row r="3018" spans="1:8" x14ac:dyDescent="0.35">
      <c r="A3018" s="2" t="s">
        <v>1042</v>
      </c>
      <c r="B3018" s="2" t="s">
        <v>291</v>
      </c>
      <c r="C3018" s="2" t="s">
        <v>1168</v>
      </c>
      <c r="D3018" s="2" t="s">
        <v>1169</v>
      </c>
      <c r="E3018" s="2" t="s">
        <v>344</v>
      </c>
      <c r="F3018" s="3">
        <v>3500</v>
      </c>
      <c r="G3018" s="4">
        <v>12</v>
      </c>
      <c r="H3018" s="5">
        <v>7.4999999999999997E-3</v>
      </c>
    </row>
    <row r="3019" spans="1:8" x14ac:dyDescent="0.35">
      <c r="A3019" s="2" t="s">
        <v>1042</v>
      </c>
      <c r="B3019" s="2" t="s">
        <v>291</v>
      </c>
      <c r="C3019" s="2" t="s">
        <v>1170</v>
      </c>
      <c r="D3019" s="2" t="s">
        <v>1171</v>
      </c>
      <c r="E3019" s="2" t="s">
        <v>398</v>
      </c>
      <c r="F3019" s="3">
        <v>15</v>
      </c>
      <c r="G3019" s="4">
        <v>12</v>
      </c>
      <c r="H3019" s="5">
        <v>0</v>
      </c>
    </row>
    <row r="3020" spans="1:8" x14ac:dyDescent="0.35">
      <c r="A3020" s="2" t="s">
        <v>1042</v>
      </c>
      <c r="B3020" s="2" t="s">
        <v>291</v>
      </c>
      <c r="C3020" s="2" t="s">
        <v>1172</v>
      </c>
      <c r="D3020" s="2" t="s">
        <v>1173</v>
      </c>
      <c r="E3020" s="2" t="s">
        <v>322</v>
      </c>
      <c r="F3020" s="3">
        <v>220</v>
      </c>
      <c r="G3020" s="4">
        <v>12</v>
      </c>
      <c r="H3020" s="5">
        <v>0</v>
      </c>
    </row>
    <row r="3021" spans="1:8" x14ac:dyDescent="0.35">
      <c r="A3021" s="2" t="s">
        <v>1042</v>
      </c>
      <c r="B3021" s="2" t="s">
        <v>291</v>
      </c>
      <c r="C3021" s="2" t="s">
        <v>1174</v>
      </c>
      <c r="D3021" s="2" t="s">
        <v>1175</v>
      </c>
      <c r="E3021" s="2" t="s">
        <v>1176</v>
      </c>
      <c r="F3021" s="3">
        <v>325</v>
      </c>
      <c r="G3021" s="4">
        <v>12</v>
      </c>
      <c r="H3021" s="5">
        <v>0</v>
      </c>
    </row>
    <row r="3022" spans="1:8" x14ac:dyDescent="0.35">
      <c r="A3022" s="2" t="s">
        <v>1042</v>
      </c>
      <c r="B3022" s="2" t="s">
        <v>291</v>
      </c>
      <c r="C3022" s="2" t="s">
        <v>837</v>
      </c>
      <c r="D3022" s="2" t="s">
        <v>838</v>
      </c>
      <c r="E3022" s="2" t="s">
        <v>452</v>
      </c>
      <c r="F3022" s="3">
        <v>50</v>
      </c>
      <c r="G3022" s="4">
        <v>1</v>
      </c>
      <c r="H3022" s="5">
        <v>0</v>
      </c>
    </row>
    <row r="3023" spans="1:8" x14ac:dyDescent="0.35">
      <c r="A3023" s="2" t="s">
        <v>1042</v>
      </c>
      <c r="B3023" s="2" t="s">
        <v>291</v>
      </c>
      <c r="C3023" s="2" t="s">
        <v>1177</v>
      </c>
      <c r="D3023" s="2" t="s">
        <v>1065</v>
      </c>
      <c r="E3023" s="2" t="s">
        <v>443</v>
      </c>
      <c r="F3023" s="3">
        <v>530</v>
      </c>
      <c r="G3023" s="4">
        <v>12</v>
      </c>
      <c r="H3023" s="5">
        <v>0</v>
      </c>
    </row>
    <row r="3024" spans="1:8" x14ac:dyDescent="0.35">
      <c r="A3024" s="2" t="s">
        <v>1042</v>
      </c>
      <c r="B3024" s="2" t="s">
        <v>291</v>
      </c>
      <c r="C3024" s="2" t="s">
        <v>1178</v>
      </c>
      <c r="D3024" s="2" t="s">
        <v>1179</v>
      </c>
      <c r="E3024" s="2" t="s">
        <v>102</v>
      </c>
      <c r="F3024" s="3">
        <v>70</v>
      </c>
      <c r="G3024" s="4">
        <v>1</v>
      </c>
      <c r="H3024" s="5">
        <v>0</v>
      </c>
    </row>
    <row r="3025" spans="1:8" x14ac:dyDescent="0.35">
      <c r="A3025" s="2" t="s">
        <v>1042</v>
      </c>
      <c r="B3025" s="2" t="s">
        <v>291</v>
      </c>
      <c r="C3025" s="2" t="s">
        <v>1180</v>
      </c>
      <c r="D3025" s="2" t="s">
        <v>1181</v>
      </c>
      <c r="E3025" s="2" t="s">
        <v>300</v>
      </c>
      <c r="F3025" s="3">
        <v>30</v>
      </c>
      <c r="G3025" s="4">
        <v>12</v>
      </c>
      <c r="H3025" s="5">
        <v>0</v>
      </c>
    </row>
    <row r="3026" spans="1:8" x14ac:dyDescent="0.35">
      <c r="A3026" s="2" t="s">
        <v>1042</v>
      </c>
      <c r="B3026" s="2" t="s">
        <v>291</v>
      </c>
      <c r="C3026" s="2" t="s">
        <v>1182</v>
      </c>
      <c r="D3026" s="2" t="s">
        <v>1183</v>
      </c>
      <c r="E3026" s="2" t="s">
        <v>564</v>
      </c>
      <c r="F3026" s="3">
        <v>35.28</v>
      </c>
      <c r="G3026" s="4">
        <v>12</v>
      </c>
      <c r="H3026" s="5">
        <v>0</v>
      </c>
    </row>
    <row r="3027" spans="1:8" x14ac:dyDescent="0.35">
      <c r="A3027" s="2" t="s">
        <v>1042</v>
      </c>
      <c r="B3027" s="2" t="s">
        <v>509</v>
      </c>
      <c r="C3027" s="2" t="s">
        <v>1080</v>
      </c>
      <c r="D3027" s="2" t="s">
        <v>1081</v>
      </c>
      <c r="E3027" s="2" t="s">
        <v>1082</v>
      </c>
      <c r="F3027" s="3">
        <v>900</v>
      </c>
      <c r="G3027" s="4">
        <v>36</v>
      </c>
      <c r="H3027" s="5">
        <v>0.01</v>
      </c>
    </row>
    <row r="3028" spans="1:8" x14ac:dyDescent="0.35">
      <c r="A3028" s="2" t="s">
        <v>1042</v>
      </c>
      <c r="B3028" s="2" t="s">
        <v>509</v>
      </c>
      <c r="C3028" s="2" t="s">
        <v>1083</v>
      </c>
      <c r="D3028" s="2" t="s">
        <v>1084</v>
      </c>
      <c r="E3028" s="2" t="s">
        <v>1085</v>
      </c>
      <c r="F3028" s="3">
        <v>1102.4000000000001</v>
      </c>
      <c r="G3028" s="4">
        <v>36</v>
      </c>
      <c r="H3028" s="5">
        <v>0.01</v>
      </c>
    </row>
    <row r="3029" spans="1:8" x14ac:dyDescent="0.35">
      <c r="A3029" s="2" t="s">
        <v>1042</v>
      </c>
      <c r="B3029" s="2" t="s">
        <v>509</v>
      </c>
      <c r="C3029" s="2" t="s">
        <v>1086</v>
      </c>
      <c r="D3029" s="2" t="s">
        <v>1087</v>
      </c>
      <c r="E3029" s="2" t="s">
        <v>35</v>
      </c>
      <c r="F3029" s="3">
        <v>1856</v>
      </c>
      <c r="G3029" s="4">
        <v>36</v>
      </c>
      <c r="H3029" s="5">
        <v>0.01</v>
      </c>
    </row>
    <row r="3030" spans="1:8" x14ac:dyDescent="0.35">
      <c r="A3030" s="2" t="s">
        <v>1042</v>
      </c>
      <c r="B3030" s="2" t="s">
        <v>509</v>
      </c>
      <c r="C3030" s="2" t="s">
        <v>1088</v>
      </c>
      <c r="D3030" s="2" t="s">
        <v>1089</v>
      </c>
      <c r="E3030" s="2" t="s">
        <v>46</v>
      </c>
      <c r="F3030" s="3">
        <v>3241.74</v>
      </c>
      <c r="G3030" s="4">
        <v>36</v>
      </c>
      <c r="H3030" s="5">
        <v>0.01</v>
      </c>
    </row>
    <row r="3031" spans="1:8" x14ac:dyDescent="0.35">
      <c r="A3031" s="2" t="s">
        <v>1042</v>
      </c>
      <c r="B3031" s="2" t="s">
        <v>509</v>
      </c>
      <c r="C3031" s="2" t="s">
        <v>1090</v>
      </c>
      <c r="D3031" s="2" t="s">
        <v>1091</v>
      </c>
      <c r="E3031" s="2" t="s">
        <v>1092</v>
      </c>
      <c r="F3031" s="3">
        <v>242.26</v>
      </c>
      <c r="G3031" s="4">
        <v>36</v>
      </c>
      <c r="H3031" s="5">
        <v>0.01</v>
      </c>
    </row>
    <row r="3032" spans="1:8" x14ac:dyDescent="0.35">
      <c r="A3032" s="2" t="s">
        <v>1042</v>
      </c>
      <c r="B3032" s="2" t="s">
        <v>509</v>
      </c>
      <c r="C3032" s="2" t="s">
        <v>581</v>
      </c>
      <c r="D3032" s="2" t="s">
        <v>355</v>
      </c>
      <c r="E3032" s="2" t="s">
        <v>356</v>
      </c>
      <c r="F3032" s="3">
        <v>16.22</v>
      </c>
      <c r="G3032" s="4">
        <v>1</v>
      </c>
      <c r="H3032" s="5">
        <v>0</v>
      </c>
    </row>
    <row r="3033" spans="1:8" x14ac:dyDescent="0.35">
      <c r="A3033" s="2" t="s">
        <v>1042</v>
      </c>
      <c r="B3033" s="2" t="s">
        <v>509</v>
      </c>
      <c r="C3033" s="2" t="s">
        <v>582</v>
      </c>
      <c r="D3033" s="2" t="s">
        <v>360</v>
      </c>
      <c r="E3033" s="2" t="s">
        <v>361</v>
      </c>
      <c r="F3033" s="3">
        <v>16.22</v>
      </c>
      <c r="G3033" s="4">
        <v>1</v>
      </c>
      <c r="H3033" s="5">
        <v>0</v>
      </c>
    </row>
    <row r="3034" spans="1:8" x14ac:dyDescent="0.35">
      <c r="A3034" s="2" t="s">
        <v>1042</v>
      </c>
      <c r="B3034" s="2" t="s">
        <v>509</v>
      </c>
      <c r="C3034" s="2" t="s">
        <v>1093</v>
      </c>
      <c r="D3034" s="2" t="s">
        <v>1094</v>
      </c>
      <c r="E3034" s="2" t="s">
        <v>92</v>
      </c>
      <c r="F3034" s="3">
        <v>1261.74</v>
      </c>
      <c r="G3034" s="4">
        <v>36</v>
      </c>
      <c r="H3034" s="5">
        <v>0.01</v>
      </c>
    </row>
    <row r="3035" spans="1:8" x14ac:dyDescent="0.35">
      <c r="A3035" s="2" t="s">
        <v>1042</v>
      </c>
      <c r="B3035" s="2" t="s">
        <v>509</v>
      </c>
      <c r="C3035" s="2" t="s">
        <v>1095</v>
      </c>
      <c r="D3035" s="2" t="s">
        <v>1096</v>
      </c>
      <c r="E3035" s="2" t="s">
        <v>368</v>
      </c>
      <c r="F3035" s="3">
        <v>1295.6600000000001</v>
      </c>
      <c r="G3035" s="4">
        <v>36</v>
      </c>
      <c r="H3035" s="5">
        <v>0.01</v>
      </c>
    </row>
    <row r="3036" spans="1:8" x14ac:dyDescent="0.35">
      <c r="A3036" s="2" t="s">
        <v>1042</v>
      </c>
      <c r="B3036" s="2" t="s">
        <v>509</v>
      </c>
      <c r="C3036" s="2" t="s">
        <v>1097</v>
      </c>
      <c r="D3036" s="2" t="s">
        <v>1098</v>
      </c>
      <c r="E3036" s="2" t="s">
        <v>1099</v>
      </c>
      <c r="F3036" s="3">
        <v>2200</v>
      </c>
      <c r="G3036" s="4">
        <v>24</v>
      </c>
      <c r="H3036" s="5">
        <v>0.01</v>
      </c>
    </row>
    <row r="3037" spans="1:8" x14ac:dyDescent="0.35">
      <c r="A3037" s="2" t="s">
        <v>1042</v>
      </c>
      <c r="B3037" s="2" t="s">
        <v>509</v>
      </c>
      <c r="C3037" s="2" t="s">
        <v>1100</v>
      </c>
      <c r="D3037" s="2" t="s">
        <v>1101</v>
      </c>
      <c r="E3037" s="2" t="s">
        <v>71</v>
      </c>
      <c r="F3037" s="3">
        <v>415</v>
      </c>
      <c r="G3037" s="4">
        <v>24</v>
      </c>
      <c r="H3037" s="5">
        <v>0.01</v>
      </c>
    </row>
    <row r="3038" spans="1:8" x14ac:dyDescent="0.35">
      <c r="A3038" s="2" t="s">
        <v>1042</v>
      </c>
      <c r="B3038" s="2" t="s">
        <v>509</v>
      </c>
      <c r="C3038" s="2" t="s">
        <v>1102</v>
      </c>
      <c r="D3038" s="2" t="s">
        <v>1103</v>
      </c>
      <c r="E3038" s="2" t="s">
        <v>92</v>
      </c>
      <c r="F3038" s="3">
        <v>585.48</v>
      </c>
      <c r="G3038" s="4">
        <v>36</v>
      </c>
      <c r="H3038" s="5">
        <v>0.01</v>
      </c>
    </row>
    <row r="3039" spans="1:8" x14ac:dyDescent="0.35">
      <c r="A3039" s="2" t="s">
        <v>1042</v>
      </c>
      <c r="B3039" s="2" t="s">
        <v>509</v>
      </c>
      <c r="C3039" s="2" t="s">
        <v>1104</v>
      </c>
      <c r="D3039" s="2" t="s">
        <v>1105</v>
      </c>
      <c r="E3039" s="2" t="s">
        <v>1106</v>
      </c>
      <c r="F3039" s="3">
        <v>2000</v>
      </c>
      <c r="G3039" s="4">
        <v>24</v>
      </c>
      <c r="H3039" s="5">
        <v>0.01</v>
      </c>
    </row>
    <row r="3040" spans="1:8" x14ac:dyDescent="0.35">
      <c r="A3040" s="2" t="s">
        <v>1042</v>
      </c>
      <c r="B3040" s="2" t="s">
        <v>509</v>
      </c>
      <c r="C3040" s="2" t="s">
        <v>1107</v>
      </c>
      <c r="D3040" s="2" t="s">
        <v>1108</v>
      </c>
      <c r="E3040" s="2" t="s">
        <v>1109</v>
      </c>
      <c r="F3040" s="3">
        <v>2800</v>
      </c>
      <c r="G3040" s="4">
        <v>24</v>
      </c>
      <c r="H3040" s="5">
        <v>0.01</v>
      </c>
    </row>
    <row r="3041" spans="1:8" x14ac:dyDescent="0.35">
      <c r="A3041" s="2" t="s">
        <v>1042</v>
      </c>
      <c r="B3041" s="2" t="s">
        <v>509</v>
      </c>
      <c r="C3041" s="2" t="s">
        <v>1110</v>
      </c>
      <c r="D3041" s="2" t="s">
        <v>1111</v>
      </c>
      <c r="E3041" s="2" t="s">
        <v>1112</v>
      </c>
      <c r="F3041" s="3">
        <v>2500</v>
      </c>
      <c r="G3041" s="4">
        <v>36</v>
      </c>
      <c r="H3041" s="5">
        <v>0.01</v>
      </c>
    </row>
    <row r="3042" spans="1:8" ht="26" x14ac:dyDescent="0.35">
      <c r="A3042" s="2" t="s">
        <v>1042</v>
      </c>
      <c r="B3042" s="2" t="s">
        <v>509</v>
      </c>
      <c r="C3042" s="2" t="s">
        <v>1113</v>
      </c>
      <c r="D3042" s="2" t="s">
        <v>1114</v>
      </c>
      <c r="E3042" s="2" t="s">
        <v>1115</v>
      </c>
      <c r="F3042" s="3">
        <v>16.22</v>
      </c>
      <c r="G3042" s="4">
        <v>1</v>
      </c>
      <c r="H3042" s="5">
        <v>0</v>
      </c>
    </row>
    <row r="3043" spans="1:8" x14ac:dyDescent="0.35">
      <c r="A3043" s="2" t="s">
        <v>1042</v>
      </c>
      <c r="B3043" s="2" t="s">
        <v>509</v>
      </c>
      <c r="C3043" s="2" t="s">
        <v>1116</v>
      </c>
      <c r="D3043" s="2" t="s">
        <v>1117</v>
      </c>
      <c r="E3043" s="2" t="s">
        <v>82</v>
      </c>
      <c r="F3043" s="3">
        <v>2200</v>
      </c>
      <c r="G3043" s="4">
        <v>24</v>
      </c>
      <c r="H3043" s="5">
        <v>0.01</v>
      </c>
    </row>
    <row r="3044" spans="1:8" x14ac:dyDescent="0.35">
      <c r="A3044" s="2" t="s">
        <v>1042</v>
      </c>
      <c r="B3044" s="2" t="s">
        <v>509</v>
      </c>
      <c r="C3044" s="2" t="s">
        <v>1118</v>
      </c>
      <c r="D3044" s="2" t="s">
        <v>1119</v>
      </c>
      <c r="E3044" s="2" t="s">
        <v>1120</v>
      </c>
      <c r="F3044" s="3">
        <v>0.01</v>
      </c>
      <c r="G3044" s="4">
        <v>1</v>
      </c>
      <c r="H3044" s="5">
        <v>0</v>
      </c>
    </row>
    <row r="3045" spans="1:8" x14ac:dyDescent="0.35">
      <c r="A3045" s="2" t="s">
        <v>1042</v>
      </c>
      <c r="B3045" s="2" t="s">
        <v>509</v>
      </c>
      <c r="C3045" s="2" t="s">
        <v>1121</v>
      </c>
      <c r="D3045" s="2" t="s">
        <v>1122</v>
      </c>
      <c r="E3045" s="2" t="s">
        <v>1123</v>
      </c>
      <c r="F3045" s="3">
        <v>520</v>
      </c>
      <c r="G3045" s="4">
        <v>12</v>
      </c>
      <c r="H3045" s="5">
        <v>0.01</v>
      </c>
    </row>
    <row r="3046" spans="1:8" x14ac:dyDescent="0.35">
      <c r="A3046" s="2" t="s">
        <v>1042</v>
      </c>
      <c r="B3046" s="2" t="s">
        <v>509</v>
      </c>
      <c r="C3046" s="2" t="s">
        <v>1124</v>
      </c>
      <c r="D3046" s="2" t="s">
        <v>1125</v>
      </c>
      <c r="E3046" s="2" t="s">
        <v>1126</v>
      </c>
      <c r="F3046" s="3">
        <v>0.01</v>
      </c>
      <c r="G3046" s="4">
        <v>1</v>
      </c>
      <c r="H3046" s="5">
        <v>0</v>
      </c>
    </row>
    <row r="3047" spans="1:8" ht="14.5" customHeight="1" x14ac:dyDescent="0.35">
      <c r="A3047" s="2" t="s">
        <v>1042</v>
      </c>
      <c r="B3047" s="2" t="s">
        <v>509</v>
      </c>
      <c r="C3047" s="2" t="s">
        <v>1127</v>
      </c>
      <c r="D3047" s="2" t="s">
        <v>1128</v>
      </c>
      <c r="E3047" s="2" t="s">
        <v>1129</v>
      </c>
      <c r="F3047" s="3">
        <v>0.01</v>
      </c>
      <c r="G3047" s="4">
        <v>1</v>
      </c>
      <c r="H3047" s="5">
        <v>0</v>
      </c>
    </row>
    <row r="3048" spans="1:8" ht="14.5" customHeight="1" x14ac:dyDescent="0.35">
      <c r="A3048" s="2" t="s">
        <v>1042</v>
      </c>
      <c r="B3048" s="2" t="s">
        <v>509</v>
      </c>
      <c r="C3048" s="2" t="s">
        <v>1130</v>
      </c>
      <c r="D3048" s="2" t="s">
        <v>1131</v>
      </c>
      <c r="E3048" s="2" t="s">
        <v>1132</v>
      </c>
      <c r="F3048" s="3">
        <v>0.01</v>
      </c>
      <c r="G3048" s="4">
        <v>1</v>
      </c>
      <c r="H3048" s="5">
        <v>0</v>
      </c>
    </row>
    <row r="3049" spans="1:8" x14ac:dyDescent="0.35">
      <c r="A3049" s="2" t="s">
        <v>1042</v>
      </c>
      <c r="B3049" s="2" t="s">
        <v>509</v>
      </c>
      <c r="C3049" s="2" t="s">
        <v>1133</v>
      </c>
      <c r="D3049" s="2" t="s">
        <v>1134</v>
      </c>
      <c r="E3049" s="2" t="s">
        <v>147</v>
      </c>
      <c r="F3049" s="3">
        <v>1620.87</v>
      </c>
      <c r="G3049" s="4">
        <v>18</v>
      </c>
      <c r="H3049" s="5">
        <v>0.01</v>
      </c>
    </row>
    <row r="3050" spans="1:8" x14ac:dyDescent="0.35">
      <c r="A3050" s="2" t="s">
        <v>1042</v>
      </c>
      <c r="B3050" s="2" t="s">
        <v>509</v>
      </c>
      <c r="C3050" s="2" t="s">
        <v>1135</v>
      </c>
      <c r="D3050" s="2" t="s">
        <v>1136</v>
      </c>
      <c r="E3050" s="2" t="s">
        <v>158</v>
      </c>
      <c r="F3050" s="3">
        <v>2653.45</v>
      </c>
      <c r="G3050" s="4">
        <v>18</v>
      </c>
      <c r="H3050" s="5">
        <v>0.01</v>
      </c>
    </row>
    <row r="3051" spans="1:8" x14ac:dyDescent="0.35">
      <c r="A3051" s="2" t="s">
        <v>1042</v>
      </c>
      <c r="B3051" s="2" t="s">
        <v>509</v>
      </c>
      <c r="C3051" s="2" t="s">
        <v>1137</v>
      </c>
      <c r="D3051" s="2" t="s">
        <v>1138</v>
      </c>
      <c r="E3051" s="2" t="s">
        <v>59</v>
      </c>
      <c r="F3051" s="3">
        <v>242.26</v>
      </c>
      <c r="G3051" s="4">
        <v>36</v>
      </c>
      <c r="H3051" s="5">
        <v>0.01</v>
      </c>
    </row>
    <row r="3052" spans="1:8" x14ac:dyDescent="0.35">
      <c r="A3052" s="2" t="s">
        <v>1042</v>
      </c>
      <c r="B3052" s="2" t="s">
        <v>509</v>
      </c>
      <c r="C3052" s="2" t="s">
        <v>1139</v>
      </c>
      <c r="D3052" s="2" t="s">
        <v>1140</v>
      </c>
      <c r="E3052" s="2" t="s">
        <v>226</v>
      </c>
      <c r="F3052" s="3">
        <v>503.4</v>
      </c>
      <c r="G3052" s="4">
        <v>1</v>
      </c>
      <c r="H3052" s="5">
        <v>0</v>
      </c>
    </row>
    <row r="3053" spans="1:8" x14ac:dyDescent="0.35">
      <c r="A3053" s="2" t="s">
        <v>1042</v>
      </c>
      <c r="B3053" s="2" t="s">
        <v>509</v>
      </c>
      <c r="C3053" s="2" t="s">
        <v>1141</v>
      </c>
      <c r="D3053" s="2" t="s">
        <v>1142</v>
      </c>
      <c r="E3053" s="2" t="s">
        <v>347</v>
      </c>
      <c r="F3053" s="3">
        <v>230</v>
      </c>
      <c r="G3053" s="4">
        <v>1</v>
      </c>
      <c r="H3053" s="5">
        <v>0</v>
      </c>
    </row>
    <row r="3054" spans="1:8" x14ac:dyDescent="0.35">
      <c r="A3054" s="2" t="s">
        <v>1042</v>
      </c>
      <c r="B3054" s="2" t="s">
        <v>509</v>
      </c>
      <c r="C3054" s="2" t="s">
        <v>1143</v>
      </c>
      <c r="D3054" s="2" t="s">
        <v>1144</v>
      </c>
      <c r="E3054" s="2" t="s">
        <v>248</v>
      </c>
      <c r="F3054" s="3">
        <v>490</v>
      </c>
      <c r="G3054" s="4">
        <v>36</v>
      </c>
      <c r="H3054" s="5">
        <v>0.01</v>
      </c>
    </row>
    <row r="3055" spans="1:8" x14ac:dyDescent="0.35">
      <c r="A3055" s="2" t="s">
        <v>1042</v>
      </c>
      <c r="B3055" s="2" t="s">
        <v>509</v>
      </c>
      <c r="C3055" s="2" t="s">
        <v>1145</v>
      </c>
      <c r="D3055" s="2" t="s">
        <v>1146</v>
      </c>
      <c r="E3055" s="2" t="s">
        <v>258</v>
      </c>
      <c r="F3055" s="3">
        <v>5764.56</v>
      </c>
      <c r="G3055" s="4">
        <v>1</v>
      </c>
      <c r="H3055" s="5">
        <v>0</v>
      </c>
    </row>
    <row r="3056" spans="1:8" x14ac:dyDescent="0.35">
      <c r="A3056" s="2" t="s">
        <v>1042</v>
      </c>
      <c r="B3056" s="2" t="s">
        <v>509</v>
      </c>
      <c r="C3056" s="2" t="s">
        <v>1147</v>
      </c>
      <c r="D3056" s="2" t="s">
        <v>1148</v>
      </c>
      <c r="E3056" s="2" t="s">
        <v>260</v>
      </c>
      <c r="F3056" s="3">
        <v>821.45</v>
      </c>
      <c r="G3056" s="4">
        <v>1</v>
      </c>
      <c r="H3056" s="5">
        <v>0</v>
      </c>
    </row>
    <row r="3057" spans="1:8" x14ac:dyDescent="0.35">
      <c r="A3057" s="2" t="s">
        <v>1042</v>
      </c>
      <c r="B3057" s="2" t="s">
        <v>509</v>
      </c>
      <c r="C3057" s="2" t="s">
        <v>1149</v>
      </c>
      <c r="D3057" s="2" t="s">
        <v>1150</v>
      </c>
      <c r="E3057" s="2" t="s">
        <v>271</v>
      </c>
      <c r="F3057" s="3">
        <v>3182.71</v>
      </c>
      <c r="G3057" s="4">
        <v>1</v>
      </c>
      <c r="H3057" s="5">
        <v>0</v>
      </c>
    </row>
    <row r="3058" spans="1:8" x14ac:dyDescent="0.35">
      <c r="A3058" s="2" t="s">
        <v>1042</v>
      </c>
      <c r="B3058" s="2" t="s">
        <v>509</v>
      </c>
      <c r="C3058" s="2" t="s">
        <v>1151</v>
      </c>
      <c r="D3058" s="2" t="s">
        <v>1152</v>
      </c>
      <c r="E3058" s="2" t="s">
        <v>260</v>
      </c>
      <c r="F3058" s="3">
        <v>881.95</v>
      </c>
      <c r="G3058" s="4">
        <v>1</v>
      </c>
      <c r="H3058" s="5">
        <v>0</v>
      </c>
    </row>
    <row r="3059" spans="1:8" x14ac:dyDescent="0.35">
      <c r="A3059" s="2" t="s">
        <v>1042</v>
      </c>
      <c r="B3059" s="2" t="s">
        <v>509</v>
      </c>
      <c r="C3059" s="2" t="s">
        <v>1153</v>
      </c>
      <c r="D3059" s="2" t="s">
        <v>1154</v>
      </c>
      <c r="E3059" s="2" t="s">
        <v>260</v>
      </c>
      <c r="F3059" s="3">
        <v>1510</v>
      </c>
      <c r="G3059" s="4">
        <v>1</v>
      </c>
      <c r="H3059" s="5">
        <v>0</v>
      </c>
    </row>
    <row r="3060" spans="1:8" x14ac:dyDescent="0.35">
      <c r="A3060" s="2" t="s">
        <v>1042</v>
      </c>
      <c r="B3060" s="2" t="s">
        <v>509</v>
      </c>
      <c r="C3060" s="2" t="s">
        <v>1155</v>
      </c>
      <c r="D3060" s="2" t="s">
        <v>1156</v>
      </c>
      <c r="E3060" s="2" t="s">
        <v>470</v>
      </c>
      <c r="F3060" s="3">
        <v>200</v>
      </c>
      <c r="G3060" s="4">
        <v>12</v>
      </c>
      <c r="H3060" s="5">
        <v>0.01</v>
      </c>
    </row>
    <row r="3061" spans="1:8" x14ac:dyDescent="0.35">
      <c r="A3061" s="2" t="s">
        <v>1042</v>
      </c>
      <c r="B3061" s="2" t="s">
        <v>509</v>
      </c>
      <c r="C3061" s="2" t="s">
        <v>1157</v>
      </c>
      <c r="D3061" s="2" t="s">
        <v>1158</v>
      </c>
      <c r="E3061" s="2" t="s">
        <v>489</v>
      </c>
      <c r="F3061" s="3">
        <v>2451</v>
      </c>
      <c r="G3061" s="4">
        <v>12</v>
      </c>
      <c r="H3061" s="5">
        <v>0.01</v>
      </c>
    </row>
    <row r="3062" spans="1:8" x14ac:dyDescent="0.35">
      <c r="A3062" s="2" t="s">
        <v>1042</v>
      </c>
      <c r="B3062" s="2" t="s">
        <v>509</v>
      </c>
      <c r="C3062" s="2" t="s">
        <v>1159</v>
      </c>
      <c r="D3062" s="2" t="s">
        <v>1160</v>
      </c>
      <c r="E3062" s="2" t="s">
        <v>1161</v>
      </c>
      <c r="F3062" s="3">
        <v>16.22</v>
      </c>
      <c r="G3062" s="4">
        <v>1</v>
      </c>
      <c r="H3062" s="5">
        <v>0</v>
      </c>
    </row>
    <row r="3063" spans="1:8" x14ac:dyDescent="0.35">
      <c r="A3063" s="2" t="s">
        <v>1042</v>
      </c>
      <c r="B3063" s="2" t="s">
        <v>509</v>
      </c>
      <c r="C3063" s="2" t="s">
        <v>1162</v>
      </c>
      <c r="D3063" s="2" t="s">
        <v>1163</v>
      </c>
      <c r="E3063" s="2" t="s">
        <v>115</v>
      </c>
      <c r="F3063" s="3">
        <v>46.54</v>
      </c>
      <c r="G3063" s="4">
        <v>7</v>
      </c>
      <c r="H3063" s="5">
        <v>0.01</v>
      </c>
    </row>
    <row r="3064" spans="1:8" x14ac:dyDescent="0.35">
      <c r="A3064" s="2" t="s">
        <v>1042</v>
      </c>
      <c r="B3064" s="2" t="s">
        <v>509</v>
      </c>
      <c r="C3064" s="2" t="s">
        <v>1164</v>
      </c>
      <c r="D3064" s="2" t="s">
        <v>1165</v>
      </c>
      <c r="E3064" s="2" t="s">
        <v>836</v>
      </c>
      <c r="F3064" s="3">
        <v>58.6</v>
      </c>
      <c r="G3064" s="4">
        <v>7</v>
      </c>
      <c r="H3064" s="5">
        <v>0.01</v>
      </c>
    </row>
    <row r="3065" spans="1:8" x14ac:dyDescent="0.35">
      <c r="A3065" s="2" t="s">
        <v>1042</v>
      </c>
      <c r="B3065" s="2" t="s">
        <v>509</v>
      </c>
      <c r="C3065" s="2" t="s">
        <v>1166</v>
      </c>
      <c r="D3065" s="2" t="s">
        <v>1167</v>
      </c>
      <c r="E3065" s="2" t="s">
        <v>315</v>
      </c>
      <c r="F3065" s="3">
        <v>64.69</v>
      </c>
      <c r="G3065" s="4">
        <v>7</v>
      </c>
      <c r="H3065" s="5">
        <v>0.01</v>
      </c>
    </row>
    <row r="3066" spans="1:8" x14ac:dyDescent="0.35">
      <c r="A3066" s="2" t="s">
        <v>1042</v>
      </c>
      <c r="B3066" s="2" t="s">
        <v>509</v>
      </c>
      <c r="C3066" s="2" t="s">
        <v>1168</v>
      </c>
      <c r="D3066" s="2" t="s">
        <v>1169</v>
      </c>
      <c r="E3066" s="2" t="s">
        <v>344</v>
      </c>
      <c r="F3066" s="3">
        <v>143.74</v>
      </c>
      <c r="G3066" s="4">
        <v>1</v>
      </c>
      <c r="H3066" s="5">
        <v>0</v>
      </c>
    </row>
    <row r="3067" spans="1:8" x14ac:dyDescent="0.35">
      <c r="A3067" s="2" t="s">
        <v>1042</v>
      </c>
      <c r="B3067" s="2" t="s">
        <v>509</v>
      </c>
      <c r="C3067" s="2" t="s">
        <v>1170</v>
      </c>
      <c r="D3067" s="2" t="s">
        <v>1171</v>
      </c>
      <c r="E3067" s="2" t="s">
        <v>398</v>
      </c>
      <c r="F3067" s="3">
        <v>34.07</v>
      </c>
      <c r="G3067" s="4">
        <v>10</v>
      </c>
      <c r="H3067" s="5">
        <v>0.01</v>
      </c>
    </row>
    <row r="3068" spans="1:8" x14ac:dyDescent="0.35">
      <c r="A3068" s="2" t="s">
        <v>1042</v>
      </c>
      <c r="B3068" s="2" t="s">
        <v>509</v>
      </c>
      <c r="C3068" s="2" t="s">
        <v>1172</v>
      </c>
      <c r="D3068" s="2" t="s">
        <v>1173</v>
      </c>
      <c r="E3068" s="2" t="s">
        <v>322</v>
      </c>
      <c r="F3068" s="3">
        <v>44.07</v>
      </c>
      <c r="G3068" s="4">
        <v>10</v>
      </c>
      <c r="H3068" s="5">
        <v>0.01</v>
      </c>
    </row>
    <row r="3069" spans="1:8" x14ac:dyDescent="0.35">
      <c r="A3069" s="2" t="s">
        <v>1042</v>
      </c>
      <c r="B3069" s="2" t="s">
        <v>509</v>
      </c>
      <c r="C3069" s="2" t="s">
        <v>1174</v>
      </c>
      <c r="D3069" s="2" t="s">
        <v>1175</v>
      </c>
      <c r="E3069" s="2" t="s">
        <v>1176</v>
      </c>
      <c r="F3069" s="3">
        <v>16.22</v>
      </c>
      <c r="G3069" s="4">
        <v>1</v>
      </c>
      <c r="H3069" s="5">
        <v>0</v>
      </c>
    </row>
    <row r="3070" spans="1:8" x14ac:dyDescent="0.35">
      <c r="A3070" s="2" t="s">
        <v>1042</v>
      </c>
      <c r="B3070" s="2" t="s">
        <v>509</v>
      </c>
      <c r="C3070" s="2" t="s">
        <v>837</v>
      </c>
      <c r="D3070" s="2" t="s">
        <v>838</v>
      </c>
      <c r="E3070" s="2" t="s">
        <v>452</v>
      </c>
      <c r="F3070" s="3">
        <v>56.17</v>
      </c>
      <c r="G3070" s="4">
        <v>1</v>
      </c>
      <c r="H3070" s="5">
        <v>0</v>
      </c>
    </row>
    <row r="3071" spans="1:8" x14ac:dyDescent="0.35">
      <c r="A3071" s="2" t="s">
        <v>1042</v>
      </c>
      <c r="B3071" s="2" t="s">
        <v>509</v>
      </c>
      <c r="C3071" s="2" t="s">
        <v>1177</v>
      </c>
      <c r="D3071" s="2" t="s">
        <v>1065</v>
      </c>
      <c r="E3071" s="2" t="s">
        <v>443</v>
      </c>
      <c r="F3071" s="3">
        <v>34</v>
      </c>
      <c r="G3071" s="4">
        <v>1</v>
      </c>
      <c r="H3071" s="5">
        <v>0</v>
      </c>
    </row>
    <row r="3072" spans="1:8" x14ac:dyDescent="0.35">
      <c r="A3072" s="2" t="s">
        <v>1042</v>
      </c>
      <c r="B3072" s="2" t="s">
        <v>509</v>
      </c>
      <c r="C3072" s="2" t="s">
        <v>1178</v>
      </c>
      <c r="D3072" s="2" t="s">
        <v>1179</v>
      </c>
      <c r="E3072" s="2" t="s">
        <v>102</v>
      </c>
      <c r="F3072" s="3">
        <v>208</v>
      </c>
      <c r="G3072" s="4">
        <v>1</v>
      </c>
      <c r="H3072" s="5">
        <v>0</v>
      </c>
    </row>
    <row r="3073" spans="1:8" x14ac:dyDescent="0.35">
      <c r="A3073" s="2" t="s">
        <v>1042</v>
      </c>
      <c r="B3073" s="2" t="s">
        <v>509</v>
      </c>
      <c r="C3073" s="2" t="s">
        <v>1180</v>
      </c>
      <c r="D3073" s="2" t="s">
        <v>1181</v>
      </c>
      <c r="E3073" s="2" t="s">
        <v>300</v>
      </c>
      <c r="F3073" s="3">
        <v>21.75</v>
      </c>
      <c r="G3073" s="4">
        <v>10</v>
      </c>
      <c r="H3073" s="5">
        <v>0.01</v>
      </c>
    </row>
    <row r="3074" spans="1:8" x14ac:dyDescent="0.35">
      <c r="A3074" s="2" t="s">
        <v>1042</v>
      </c>
      <c r="B3074" s="2" t="s">
        <v>509</v>
      </c>
      <c r="C3074" s="2" t="s">
        <v>1182</v>
      </c>
      <c r="D3074" s="2" t="s">
        <v>1183</v>
      </c>
      <c r="E3074" s="2" t="s">
        <v>564</v>
      </c>
      <c r="F3074" s="3">
        <v>35.28</v>
      </c>
      <c r="G3074" s="4">
        <v>10</v>
      </c>
      <c r="H3074" s="5">
        <v>0.01</v>
      </c>
    </row>
    <row r="3075" spans="1:8" x14ac:dyDescent="0.35">
      <c r="A3075" s="2" t="s">
        <v>1042</v>
      </c>
      <c r="B3075" s="2" t="s">
        <v>574</v>
      </c>
      <c r="C3075" s="2" t="s">
        <v>1080</v>
      </c>
      <c r="D3075" s="2" t="s">
        <v>1081</v>
      </c>
      <c r="E3075" s="2" t="s">
        <v>1082</v>
      </c>
      <c r="F3075" s="3">
        <v>804.21</v>
      </c>
      <c r="G3075" s="4">
        <v>36</v>
      </c>
      <c r="H3075" s="5">
        <v>0</v>
      </c>
    </row>
    <row r="3076" spans="1:8" x14ac:dyDescent="0.35">
      <c r="A3076" s="2" t="s">
        <v>1042</v>
      </c>
      <c r="B3076" s="2" t="s">
        <v>574</v>
      </c>
      <c r="C3076" s="2" t="s">
        <v>1083</v>
      </c>
      <c r="D3076" s="2" t="s">
        <v>1084</v>
      </c>
      <c r="E3076" s="2" t="s">
        <v>1085</v>
      </c>
      <c r="F3076" s="3">
        <v>600</v>
      </c>
      <c r="G3076" s="4">
        <v>60</v>
      </c>
      <c r="H3076" s="5">
        <v>0</v>
      </c>
    </row>
    <row r="3077" spans="1:8" x14ac:dyDescent="0.35">
      <c r="A3077" s="2" t="s">
        <v>1042</v>
      </c>
      <c r="B3077" s="2" t="s">
        <v>574</v>
      </c>
      <c r="C3077" s="2" t="s">
        <v>1086</v>
      </c>
      <c r="D3077" s="2" t="s">
        <v>1087</v>
      </c>
      <c r="E3077" s="2" t="s">
        <v>35</v>
      </c>
      <c r="F3077" s="3">
        <v>690</v>
      </c>
      <c r="G3077" s="4">
        <v>60</v>
      </c>
      <c r="H3077" s="5">
        <v>0</v>
      </c>
    </row>
    <row r="3078" spans="1:8" x14ac:dyDescent="0.35">
      <c r="A3078" s="2" t="s">
        <v>1042</v>
      </c>
      <c r="B3078" s="2" t="s">
        <v>574</v>
      </c>
      <c r="C3078" s="2" t="s">
        <v>1088</v>
      </c>
      <c r="D3078" s="2" t="s">
        <v>1089</v>
      </c>
      <c r="E3078" s="2" t="s">
        <v>46</v>
      </c>
      <c r="F3078" s="3">
        <v>1650</v>
      </c>
      <c r="G3078" s="4">
        <v>60</v>
      </c>
      <c r="H3078" s="5">
        <v>7.4999999999999997E-3</v>
      </c>
    </row>
    <row r="3079" spans="1:8" x14ac:dyDescent="0.35">
      <c r="A3079" s="2" t="s">
        <v>1042</v>
      </c>
      <c r="B3079" s="2" t="s">
        <v>574</v>
      </c>
      <c r="C3079" s="2" t="s">
        <v>1090</v>
      </c>
      <c r="D3079" s="2" t="s">
        <v>1091</v>
      </c>
      <c r="E3079" s="2" t="s">
        <v>1092</v>
      </c>
      <c r="F3079" s="3">
        <v>80</v>
      </c>
      <c r="G3079" s="4">
        <v>60</v>
      </c>
      <c r="H3079" s="5">
        <v>0</v>
      </c>
    </row>
    <row r="3080" spans="1:8" x14ac:dyDescent="0.35">
      <c r="A3080" s="2" t="s">
        <v>1042</v>
      </c>
      <c r="B3080" s="2" t="s">
        <v>574</v>
      </c>
      <c r="C3080" s="2" t="s">
        <v>581</v>
      </c>
      <c r="D3080" s="2" t="s">
        <v>355</v>
      </c>
      <c r="E3080" s="2" t="s">
        <v>356</v>
      </c>
      <c r="F3080" s="3">
        <v>200</v>
      </c>
      <c r="G3080" s="4">
        <v>60</v>
      </c>
      <c r="H3080" s="5">
        <v>0</v>
      </c>
    </row>
    <row r="3081" spans="1:8" x14ac:dyDescent="0.35">
      <c r="A3081" s="2" t="s">
        <v>1042</v>
      </c>
      <c r="B3081" s="2" t="s">
        <v>574</v>
      </c>
      <c r="C3081" s="2" t="s">
        <v>582</v>
      </c>
      <c r="D3081" s="2" t="s">
        <v>360</v>
      </c>
      <c r="E3081" s="2" t="s">
        <v>361</v>
      </c>
      <c r="F3081" s="3">
        <v>320</v>
      </c>
      <c r="G3081" s="4">
        <v>60</v>
      </c>
      <c r="H3081" s="5">
        <v>0</v>
      </c>
    </row>
    <row r="3082" spans="1:8" x14ac:dyDescent="0.35">
      <c r="A3082" s="2" t="s">
        <v>1042</v>
      </c>
      <c r="B3082" s="2" t="s">
        <v>574</v>
      </c>
      <c r="C3082" s="2" t="s">
        <v>1093</v>
      </c>
      <c r="D3082" s="2" t="s">
        <v>1094</v>
      </c>
      <c r="E3082" s="2" t="s">
        <v>92</v>
      </c>
      <c r="F3082" s="3">
        <v>420</v>
      </c>
      <c r="G3082" s="4">
        <v>36</v>
      </c>
      <c r="H3082" s="5">
        <v>0</v>
      </c>
    </row>
    <row r="3083" spans="1:8" x14ac:dyDescent="0.35">
      <c r="A3083" s="2" t="s">
        <v>1042</v>
      </c>
      <c r="B3083" s="2" t="s">
        <v>574</v>
      </c>
      <c r="C3083" s="2" t="s">
        <v>1095</v>
      </c>
      <c r="D3083" s="2" t="s">
        <v>1096</v>
      </c>
      <c r="E3083" s="2" t="s">
        <v>368</v>
      </c>
      <c r="F3083" s="3">
        <v>1066.05</v>
      </c>
      <c r="G3083" s="4">
        <v>36</v>
      </c>
      <c r="H3083" s="5">
        <v>0</v>
      </c>
    </row>
    <row r="3084" spans="1:8" x14ac:dyDescent="0.35">
      <c r="A3084" s="2" t="s">
        <v>1042</v>
      </c>
      <c r="B3084" s="2" t="s">
        <v>574</v>
      </c>
      <c r="C3084" s="2" t="s">
        <v>1097</v>
      </c>
      <c r="D3084" s="2" t="s">
        <v>1098</v>
      </c>
      <c r="E3084" s="2" t="s">
        <v>1099</v>
      </c>
      <c r="F3084" s="3">
        <v>1350</v>
      </c>
      <c r="G3084" s="4">
        <v>36</v>
      </c>
      <c r="H3084" s="5">
        <v>0</v>
      </c>
    </row>
    <row r="3085" spans="1:8" x14ac:dyDescent="0.35">
      <c r="A3085" s="2" t="s">
        <v>1042</v>
      </c>
      <c r="B3085" s="2" t="s">
        <v>574</v>
      </c>
      <c r="C3085" s="2" t="s">
        <v>1100</v>
      </c>
      <c r="D3085" s="2" t="s">
        <v>1101</v>
      </c>
      <c r="E3085" s="2" t="s">
        <v>71</v>
      </c>
      <c r="F3085" s="3">
        <v>215</v>
      </c>
      <c r="G3085" s="4">
        <v>36</v>
      </c>
      <c r="H3085" s="5">
        <v>0</v>
      </c>
    </row>
    <row r="3086" spans="1:8" x14ac:dyDescent="0.35">
      <c r="A3086" s="2" t="s">
        <v>1042</v>
      </c>
      <c r="B3086" s="2" t="s">
        <v>574</v>
      </c>
      <c r="C3086" s="2" t="s">
        <v>1102</v>
      </c>
      <c r="D3086" s="2" t="s">
        <v>1103</v>
      </c>
      <c r="E3086" s="2" t="s">
        <v>92</v>
      </c>
      <c r="F3086" s="3">
        <v>2500</v>
      </c>
      <c r="G3086" s="4">
        <v>36</v>
      </c>
      <c r="H3086" s="5">
        <v>0</v>
      </c>
    </row>
    <row r="3087" spans="1:8" x14ac:dyDescent="0.35">
      <c r="A3087" s="2" t="s">
        <v>1042</v>
      </c>
      <c r="B3087" s="2" t="s">
        <v>574</v>
      </c>
      <c r="C3087" s="2" t="s">
        <v>1104</v>
      </c>
      <c r="D3087" s="2" t="s">
        <v>1105</v>
      </c>
      <c r="E3087" s="2" t="s">
        <v>1106</v>
      </c>
      <c r="F3087" s="3">
        <v>715</v>
      </c>
      <c r="G3087" s="4">
        <v>36</v>
      </c>
      <c r="H3087" s="5">
        <v>0</v>
      </c>
    </row>
    <row r="3088" spans="1:8" x14ac:dyDescent="0.35">
      <c r="A3088" s="2" t="s">
        <v>1042</v>
      </c>
      <c r="B3088" s="2" t="s">
        <v>574</v>
      </c>
      <c r="C3088" s="2" t="s">
        <v>1107</v>
      </c>
      <c r="D3088" s="2" t="s">
        <v>1108</v>
      </c>
      <c r="E3088" s="2" t="s">
        <v>1109</v>
      </c>
      <c r="F3088" s="3">
        <v>935</v>
      </c>
      <c r="G3088" s="4">
        <v>36</v>
      </c>
      <c r="H3088" s="5">
        <v>0</v>
      </c>
    </row>
    <row r="3089" spans="1:8" x14ac:dyDescent="0.35">
      <c r="A3089" s="2" t="s">
        <v>1042</v>
      </c>
      <c r="B3089" s="2" t="s">
        <v>574</v>
      </c>
      <c r="C3089" s="2" t="s">
        <v>1110</v>
      </c>
      <c r="D3089" s="2" t="s">
        <v>1111</v>
      </c>
      <c r="E3089" s="2" t="s">
        <v>1112</v>
      </c>
      <c r="F3089" s="3">
        <v>130</v>
      </c>
      <c r="G3089" s="4">
        <v>36</v>
      </c>
      <c r="H3089" s="5">
        <v>0</v>
      </c>
    </row>
    <row r="3090" spans="1:8" ht="26" x14ac:dyDescent="0.35">
      <c r="A3090" s="2" t="s">
        <v>1042</v>
      </c>
      <c r="B3090" s="2" t="s">
        <v>574</v>
      </c>
      <c r="C3090" s="2" t="s">
        <v>1113</v>
      </c>
      <c r="D3090" s="2" t="s">
        <v>1114</v>
      </c>
      <c r="E3090" s="2" t="s">
        <v>1115</v>
      </c>
      <c r="F3090" s="3">
        <v>110</v>
      </c>
      <c r="G3090" s="4">
        <v>60</v>
      </c>
      <c r="H3090" s="5">
        <v>0</v>
      </c>
    </row>
    <row r="3091" spans="1:8" x14ac:dyDescent="0.35">
      <c r="A3091" s="2" t="s">
        <v>1042</v>
      </c>
      <c r="B3091" s="2" t="s">
        <v>574</v>
      </c>
      <c r="C3091" s="2" t="s">
        <v>1116</v>
      </c>
      <c r="D3091" s="2" t="s">
        <v>1117</v>
      </c>
      <c r="E3091" s="2" t="s">
        <v>82</v>
      </c>
      <c r="F3091" s="3">
        <v>1236</v>
      </c>
      <c r="G3091" s="4">
        <v>36</v>
      </c>
      <c r="H3091" s="5">
        <v>0</v>
      </c>
    </row>
    <row r="3092" spans="1:8" x14ac:dyDescent="0.35">
      <c r="A3092" s="2" t="s">
        <v>1042</v>
      </c>
      <c r="B3092" s="2" t="s">
        <v>574</v>
      </c>
      <c r="C3092" s="2" t="s">
        <v>1118</v>
      </c>
      <c r="D3092" s="2" t="s">
        <v>1119</v>
      </c>
      <c r="E3092" s="2" t="s">
        <v>1120</v>
      </c>
      <c r="F3092" s="3">
        <v>4.3</v>
      </c>
      <c r="G3092" s="4">
        <v>36</v>
      </c>
      <c r="H3092" s="5">
        <v>0</v>
      </c>
    </row>
    <row r="3093" spans="1:8" x14ac:dyDescent="0.35">
      <c r="A3093" s="2" t="s">
        <v>1042</v>
      </c>
      <c r="B3093" s="2" t="s">
        <v>574</v>
      </c>
      <c r="C3093" s="2" t="s">
        <v>1121</v>
      </c>
      <c r="D3093" s="2" t="s">
        <v>1122</v>
      </c>
      <c r="E3093" s="2" t="s">
        <v>1123</v>
      </c>
      <c r="F3093" s="3">
        <v>350</v>
      </c>
      <c r="G3093" s="4">
        <v>36</v>
      </c>
      <c r="H3093" s="5">
        <v>0</v>
      </c>
    </row>
    <row r="3094" spans="1:8" x14ac:dyDescent="0.35">
      <c r="A3094" s="2" t="s">
        <v>1042</v>
      </c>
      <c r="B3094" s="2" t="s">
        <v>574</v>
      </c>
      <c r="C3094" s="2" t="s">
        <v>1124</v>
      </c>
      <c r="D3094" s="2" t="s">
        <v>1125</v>
      </c>
      <c r="E3094" s="2" t="s">
        <v>1126</v>
      </c>
      <c r="F3094" s="3">
        <v>9.35</v>
      </c>
      <c r="G3094" s="4">
        <v>1</v>
      </c>
      <c r="H3094" s="5">
        <v>0</v>
      </c>
    </row>
    <row r="3095" spans="1:8" ht="14.5" customHeight="1" x14ac:dyDescent="0.35">
      <c r="A3095" s="2" t="s">
        <v>1042</v>
      </c>
      <c r="B3095" s="2" t="s">
        <v>574</v>
      </c>
      <c r="C3095" s="2" t="s">
        <v>1127</v>
      </c>
      <c r="D3095" s="2" t="s">
        <v>1128</v>
      </c>
      <c r="E3095" s="2" t="s">
        <v>1129</v>
      </c>
      <c r="F3095" s="3">
        <v>22.91</v>
      </c>
      <c r="G3095" s="4">
        <v>1</v>
      </c>
      <c r="H3095" s="5">
        <v>0</v>
      </c>
    </row>
    <row r="3096" spans="1:8" ht="14.5" customHeight="1" x14ac:dyDescent="0.35">
      <c r="A3096" s="2" t="s">
        <v>1042</v>
      </c>
      <c r="B3096" s="2" t="s">
        <v>574</v>
      </c>
      <c r="C3096" s="2" t="s">
        <v>1130</v>
      </c>
      <c r="D3096" s="2" t="s">
        <v>1131</v>
      </c>
      <c r="E3096" s="2" t="s">
        <v>1132</v>
      </c>
      <c r="F3096" s="3">
        <v>22.91</v>
      </c>
      <c r="G3096" s="4">
        <v>1</v>
      </c>
      <c r="H3096" s="5">
        <v>0</v>
      </c>
    </row>
    <row r="3097" spans="1:8" x14ac:dyDescent="0.35">
      <c r="A3097" s="2" t="s">
        <v>1042</v>
      </c>
      <c r="B3097" s="2" t="s">
        <v>574</v>
      </c>
      <c r="C3097" s="2" t="s">
        <v>1133</v>
      </c>
      <c r="D3097" s="2" t="s">
        <v>1134</v>
      </c>
      <c r="E3097" s="2" t="s">
        <v>147</v>
      </c>
      <c r="F3097" s="3">
        <v>1365</v>
      </c>
      <c r="G3097" s="4">
        <v>60</v>
      </c>
      <c r="H3097" s="5">
        <v>7.4999999999999997E-3</v>
      </c>
    </row>
    <row r="3098" spans="1:8" x14ac:dyDescent="0.35">
      <c r="A3098" s="2" t="s">
        <v>1042</v>
      </c>
      <c r="B3098" s="2" t="s">
        <v>574</v>
      </c>
      <c r="C3098" s="2" t="s">
        <v>1135</v>
      </c>
      <c r="D3098" s="2" t="s">
        <v>1136</v>
      </c>
      <c r="E3098" s="2" t="s">
        <v>158</v>
      </c>
      <c r="F3098" s="3">
        <v>1100</v>
      </c>
      <c r="G3098" s="4">
        <v>60</v>
      </c>
      <c r="H3098" s="5">
        <v>7.4999999999999997E-3</v>
      </c>
    </row>
    <row r="3099" spans="1:8" x14ac:dyDescent="0.35">
      <c r="A3099" s="2" t="s">
        <v>1042</v>
      </c>
      <c r="B3099" s="2" t="s">
        <v>574</v>
      </c>
      <c r="C3099" s="2" t="s">
        <v>1137</v>
      </c>
      <c r="D3099" s="2" t="s">
        <v>1138</v>
      </c>
      <c r="E3099" s="2" t="s">
        <v>59</v>
      </c>
      <c r="F3099" s="3">
        <v>93</v>
      </c>
      <c r="G3099" s="4">
        <v>36</v>
      </c>
      <c r="H3099" s="5">
        <v>0</v>
      </c>
    </row>
    <row r="3100" spans="1:8" x14ac:dyDescent="0.35">
      <c r="A3100" s="2" t="s">
        <v>1042</v>
      </c>
      <c r="B3100" s="2" t="s">
        <v>574</v>
      </c>
      <c r="C3100" s="2" t="s">
        <v>1139</v>
      </c>
      <c r="D3100" s="2" t="s">
        <v>1140</v>
      </c>
      <c r="E3100" s="2" t="s">
        <v>226</v>
      </c>
      <c r="F3100" s="3">
        <v>3500</v>
      </c>
      <c r="G3100" s="4">
        <v>60</v>
      </c>
      <c r="H3100" s="5">
        <v>7.4999999999999997E-3</v>
      </c>
    </row>
    <row r="3101" spans="1:8" x14ac:dyDescent="0.35">
      <c r="A3101" s="2" t="s">
        <v>1042</v>
      </c>
      <c r="B3101" s="2" t="s">
        <v>574</v>
      </c>
      <c r="C3101" s="2" t="s">
        <v>1141</v>
      </c>
      <c r="D3101" s="2" t="s">
        <v>1142</v>
      </c>
      <c r="E3101" s="2" t="s">
        <v>347</v>
      </c>
      <c r="F3101" s="3">
        <v>650</v>
      </c>
      <c r="G3101" s="4">
        <v>60</v>
      </c>
      <c r="H3101" s="5">
        <v>0</v>
      </c>
    </row>
    <row r="3102" spans="1:8" x14ac:dyDescent="0.35">
      <c r="A3102" s="2" t="s">
        <v>1042</v>
      </c>
      <c r="B3102" s="2" t="s">
        <v>574</v>
      </c>
      <c r="C3102" s="2" t="s">
        <v>1143</v>
      </c>
      <c r="D3102" s="2" t="s">
        <v>1144</v>
      </c>
      <c r="E3102" s="2" t="s">
        <v>248</v>
      </c>
      <c r="F3102" s="3">
        <v>300</v>
      </c>
      <c r="G3102" s="4">
        <v>60</v>
      </c>
      <c r="H3102" s="5">
        <v>0</v>
      </c>
    </row>
    <row r="3103" spans="1:8" x14ac:dyDescent="0.35">
      <c r="A3103" s="2" t="s">
        <v>1042</v>
      </c>
      <c r="B3103" s="2" t="s">
        <v>574</v>
      </c>
      <c r="C3103" s="2" t="s">
        <v>1145</v>
      </c>
      <c r="D3103" s="2" t="s">
        <v>1146</v>
      </c>
      <c r="E3103" s="2" t="s">
        <v>258</v>
      </c>
      <c r="F3103" s="3">
        <v>68610.14</v>
      </c>
      <c r="G3103" s="4">
        <v>60</v>
      </c>
      <c r="H3103" s="5">
        <v>7.4999999999999997E-3</v>
      </c>
    </row>
    <row r="3104" spans="1:8" x14ac:dyDescent="0.35">
      <c r="A3104" s="2" t="s">
        <v>1042</v>
      </c>
      <c r="B3104" s="2" t="s">
        <v>574</v>
      </c>
      <c r="C3104" s="2" t="s">
        <v>1147</v>
      </c>
      <c r="D3104" s="2" t="s">
        <v>1148</v>
      </c>
      <c r="E3104" s="2" t="s">
        <v>260</v>
      </c>
      <c r="F3104" s="3">
        <v>19000</v>
      </c>
      <c r="G3104" s="4">
        <v>60</v>
      </c>
      <c r="H3104" s="5">
        <v>7.4999999999999997E-3</v>
      </c>
    </row>
    <row r="3105" spans="1:8" x14ac:dyDescent="0.35">
      <c r="A3105" s="2" t="s">
        <v>1042</v>
      </c>
      <c r="B3105" s="2" t="s">
        <v>574</v>
      </c>
      <c r="C3105" s="2" t="s">
        <v>1149</v>
      </c>
      <c r="D3105" s="2" t="s">
        <v>1150</v>
      </c>
      <c r="E3105" s="2" t="s">
        <v>271</v>
      </c>
      <c r="F3105" s="3">
        <v>62950</v>
      </c>
      <c r="G3105" s="4">
        <v>60</v>
      </c>
      <c r="H3105" s="5">
        <v>7.4999999999999997E-3</v>
      </c>
    </row>
    <row r="3106" spans="1:8" x14ac:dyDescent="0.35">
      <c r="A3106" s="2" t="s">
        <v>1042</v>
      </c>
      <c r="B3106" s="2" t="s">
        <v>574</v>
      </c>
      <c r="C3106" s="2" t="s">
        <v>1151</v>
      </c>
      <c r="D3106" s="2" t="s">
        <v>1152</v>
      </c>
      <c r="E3106" s="2" t="s">
        <v>260</v>
      </c>
      <c r="F3106" s="3">
        <v>18500</v>
      </c>
      <c r="G3106" s="4">
        <v>60</v>
      </c>
      <c r="H3106" s="5">
        <v>7.4999999999999997E-3</v>
      </c>
    </row>
    <row r="3107" spans="1:8" x14ac:dyDescent="0.35">
      <c r="A3107" s="2" t="s">
        <v>1042</v>
      </c>
      <c r="B3107" s="2" t="s">
        <v>574</v>
      </c>
      <c r="C3107" s="2" t="s">
        <v>1153</v>
      </c>
      <c r="D3107" s="2" t="s">
        <v>1154</v>
      </c>
      <c r="E3107" s="2" t="s">
        <v>260</v>
      </c>
      <c r="F3107" s="3">
        <v>31002</v>
      </c>
      <c r="G3107" s="4">
        <v>60</v>
      </c>
      <c r="H3107" s="5">
        <v>7.4999999999999997E-3</v>
      </c>
    </row>
    <row r="3108" spans="1:8" x14ac:dyDescent="0.35">
      <c r="A3108" s="2" t="s">
        <v>1042</v>
      </c>
      <c r="B3108" s="2" t="s">
        <v>574</v>
      </c>
      <c r="C3108" s="2" t="s">
        <v>1155</v>
      </c>
      <c r="D3108" s="2" t="s">
        <v>1156</v>
      </c>
      <c r="E3108" s="2" t="s">
        <v>470</v>
      </c>
      <c r="F3108" s="3">
        <v>135</v>
      </c>
      <c r="G3108" s="4">
        <v>6</v>
      </c>
      <c r="H3108" s="5">
        <v>0</v>
      </c>
    </row>
    <row r="3109" spans="1:8" x14ac:dyDescent="0.35">
      <c r="A3109" s="2" t="s">
        <v>1042</v>
      </c>
      <c r="B3109" s="2" t="s">
        <v>574</v>
      </c>
      <c r="C3109" s="2" t="s">
        <v>1157</v>
      </c>
      <c r="D3109" s="2" t="s">
        <v>1158</v>
      </c>
      <c r="E3109" s="2" t="s">
        <v>489</v>
      </c>
      <c r="F3109" s="3">
        <v>1500</v>
      </c>
      <c r="G3109" s="4">
        <v>60</v>
      </c>
      <c r="H3109" s="5">
        <v>7.4999999999999997E-3</v>
      </c>
    </row>
    <row r="3110" spans="1:8" x14ac:dyDescent="0.35">
      <c r="A3110" s="2" t="s">
        <v>1042</v>
      </c>
      <c r="B3110" s="2" t="s">
        <v>574</v>
      </c>
      <c r="C3110" s="2" t="s">
        <v>1159</v>
      </c>
      <c r="D3110" s="2" t="s">
        <v>1160</v>
      </c>
      <c r="E3110" s="2" t="s">
        <v>1161</v>
      </c>
      <c r="F3110" s="3">
        <v>435</v>
      </c>
      <c r="G3110" s="4">
        <v>60</v>
      </c>
      <c r="H3110" s="5">
        <v>0</v>
      </c>
    </row>
    <row r="3111" spans="1:8" x14ac:dyDescent="0.35">
      <c r="A3111" s="2" t="s">
        <v>1042</v>
      </c>
      <c r="B3111" s="2" t="s">
        <v>574</v>
      </c>
      <c r="C3111" s="2" t="s">
        <v>1162</v>
      </c>
      <c r="D3111" s="2" t="s">
        <v>1163</v>
      </c>
      <c r="E3111" s="2" t="s">
        <v>115</v>
      </c>
      <c r="F3111" s="3">
        <v>30</v>
      </c>
      <c r="G3111" s="4">
        <v>36</v>
      </c>
      <c r="H3111" s="5">
        <v>0</v>
      </c>
    </row>
    <row r="3112" spans="1:8" x14ac:dyDescent="0.35">
      <c r="A3112" s="2" t="s">
        <v>1042</v>
      </c>
      <c r="B3112" s="2" t="s">
        <v>574</v>
      </c>
      <c r="C3112" s="2" t="s">
        <v>1164</v>
      </c>
      <c r="D3112" s="2" t="s">
        <v>1165</v>
      </c>
      <c r="E3112" s="2" t="s">
        <v>836</v>
      </c>
      <c r="F3112" s="3">
        <v>120</v>
      </c>
      <c r="G3112" s="4">
        <v>36</v>
      </c>
      <c r="H3112" s="5">
        <v>0</v>
      </c>
    </row>
    <row r="3113" spans="1:8" x14ac:dyDescent="0.35">
      <c r="A3113" s="2" t="s">
        <v>1042</v>
      </c>
      <c r="B3113" s="2" t="s">
        <v>574</v>
      </c>
      <c r="C3113" s="2" t="s">
        <v>1166</v>
      </c>
      <c r="D3113" s="2" t="s">
        <v>1167</v>
      </c>
      <c r="E3113" s="2" t="s">
        <v>315</v>
      </c>
      <c r="F3113" s="3">
        <v>120</v>
      </c>
      <c r="G3113" s="4">
        <v>36</v>
      </c>
      <c r="H3113" s="5">
        <v>0</v>
      </c>
    </row>
    <row r="3114" spans="1:8" x14ac:dyDescent="0.35">
      <c r="A3114" s="2" t="s">
        <v>1042</v>
      </c>
      <c r="B3114" s="2" t="s">
        <v>574</v>
      </c>
      <c r="C3114" s="2" t="s">
        <v>1168</v>
      </c>
      <c r="D3114" s="2" t="s">
        <v>1169</v>
      </c>
      <c r="E3114" s="2" t="s">
        <v>344</v>
      </c>
      <c r="F3114" s="3">
        <v>3500</v>
      </c>
      <c r="G3114" s="4">
        <v>48</v>
      </c>
      <c r="H3114" s="5">
        <v>7.4999999999999997E-3</v>
      </c>
    </row>
    <row r="3115" spans="1:8" x14ac:dyDescent="0.35">
      <c r="A3115" s="2" t="s">
        <v>1042</v>
      </c>
      <c r="B3115" s="2" t="s">
        <v>574</v>
      </c>
      <c r="C3115" s="2" t="s">
        <v>1170</v>
      </c>
      <c r="D3115" s="2" t="s">
        <v>1171</v>
      </c>
      <c r="E3115" s="2" t="s">
        <v>398</v>
      </c>
      <c r="F3115" s="3">
        <v>15</v>
      </c>
      <c r="G3115" s="4">
        <v>36</v>
      </c>
      <c r="H3115" s="5">
        <v>0</v>
      </c>
    </row>
    <row r="3116" spans="1:8" x14ac:dyDescent="0.35">
      <c r="A3116" s="2" t="s">
        <v>1042</v>
      </c>
      <c r="B3116" s="2" t="s">
        <v>574</v>
      </c>
      <c r="C3116" s="2" t="s">
        <v>1172</v>
      </c>
      <c r="D3116" s="2" t="s">
        <v>1173</v>
      </c>
      <c r="E3116" s="2" t="s">
        <v>322</v>
      </c>
      <c r="F3116" s="3">
        <v>220</v>
      </c>
      <c r="G3116" s="4">
        <v>60</v>
      </c>
      <c r="H3116" s="5">
        <v>0</v>
      </c>
    </row>
    <row r="3117" spans="1:8" x14ac:dyDescent="0.35">
      <c r="A3117" s="2" t="s">
        <v>1042</v>
      </c>
      <c r="B3117" s="2" t="s">
        <v>574</v>
      </c>
      <c r="C3117" s="2" t="s">
        <v>1174</v>
      </c>
      <c r="D3117" s="2" t="s">
        <v>1175</v>
      </c>
      <c r="E3117" s="2" t="s">
        <v>1176</v>
      </c>
      <c r="F3117" s="3">
        <v>325</v>
      </c>
      <c r="G3117" s="4">
        <v>60</v>
      </c>
      <c r="H3117" s="5">
        <v>0</v>
      </c>
    </row>
    <row r="3118" spans="1:8" x14ac:dyDescent="0.35">
      <c r="A3118" s="2" t="s">
        <v>1042</v>
      </c>
      <c r="B3118" s="2" t="s">
        <v>574</v>
      </c>
      <c r="C3118" s="2" t="s">
        <v>837</v>
      </c>
      <c r="D3118" s="2" t="s">
        <v>838</v>
      </c>
      <c r="E3118" s="2" t="s">
        <v>452</v>
      </c>
      <c r="F3118" s="3">
        <v>50</v>
      </c>
      <c r="G3118" s="4">
        <v>1</v>
      </c>
      <c r="H3118" s="5">
        <v>0</v>
      </c>
    </row>
    <row r="3119" spans="1:8" x14ac:dyDescent="0.35">
      <c r="A3119" s="2" t="s">
        <v>1042</v>
      </c>
      <c r="B3119" s="2" t="s">
        <v>574</v>
      </c>
      <c r="C3119" s="2" t="s">
        <v>1177</v>
      </c>
      <c r="D3119" s="2" t="s">
        <v>1065</v>
      </c>
      <c r="E3119" s="2" t="s">
        <v>443</v>
      </c>
      <c r="F3119" s="3">
        <v>530</v>
      </c>
      <c r="G3119" s="4">
        <v>60</v>
      </c>
      <c r="H3119" s="5">
        <v>0</v>
      </c>
    </row>
    <row r="3120" spans="1:8" x14ac:dyDescent="0.35">
      <c r="A3120" s="2" t="s">
        <v>1042</v>
      </c>
      <c r="B3120" s="2" t="s">
        <v>574</v>
      </c>
      <c r="C3120" s="2" t="s">
        <v>1178</v>
      </c>
      <c r="D3120" s="2" t="s">
        <v>1179</v>
      </c>
      <c r="E3120" s="2" t="s">
        <v>102</v>
      </c>
      <c r="F3120" s="3">
        <v>70</v>
      </c>
      <c r="G3120" s="4">
        <v>1</v>
      </c>
      <c r="H3120" s="5">
        <v>0</v>
      </c>
    </row>
    <row r="3121" spans="1:8" x14ac:dyDescent="0.35">
      <c r="A3121" s="2" t="s">
        <v>1042</v>
      </c>
      <c r="B3121" s="2" t="s">
        <v>574</v>
      </c>
      <c r="C3121" s="2" t="s">
        <v>1180</v>
      </c>
      <c r="D3121" s="2" t="s">
        <v>1181</v>
      </c>
      <c r="E3121" s="2" t="s">
        <v>300</v>
      </c>
      <c r="F3121" s="3">
        <v>30</v>
      </c>
      <c r="G3121" s="4">
        <v>60</v>
      </c>
      <c r="H3121" s="5">
        <v>0</v>
      </c>
    </row>
    <row r="3122" spans="1:8" x14ac:dyDescent="0.35">
      <c r="A3122" s="2" t="s">
        <v>1042</v>
      </c>
      <c r="B3122" s="2" t="s">
        <v>574</v>
      </c>
      <c r="C3122" s="2" t="s">
        <v>1182</v>
      </c>
      <c r="D3122" s="2" t="s">
        <v>1183</v>
      </c>
      <c r="E3122" s="2" t="s">
        <v>564</v>
      </c>
      <c r="F3122" s="3">
        <v>35.28</v>
      </c>
      <c r="G3122" s="4">
        <v>36</v>
      </c>
      <c r="H3122" s="5">
        <v>0</v>
      </c>
    </row>
    <row r="3123" spans="1:8" x14ac:dyDescent="0.35">
      <c r="A3123" s="2" t="s">
        <v>1042</v>
      </c>
      <c r="B3123" s="2" t="s">
        <v>339</v>
      </c>
      <c r="C3123" s="2" t="s">
        <v>1080</v>
      </c>
      <c r="D3123" s="2" t="s">
        <v>1081</v>
      </c>
      <c r="E3123" s="2" t="s">
        <v>1082</v>
      </c>
      <c r="F3123" s="3">
        <v>1189.5</v>
      </c>
      <c r="G3123" s="4">
        <v>36</v>
      </c>
      <c r="H3123" s="5">
        <v>1.67E-2</v>
      </c>
    </row>
    <row r="3124" spans="1:8" x14ac:dyDescent="0.35">
      <c r="A3124" s="2" t="s">
        <v>1042</v>
      </c>
      <c r="B3124" s="2" t="s">
        <v>339</v>
      </c>
      <c r="C3124" s="2" t="s">
        <v>1083</v>
      </c>
      <c r="D3124" s="2" t="s">
        <v>1084</v>
      </c>
      <c r="E3124" s="2" t="s">
        <v>1085</v>
      </c>
      <c r="F3124" s="3">
        <v>641.01</v>
      </c>
      <c r="G3124" s="4">
        <v>36</v>
      </c>
      <c r="H3124" s="5">
        <v>1.67E-2</v>
      </c>
    </row>
    <row r="3125" spans="1:8" x14ac:dyDescent="0.35">
      <c r="A3125" s="2" t="s">
        <v>1042</v>
      </c>
      <c r="B3125" s="2" t="s">
        <v>339</v>
      </c>
      <c r="C3125" s="2" t="s">
        <v>1086</v>
      </c>
      <c r="D3125" s="2" t="s">
        <v>1087</v>
      </c>
      <c r="E3125" s="2" t="s">
        <v>35</v>
      </c>
      <c r="F3125" s="3">
        <v>1273.57</v>
      </c>
      <c r="G3125" s="4">
        <v>36</v>
      </c>
      <c r="H3125" s="5">
        <v>1.67E-2</v>
      </c>
    </row>
    <row r="3126" spans="1:8" x14ac:dyDescent="0.35">
      <c r="A3126" s="2" t="s">
        <v>1042</v>
      </c>
      <c r="B3126" s="2" t="s">
        <v>339</v>
      </c>
      <c r="C3126" s="2" t="s">
        <v>1088</v>
      </c>
      <c r="D3126" s="2" t="s">
        <v>1089</v>
      </c>
      <c r="E3126" s="2" t="s">
        <v>46</v>
      </c>
      <c r="F3126" s="3">
        <v>1650</v>
      </c>
      <c r="G3126" s="4">
        <v>60</v>
      </c>
      <c r="H3126" s="5">
        <v>1.67E-2</v>
      </c>
    </row>
    <row r="3127" spans="1:8" x14ac:dyDescent="0.35">
      <c r="A3127" s="2" t="s">
        <v>1042</v>
      </c>
      <c r="B3127" s="2" t="s">
        <v>339</v>
      </c>
      <c r="C3127" s="2" t="s">
        <v>1090</v>
      </c>
      <c r="D3127" s="2" t="s">
        <v>1091</v>
      </c>
      <c r="E3127" s="2" t="s">
        <v>1092</v>
      </c>
      <c r="F3127" s="3">
        <v>641.01</v>
      </c>
      <c r="G3127" s="4">
        <v>60</v>
      </c>
      <c r="H3127" s="5">
        <v>1.67E-2</v>
      </c>
    </row>
    <row r="3128" spans="1:8" x14ac:dyDescent="0.35">
      <c r="A3128" s="2" t="s">
        <v>1042</v>
      </c>
      <c r="B3128" s="2" t="s">
        <v>339</v>
      </c>
      <c r="C3128" s="2" t="s">
        <v>581</v>
      </c>
      <c r="D3128" s="2" t="s">
        <v>355</v>
      </c>
      <c r="E3128" s="2" t="s">
        <v>356</v>
      </c>
      <c r="F3128" s="3">
        <v>163.89</v>
      </c>
      <c r="G3128" s="4">
        <v>36</v>
      </c>
      <c r="H3128" s="5">
        <v>1.67E-2</v>
      </c>
    </row>
    <row r="3129" spans="1:8" x14ac:dyDescent="0.35">
      <c r="A3129" s="2" t="s">
        <v>1042</v>
      </c>
      <c r="B3129" s="2" t="s">
        <v>339</v>
      </c>
      <c r="C3129" s="2" t="s">
        <v>582</v>
      </c>
      <c r="D3129" s="2" t="s">
        <v>360</v>
      </c>
      <c r="E3129" s="2" t="s">
        <v>361</v>
      </c>
      <c r="F3129" s="3">
        <v>396.5</v>
      </c>
      <c r="G3129" s="4">
        <v>36</v>
      </c>
      <c r="H3129" s="5">
        <v>1.67E-2</v>
      </c>
    </row>
    <row r="3130" spans="1:8" x14ac:dyDescent="0.35">
      <c r="A3130" s="2" t="s">
        <v>1042</v>
      </c>
      <c r="B3130" s="2" t="s">
        <v>339</v>
      </c>
      <c r="C3130" s="2" t="s">
        <v>1093</v>
      </c>
      <c r="D3130" s="2" t="s">
        <v>1094</v>
      </c>
      <c r="E3130" s="2" t="s">
        <v>92</v>
      </c>
      <c r="F3130" s="3">
        <v>792.94</v>
      </c>
      <c r="G3130" s="4">
        <v>36</v>
      </c>
      <c r="H3130" s="5">
        <v>1.67E-2</v>
      </c>
    </row>
    <row r="3131" spans="1:8" x14ac:dyDescent="0.35">
      <c r="A3131" s="2" t="s">
        <v>1042</v>
      </c>
      <c r="B3131" s="2" t="s">
        <v>339</v>
      </c>
      <c r="C3131" s="2" t="s">
        <v>1095</v>
      </c>
      <c r="D3131" s="2" t="s">
        <v>1096</v>
      </c>
      <c r="E3131" s="2" t="s">
        <v>368</v>
      </c>
      <c r="F3131" s="3">
        <v>1498</v>
      </c>
      <c r="G3131" s="4">
        <v>36</v>
      </c>
      <c r="H3131" s="5">
        <v>1.67E-2</v>
      </c>
    </row>
    <row r="3132" spans="1:8" x14ac:dyDescent="0.35">
      <c r="A3132" s="2" t="s">
        <v>1042</v>
      </c>
      <c r="B3132" s="2" t="s">
        <v>339</v>
      </c>
      <c r="C3132" s="2" t="s">
        <v>1097</v>
      </c>
      <c r="D3132" s="2" t="s">
        <v>1098</v>
      </c>
      <c r="E3132" s="2" t="s">
        <v>1099</v>
      </c>
      <c r="F3132" s="3">
        <v>1586.02</v>
      </c>
      <c r="G3132" s="4">
        <v>36</v>
      </c>
      <c r="H3132" s="5">
        <v>1.67E-2</v>
      </c>
    </row>
    <row r="3133" spans="1:8" x14ac:dyDescent="0.35">
      <c r="A3133" s="2" t="s">
        <v>1042</v>
      </c>
      <c r="B3133" s="2" t="s">
        <v>339</v>
      </c>
      <c r="C3133" s="2" t="s">
        <v>1100</v>
      </c>
      <c r="D3133" s="2" t="s">
        <v>1101</v>
      </c>
      <c r="E3133" s="2" t="s">
        <v>71</v>
      </c>
      <c r="F3133" s="3">
        <v>218.08</v>
      </c>
      <c r="G3133" s="4">
        <v>36</v>
      </c>
      <c r="H3133" s="5">
        <v>1.67E-2</v>
      </c>
    </row>
    <row r="3134" spans="1:8" x14ac:dyDescent="0.35">
      <c r="A3134" s="2" t="s">
        <v>1042</v>
      </c>
      <c r="B3134" s="2" t="s">
        <v>339</v>
      </c>
      <c r="C3134" s="2" t="s">
        <v>1102</v>
      </c>
      <c r="D3134" s="2" t="s">
        <v>1103</v>
      </c>
      <c r="E3134" s="2" t="s">
        <v>92</v>
      </c>
      <c r="F3134" s="3">
        <v>2945.82</v>
      </c>
      <c r="G3134" s="4">
        <v>36</v>
      </c>
      <c r="H3134" s="5">
        <v>1.67E-2</v>
      </c>
    </row>
    <row r="3135" spans="1:8" x14ac:dyDescent="0.35">
      <c r="A3135" s="2" t="s">
        <v>1042</v>
      </c>
      <c r="B3135" s="2" t="s">
        <v>339</v>
      </c>
      <c r="C3135" s="2" t="s">
        <v>1104</v>
      </c>
      <c r="D3135" s="2" t="s">
        <v>1105</v>
      </c>
      <c r="E3135" s="2" t="s">
        <v>1106</v>
      </c>
      <c r="F3135" s="3">
        <v>1046.77</v>
      </c>
      <c r="G3135" s="4">
        <v>36</v>
      </c>
      <c r="H3135" s="5">
        <v>1.67E-2</v>
      </c>
    </row>
    <row r="3136" spans="1:8" x14ac:dyDescent="0.35">
      <c r="A3136" s="2" t="s">
        <v>1042</v>
      </c>
      <c r="B3136" s="2" t="s">
        <v>339</v>
      </c>
      <c r="C3136" s="2" t="s">
        <v>1107</v>
      </c>
      <c r="D3136" s="2" t="s">
        <v>1108</v>
      </c>
      <c r="E3136" s="2" t="s">
        <v>1109</v>
      </c>
      <c r="F3136" s="3">
        <v>2247.29</v>
      </c>
      <c r="G3136" s="4">
        <v>36</v>
      </c>
      <c r="H3136" s="5">
        <v>1.67E-2</v>
      </c>
    </row>
    <row r="3137" spans="1:8" x14ac:dyDescent="0.35">
      <c r="A3137" s="2" t="s">
        <v>1042</v>
      </c>
      <c r="B3137" s="2" t="s">
        <v>339</v>
      </c>
      <c r="C3137" s="2" t="s">
        <v>1110</v>
      </c>
      <c r="D3137" s="2" t="s">
        <v>1111</v>
      </c>
      <c r="E3137" s="2" t="s">
        <v>1112</v>
      </c>
      <c r="F3137" s="3">
        <v>130</v>
      </c>
      <c r="G3137" s="4">
        <v>18</v>
      </c>
      <c r="H3137" s="5">
        <v>1.67E-2</v>
      </c>
    </row>
    <row r="3138" spans="1:8" ht="26" x14ac:dyDescent="0.35">
      <c r="A3138" s="2" t="s">
        <v>1042</v>
      </c>
      <c r="B3138" s="2" t="s">
        <v>339</v>
      </c>
      <c r="C3138" s="2" t="s">
        <v>1113</v>
      </c>
      <c r="D3138" s="2" t="s">
        <v>1114</v>
      </c>
      <c r="E3138" s="2" t="s">
        <v>1115</v>
      </c>
      <c r="F3138" s="3">
        <v>110</v>
      </c>
      <c r="G3138" s="4">
        <v>60</v>
      </c>
      <c r="H3138" s="5">
        <v>1.67E-2</v>
      </c>
    </row>
    <row r="3139" spans="1:8" x14ac:dyDescent="0.35">
      <c r="A3139" s="2" t="s">
        <v>1042</v>
      </c>
      <c r="B3139" s="2" t="s">
        <v>339</v>
      </c>
      <c r="C3139" s="2" t="s">
        <v>1116</v>
      </c>
      <c r="D3139" s="2" t="s">
        <v>1117</v>
      </c>
      <c r="E3139" s="2" t="s">
        <v>82</v>
      </c>
      <c r="F3139" s="3">
        <v>1519.93</v>
      </c>
      <c r="G3139" s="4">
        <v>36</v>
      </c>
      <c r="H3139" s="5">
        <v>1.67E-2</v>
      </c>
    </row>
    <row r="3140" spans="1:8" x14ac:dyDescent="0.35">
      <c r="A3140" s="2" t="s">
        <v>1042</v>
      </c>
      <c r="B3140" s="2" t="s">
        <v>339</v>
      </c>
      <c r="C3140" s="2" t="s">
        <v>1118</v>
      </c>
      <c r="D3140" s="2" t="s">
        <v>1119</v>
      </c>
      <c r="E3140" s="2" t="s">
        <v>1120</v>
      </c>
      <c r="F3140" s="3">
        <v>4.37</v>
      </c>
      <c r="G3140" s="4">
        <v>18</v>
      </c>
      <c r="H3140" s="5">
        <v>1.67E-2</v>
      </c>
    </row>
    <row r="3141" spans="1:8" x14ac:dyDescent="0.35">
      <c r="A3141" s="2" t="s">
        <v>1042</v>
      </c>
      <c r="B3141" s="2" t="s">
        <v>339</v>
      </c>
      <c r="C3141" s="2" t="s">
        <v>1121</v>
      </c>
      <c r="D3141" s="2" t="s">
        <v>1122</v>
      </c>
      <c r="E3141" s="2" t="s">
        <v>1123</v>
      </c>
      <c r="F3141" s="3">
        <v>350</v>
      </c>
      <c r="G3141" s="4">
        <v>18</v>
      </c>
      <c r="H3141" s="5">
        <v>1.67E-2</v>
      </c>
    </row>
    <row r="3142" spans="1:8" x14ac:dyDescent="0.35">
      <c r="A3142" s="2" t="s">
        <v>1042</v>
      </c>
      <c r="B3142" s="2" t="s">
        <v>339</v>
      </c>
      <c r="C3142" s="2" t="s">
        <v>1124</v>
      </c>
      <c r="D3142" s="2" t="s">
        <v>1125</v>
      </c>
      <c r="E3142" s="2" t="s">
        <v>1126</v>
      </c>
      <c r="F3142" s="3">
        <v>37</v>
      </c>
      <c r="G3142" s="4">
        <v>1</v>
      </c>
      <c r="H3142" s="5">
        <v>0</v>
      </c>
    </row>
    <row r="3143" spans="1:8" ht="14.5" customHeight="1" x14ac:dyDescent="0.35">
      <c r="A3143" s="2" t="s">
        <v>1042</v>
      </c>
      <c r="B3143" s="2" t="s">
        <v>339</v>
      </c>
      <c r="C3143" s="2" t="s">
        <v>1127</v>
      </c>
      <c r="D3143" s="2" t="s">
        <v>1128</v>
      </c>
      <c r="E3143" s="2" t="s">
        <v>1129</v>
      </c>
      <c r="F3143" s="3">
        <v>23.2</v>
      </c>
      <c r="G3143" s="4">
        <v>1</v>
      </c>
      <c r="H3143" s="5">
        <v>0</v>
      </c>
    </row>
    <row r="3144" spans="1:8" ht="14.5" customHeight="1" x14ac:dyDescent="0.35">
      <c r="A3144" s="2" t="s">
        <v>1042</v>
      </c>
      <c r="B3144" s="2" t="s">
        <v>339</v>
      </c>
      <c r="C3144" s="2" t="s">
        <v>1130</v>
      </c>
      <c r="D3144" s="2" t="s">
        <v>1131</v>
      </c>
      <c r="E3144" s="2" t="s">
        <v>1132</v>
      </c>
      <c r="F3144" s="3">
        <v>25.1</v>
      </c>
      <c r="G3144" s="4">
        <v>1</v>
      </c>
      <c r="H3144" s="5">
        <v>0</v>
      </c>
    </row>
    <row r="3145" spans="1:8" x14ac:dyDescent="0.35">
      <c r="A3145" s="2" t="s">
        <v>1042</v>
      </c>
      <c r="B3145" s="2" t="s">
        <v>339</v>
      </c>
      <c r="C3145" s="2" t="s">
        <v>1133</v>
      </c>
      <c r="D3145" s="2" t="s">
        <v>1134</v>
      </c>
      <c r="E3145" s="2" t="s">
        <v>147</v>
      </c>
      <c r="F3145" s="3">
        <v>1774.81</v>
      </c>
      <c r="G3145" s="4">
        <v>60</v>
      </c>
      <c r="H3145" s="5">
        <v>1.67E-2</v>
      </c>
    </row>
    <row r="3146" spans="1:8" x14ac:dyDescent="0.35">
      <c r="A3146" s="2" t="s">
        <v>1042</v>
      </c>
      <c r="B3146" s="2" t="s">
        <v>339</v>
      </c>
      <c r="C3146" s="2" t="s">
        <v>1135</v>
      </c>
      <c r="D3146" s="2" t="s">
        <v>1136</v>
      </c>
      <c r="E3146" s="2" t="s">
        <v>158</v>
      </c>
      <c r="F3146" s="3">
        <v>2456</v>
      </c>
      <c r="G3146" s="4">
        <v>60</v>
      </c>
      <c r="H3146" s="5">
        <v>1.67E-2</v>
      </c>
    </row>
    <row r="3147" spans="1:8" x14ac:dyDescent="0.35">
      <c r="A3147" s="2" t="s">
        <v>1042</v>
      </c>
      <c r="B3147" s="2" t="s">
        <v>339</v>
      </c>
      <c r="C3147" s="2" t="s">
        <v>1137</v>
      </c>
      <c r="D3147" s="2" t="s">
        <v>1138</v>
      </c>
      <c r="E3147" s="2" t="s">
        <v>59</v>
      </c>
      <c r="F3147" s="3">
        <v>104.41</v>
      </c>
      <c r="G3147" s="4">
        <v>18</v>
      </c>
      <c r="H3147" s="5">
        <v>1.67E-2</v>
      </c>
    </row>
    <row r="3148" spans="1:8" x14ac:dyDescent="0.35">
      <c r="A3148" s="2" t="s">
        <v>1042</v>
      </c>
      <c r="B3148" s="2" t="s">
        <v>339</v>
      </c>
      <c r="C3148" s="2" t="s">
        <v>1139</v>
      </c>
      <c r="D3148" s="2" t="s">
        <v>1140</v>
      </c>
      <c r="E3148" s="2" t="s">
        <v>226</v>
      </c>
      <c r="F3148" s="3">
        <v>3833.6</v>
      </c>
      <c r="G3148" s="4">
        <v>60</v>
      </c>
      <c r="H3148" s="5">
        <v>1.67E-2</v>
      </c>
    </row>
    <row r="3149" spans="1:8" x14ac:dyDescent="0.35">
      <c r="A3149" s="2" t="s">
        <v>1042</v>
      </c>
      <c r="B3149" s="2" t="s">
        <v>339</v>
      </c>
      <c r="C3149" s="2" t="s">
        <v>1141</v>
      </c>
      <c r="D3149" s="2" t="s">
        <v>1142</v>
      </c>
      <c r="E3149" s="2" t="s">
        <v>347</v>
      </c>
      <c r="F3149" s="3">
        <v>104.63</v>
      </c>
      <c r="G3149" s="4">
        <v>1</v>
      </c>
      <c r="H3149" s="5">
        <v>0</v>
      </c>
    </row>
    <row r="3150" spans="1:8" x14ac:dyDescent="0.35">
      <c r="A3150" s="2" t="s">
        <v>1042</v>
      </c>
      <c r="B3150" s="2" t="s">
        <v>339</v>
      </c>
      <c r="C3150" s="2" t="s">
        <v>1143</v>
      </c>
      <c r="D3150" s="2" t="s">
        <v>1144</v>
      </c>
      <c r="E3150" s="2" t="s">
        <v>248</v>
      </c>
      <c r="F3150" s="3">
        <v>101.24</v>
      </c>
      <c r="G3150" s="4">
        <v>18</v>
      </c>
      <c r="H3150" s="5">
        <v>1.67E-2</v>
      </c>
    </row>
    <row r="3151" spans="1:8" x14ac:dyDescent="0.35">
      <c r="A3151" s="2" t="s">
        <v>1042</v>
      </c>
      <c r="B3151" s="2" t="s">
        <v>339</v>
      </c>
      <c r="C3151" s="2" t="s">
        <v>1145</v>
      </c>
      <c r="D3151" s="2" t="s">
        <v>1146</v>
      </c>
      <c r="E3151" s="2" t="s">
        <v>258</v>
      </c>
      <c r="F3151" s="3">
        <v>92517.53</v>
      </c>
      <c r="G3151" s="4">
        <v>60</v>
      </c>
      <c r="H3151" s="5">
        <v>1.67E-2</v>
      </c>
    </row>
    <row r="3152" spans="1:8" x14ac:dyDescent="0.35">
      <c r="A3152" s="2" t="s">
        <v>1042</v>
      </c>
      <c r="B3152" s="2" t="s">
        <v>339</v>
      </c>
      <c r="C3152" s="2" t="s">
        <v>1147</v>
      </c>
      <c r="D3152" s="2" t="s">
        <v>1148</v>
      </c>
      <c r="E3152" s="2" t="s">
        <v>260</v>
      </c>
      <c r="F3152" s="3">
        <v>22683.29</v>
      </c>
      <c r="G3152" s="4">
        <v>60</v>
      </c>
      <c r="H3152" s="5">
        <v>1.67E-2</v>
      </c>
    </row>
    <row r="3153" spans="1:8" x14ac:dyDescent="0.35">
      <c r="A3153" s="2" t="s">
        <v>1042</v>
      </c>
      <c r="B3153" s="2" t="s">
        <v>339</v>
      </c>
      <c r="C3153" s="2" t="s">
        <v>1149</v>
      </c>
      <c r="D3153" s="2" t="s">
        <v>1150</v>
      </c>
      <c r="E3153" s="2" t="s">
        <v>271</v>
      </c>
      <c r="F3153" s="3">
        <v>69425.2</v>
      </c>
      <c r="G3153" s="4">
        <v>60</v>
      </c>
      <c r="H3153" s="5">
        <v>1.67E-2</v>
      </c>
    </row>
    <row r="3154" spans="1:8" x14ac:dyDescent="0.35">
      <c r="A3154" s="2" t="s">
        <v>1042</v>
      </c>
      <c r="B3154" s="2" t="s">
        <v>339</v>
      </c>
      <c r="C3154" s="2" t="s">
        <v>1151</v>
      </c>
      <c r="D3154" s="2" t="s">
        <v>1152</v>
      </c>
      <c r="E3154" s="2" t="s">
        <v>260</v>
      </c>
      <c r="F3154" s="3">
        <v>23500</v>
      </c>
      <c r="G3154" s="4">
        <v>60</v>
      </c>
      <c r="H3154" s="5">
        <v>1.67E-2</v>
      </c>
    </row>
    <row r="3155" spans="1:8" x14ac:dyDescent="0.35">
      <c r="A3155" s="2" t="s">
        <v>1042</v>
      </c>
      <c r="B3155" s="2" t="s">
        <v>339</v>
      </c>
      <c r="C3155" s="2" t="s">
        <v>1153</v>
      </c>
      <c r="D3155" s="2" t="s">
        <v>1154</v>
      </c>
      <c r="E3155" s="2" t="s">
        <v>260</v>
      </c>
      <c r="F3155" s="3">
        <v>31002</v>
      </c>
      <c r="G3155" s="4">
        <v>60</v>
      </c>
      <c r="H3155" s="5">
        <v>1.67E-2</v>
      </c>
    </row>
    <row r="3156" spans="1:8" x14ac:dyDescent="0.35">
      <c r="A3156" s="2" t="s">
        <v>1042</v>
      </c>
      <c r="B3156" s="2" t="s">
        <v>339</v>
      </c>
      <c r="C3156" s="2" t="s">
        <v>1155</v>
      </c>
      <c r="D3156" s="2" t="s">
        <v>1156</v>
      </c>
      <c r="E3156" s="2" t="s">
        <v>470</v>
      </c>
      <c r="F3156" s="3">
        <v>164.02</v>
      </c>
      <c r="G3156" s="4">
        <v>6</v>
      </c>
      <c r="H3156" s="5">
        <v>1.67E-2</v>
      </c>
    </row>
    <row r="3157" spans="1:8" x14ac:dyDescent="0.35">
      <c r="A3157" s="2" t="s">
        <v>1042</v>
      </c>
      <c r="B3157" s="2" t="s">
        <v>339</v>
      </c>
      <c r="C3157" s="2" t="s">
        <v>1157</v>
      </c>
      <c r="D3157" s="2" t="s">
        <v>1158</v>
      </c>
      <c r="E3157" s="2" t="s">
        <v>489</v>
      </c>
      <c r="F3157" s="3">
        <v>1982.51</v>
      </c>
      <c r="G3157" s="4">
        <v>60</v>
      </c>
      <c r="H3157" s="5">
        <v>1.67E-2</v>
      </c>
    </row>
    <row r="3158" spans="1:8" x14ac:dyDescent="0.35">
      <c r="A3158" s="2" t="s">
        <v>1042</v>
      </c>
      <c r="B3158" s="2" t="s">
        <v>339</v>
      </c>
      <c r="C3158" s="2" t="s">
        <v>1159</v>
      </c>
      <c r="D3158" s="2" t="s">
        <v>1160</v>
      </c>
      <c r="E3158" s="2" t="s">
        <v>1161</v>
      </c>
      <c r="F3158" s="3">
        <v>634</v>
      </c>
      <c r="G3158" s="4">
        <v>36</v>
      </c>
      <c r="H3158" s="5">
        <v>1.67E-2</v>
      </c>
    </row>
    <row r="3159" spans="1:8" x14ac:dyDescent="0.35">
      <c r="A3159" s="2" t="s">
        <v>1042</v>
      </c>
      <c r="B3159" s="2" t="s">
        <v>339</v>
      </c>
      <c r="C3159" s="2" t="s">
        <v>1162</v>
      </c>
      <c r="D3159" s="2" t="s">
        <v>1163</v>
      </c>
      <c r="E3159" s="2" t="s">
        <v>115</v>
      </c>
      <c r="F3159" s="3">
        <v>80</v>
      </c>
      <c r="G3159" s="4">
        <v>18</v>
      </c>
      <c r="H3159" s="5">
        <v>1.67E-2</v>
      </c>
    </row>
    <row r="3160" spans="1:8" x14ac:dyDescent="0.35">
      <c r="A3160" s="2" t="s">
        <v>1042</v>
      </c>
      <c r="B3160" s="2" t="s">
        <v>339</v>
      </c>
      <c r="C3160" s="2" t="s">
        <v>1164</v>
      </c>
      <c r="D3160" s="2" t="s">
        <v>1165</v>
      </c>
      <c r="E3160" s="2" t="s">
        <v>836</v>
      </c>
      <c r="F3160" s="3">
        <v>211.41</v>
      </c>
      <c r="G3160" s="4">
        <v>18</v>
      </c>
      <c r="H3160" s="5">
        <v>1.67E-2</v>
      </c>
    </row>
    <row r="3161" spans="1:8" x14ac:dyDescent="0.35">
      <c r="A3161" s="2" t="s">
        <v>1042</v>
      </c>
      <c r="B3161" s="2" t="s">
        <v>339</v>
      </c>
      <c r="C3161" s="2" t="s">
        <v>1166</v>
      </c>
      <c r="D3161" s="2" t="s">
        <v>1167</v>
      </c>
      <c r="E3161" s="2" t="s">
        <v>315</v>
      </c>
      <c r="F3161" s="3">
        <v>48.22</v>
      </c>
      <c r="G3161" s="4">
        <v>18</v>
      </c>
      <c r="H3161" s="5">
        <v>1.67E-2</v>
      </c>
    </row>
    <row r="3162" spans="1:8" x14ac:dyDescent="0.35">
      <c r="A3162" s="2" t="s">
        <v>1042</v>
      </c>
      <c r="B3162" s="2" t="s">
        <v>339</v>
      </c>
      <c r="C3162" s="2" t="s">
        <v>1168</v>
      </c>
      <c r="D3162" s="2" t="s">
        <v>1169</v>
      </c>
      <c r="E3162" s="2" t="s">
        <v>344</v>
      </c>
      <c r="F3162" s="3">
        <v>200</v>
      </c>
      <c r="G3162" s="4">
        <v>1</v>
      </c>
      <c r="H3162" s="5">
        <v>7.4999999999999997E-3</v>
      </c>
    </row>
    <row r="3163" spans="1:8" x14ac:dyDescent="0.35">
      <c r="A3163" s="2" t="s">
        <v>1042</v>
      </c>
      <c r="B3163" s="2" t="s">
        <v>339</v>
      </c>
      <c r="C3163" s="2" t="s">
        <v>1170</v>
      </c>
      <c r="D3163" s="2" t="s">
        <v>1171</v>
      </c>
      <c r="E3163" s="2" t="s">
        <v>398</v>
      </c>
      <c r="F3163" s="3">
        <v>19.18</v>
      </c>
      <c r="G3163" s="4">
        <v>18</v>
      </c>
      <c r="H3163" s="5">
        <v>1.67E-2</v>
      </c>
    </row>
    <row r="3164" spans="1:8" x14ac:dyDescent="0.35">
      <c r="A3164" s="2" t="s">
        <v>1042</v>
      </c>
      <c r="B3164" s="2" t="s">
        <v>339</v>
      </c>
      <c r="C3164" s="2" t="s">
        <v>1172</v>
      </c>
      <c r="D3164" s="2" t="s">
        <v>1173</v>
      </c>
      <c r="E3164" s="2" t="s">
        <v>322</v>
      </c>
      <c r="F3164" s="3">
        <v>267.68</v>
      </c>
      <c r="G3164" s="4">
        <v>60</v>
      </c>
      <c r="H3164" s="5">
        <v>1.67E-2</v>
      </c>
    </row>
    <row r="3165" spans="1:8" x14ac:dyDescent="0.35">
      <c r="A3165" s="2" t="s">
        <v>1042</v>
      </c>
      <c r="B3165" s="2" t="s">
        <v>339</v>
      </c>
      <c r="C3165" s="2" t="s">
        <v>1174</v>
      </c>
      <c r="D3165" s="2" t="s">
        <v>1175</v>
      </c>
      <c r="E3165" s="2" t="s">
        <v>1176</v>
      </c>
      <c r="F3165" s="3">
        <v>396.5</v>
      </c>
      <c r="G3165" s="4">
        <v>36</v>
      </c>
      <c r="H3165" s="5">
        <v>1.67E-2</v>
      </c>
    </row>
    <row r="3166" spans="1:8" x14ac:dyDescent="0.35">
      <c r="A3166" s="2" t="s">
        <v>1042</v>
      </c>
      <c r="B3166" s="2" t="s">
        <v>339</v>
      </c>
      <c r="C3166" s="2" t="s">
        <v>837</v>
      </c>
      <c r="D3166" s="2" t="s">
        <v>838</v>
      </c>
      <c r="E3166" s="2" t="s">
        <v>452</v>
      </c>
      <c r="F3166" s="3">
        <v>129.29</v>
      </c>
      <c r="G3166" s="4">
        <v>1</v>
      </c>
      <c r="H3166" s="5">
        <v>0</v>
      </c>
    </row>
    <row r="3167" spans="1:8" x14ac:dyDescent="0.35">
      <c r="A3167" s="2" t="s">
        <v>1042</v>
      </c>
      <c r="B3167" s="2" t="s">
        <v>339</v>
      </c>
      <c r="C3167" s="2" t="s">
        <v>1177</v>
      </c>
      <c r="D3167" s="2" t="s">
        <v>1065</v>
      </c>
      <c r="E3167" s="2" t="s">
        <v>443</v>
      </c>
      <c r="F3167" s="3">
        <v>991.25</v>
      </c>
      <c r="G3167" s="4">
        <v>36</v>
      </c>
      <c r="H3167" s="5">
        <v>1.67E-2</v>
      </c>
    </row>
    <row r="3168" spans="1:8" x14ac:dyDescent="0.35">
      <c r="A3168" s="2" t="s">
        <v>1042</v>
      </c>
      <c r="B3168" s="2" t="s">
        <v>339</v>
      </c>
      <c r="C3168" s="2" t="s">
        <v>1178</v>
      </c>
      <c r="D3168" s="2" t="s">
        <v>1179</v>
      </c>
      <c r="E3168" s="2" t="s">
        <v>102</v>
      </c>
      <c r="F3168" s="3">
        <v>94.17</v>
      </c>
      <c r="G3168" s="4">
        <v>1</v>
      </c>
      <c r="H3168" s="5">
        <v>0</v>
      </c>
    </row>
    <row r="3169" spans="1:8" x14ac:dyDescent="0.35">
      <c r="A3169" s="2" t="s">
        <v>1042</v>
      </c>
      <c r="B3169" s="2" t="s">
        <v>339</v>
      </c>
      <c r="C3169" s="2" t="s">
        <v>1180</v>
      </c>
      <c r="D3169" s="2" t="s">
        <v>1181</v>
      </c>
      <c r="E3169" s="2" t="s">
        <v>300</v>
      </c>
      <c r="F3169" s="3">
        <v>23.54</v>
      </c>
      <c r="G3169" s="4">
        <v>36</v>
      </c>
      <c r="H3169" s="5">
        <v>1.67E-2</v>
      </c>
    </row>
    <row r="3170" spans="1:8" x14ac:dyDescent="0.35">
      <c r="A3170" s="2" t="s">
        <v>1042</v>
      </c>
      <c r="B3170" s="2" t="s">
        <v>339</v>
      </c>
      <c r="C3170" s="2" t="s">
        <v>1182</v>
      </c>
      <c r="D3170" s="2" t="s">
        <v>1183</v>
      </c>
      <c r="E3170" s="2" t="s">
        <v>564</v>
      </c>
      <c r="F3170" s="3">
        <v>44.94</v>
      </c>
      <c r="G3170" s="4">
        <v>36</v>
      </c>
      <c r="H3170" s="5">
        <v>1.67E-2</v>
      </c>
    </row>
    <row r="3171" spans="1:8" x14ac:dyDescent="0.35">
      <c r="A3171" s="2" t="s">
        <v>1184</v>
      </c>
      <c r="B3171" s="2" t="s">
        <v>509</v>
      </c>
      <c r="C3171" s="2" t="s">
        <v>1185</v>
      </c>
      <c r="D3171" s="2" t="s">
        <v>1186</v>
      </c>
      <c r="E3171" s="2" t="s">
        <v>71</v>
      </c>
      <c r="F3171" s="3">
        <v>259.2</v>
      </c>
      <c r="G3171" s="4">
        <v>1</v>
      </c>
      <c r="H3171" s="5">
        <v>0</v>
      </c>
    </row>
    <row r="3172" spans="1:8" x14ac:dyDescent="0.35">
      <c r="A3172" s="2" t="s">
        <v>1184</v>
      </c>
      <c r="B3172" s="2" t="s">
        <v>509</v>
      </c>
      <c r="C3172" s="2" t="s">
        <v>1187</v>
      </c>
      <c r="D3172" s="2" t="s">
        <v>1188</v>
      </c>
      <c r="E3172" s="2" t="s">
        <v>950</v>
      </c>
      <c r="F3172" s="3">
        <v>51.93</v>
      </c>
      <c r="G3172" s="4">
        <v>1</v>
      </c>
      <c r="H3172" s="5">
        <v>0</v>
      </c>
    </row>
    <row r="3173" spans="1:8" x14ac:dyDescent="0.35">
      <c r="A3173" s="2" t="s">
        <v>1184</v>
      </c>
      <c r="B3173" s="2" t="s">
        <v>509</v>
      </c>
      <c r="C3173" s="2" t="s">
        <v>1189</v>
      </c>
      <c r="D3173" s="2" t="s">
        <v>1190</v>
      </c>
      <c r="E3173" s="2" t="s">
        <v>1191</v>
      </c>
      <c r="F3173" s="3">
        <v>103.85</v>
      </c>
      <c r="G3173" s="4">
        <v>36</v>
      </c>
      <c r="H3173" s="5">
        <v>0</v>
      </c>
    </row>
    <row r="3174" spans="1:8" x14ac:dyDescent="0.35">
      <c r="A3174" s="2" t="s">
        <v>1184</v>
      </c>
      <c r="B3174" s="2" t="s">
        <v>509</v>
      </c>
      <c r="C3174" s="2" t="s">
        <v>1192</v>
      </c>
      <c r="D3174" s="2" t="s">
        <v>1193</v>
      </c>
      <c r="E3174" s="2" t="s">
        <v>46</v>
      </c>
      <c r="F3174" s="3">
        <v>3784</v>
      </c>
      <c r="G3174" s="4">
        <v>1</v>
      </c>
      <c r="H3174" s="5">
        <v>7.4999999999999997E-3</v>
      </c>
    </row>
    <row r="3175" spans="1:8" x14ac:dyDescent="0.35">
      <c r="A3175" s="2" t="s">
        <v>1184</v>
      </c>
      <c r="B3175" s="2" t="s">
        <v>509</v>
      </c>
      <c r="C3175" s="2" t="s">
        <v>1194</v>
      </c>
      <c r="D3175" s="2" t="s">
        <v>1195</v>
      </c>
      <c r="E3175" s="2" t="s">
        <v>950</v>
      </c>
      <c r="F3175" s="3">
        <v>51.93</v>
      </c>
      <c r="G3175" s="4">
        <v>60</v>
      </c>
      <c r="H3175" s="5">
        <v>0</v>
      </c>
    </row>
    <row r="3176" spans="1:8" ht="14.5" customHeight="1" x14ac:dyDescent="0.35">
      <c r="A3176" s="2" t="s">
        <v>1184</v>
      </c>
      <c r="B3176" s="2" t="s">
        <v>509</v>
      </c>
      <c r="C3176" s="2" t="s">
        <v>1196</v>
      </c>
      <c r="D3176" s="2" t="s">
        <v>1197</v>
      </c>
      <c r="E3176" s="2" t="s">
        <v>567</v>
      </c>
      <c r="F3176" s="3">
        <v>19.829999999999998</v>
      </c>
      <c r="G3176" s="4">
        <v>1</v>
      </c>
      <c r="H3176" s="5">
        <v>0</v>
      </c>
    </row>
    <row r="3177" spans="1:8" x14ac:dyDescent="0.35">
      <c r="A3177" s="2" t="s">
        <v>1184</v>
      </c>
      <c r="B3177" s="2" t="s">
        <v>509</v>
      </c>
      <c r="C3177" s="2" t="s">
        <v>1198</v>
      </c>
      <c r="D3177" s="2" t="s">
        <v>1199</v>
      </c>
      <c r="E3177" s="2" t="s">
        <v>525</v>
      </c>
      <c r="F3177" s="3">
        <v>140.11000000000001</v>
      </c>
      <c r="G3177" s="4">
        <v>36</v>
      </c>
      <c r="H3177" s="5">
        <v>0</v>
      </c>
    </row>
    <row r="3178" spans="1:8" x14ac:dyDescent="0.35">
      <c r="A3178" s="2" t="s">
        <v>1184</v>
      </c>
      <c r="B3178" s="2" t="s">
        <v>509</v>
      </c>
      <c r="C3178" s="2" t="s">
        <v>1200</v>
      </c>
      <c r="D3178" s="2" t="s">
        <v>1201</v>
      </c>
      <c r="E3178" s="2" t="s">
        <v>158</v>
      </c>
      <c r="F3178" s="3">
        <v>2163.58</v>
      </c>
      <c r="G3178" s="4">
        <v>1</v>
      </c>
      <c r="H3178" s="5">
        <v>7.4999999999999997E-3</v>
      </c>
    </row>
    <row r="3179" spans="1:8" ht="14.5" customHeight="1" x14ac:dyDescent="0.35">
      <c r="A3179" s="2" t="s">
        <v>1184</v>
      </c>
      <c r="B3179" s="2" t="s">
        <v>509</v>
      </c>
      <c r="C3179" s="2" t="s">
        <v>1202</v>
      </c>
      <c r="D3179" s="2" t="s">
        <v>1203</v>
      </c>
      <c r="E3179" s="2" t="s">
        <v>92</v>
      </c>
      <c r="F3179" s="3">
        <v>922.59</v>
      </c>
      <c r="G3179" s="4">
        <v>36</v>
      </c>
      <c r="H3179" s="5">
        <v>0</v>
      </c>
    </row>
    <row r="3180" spans="1:8" x14ac:dyDescent="0.35">
      <c r="A3180" s="2" t="s">
        <v>1184</v>
      </c>
      <c r="B3180" s="2" t="s">
        <v>509</v>
      </c>
      <c r="C3180" s="2" t="s">
        <v>1204</v>
      </c>
      <c r="D3180" s="2" t="s">
        <v>1205</v>
      </c>
      <c r="E3180" s="2" t="s">
        <v>1206</v>
      </c>
      <c r="F3180" s="3">
        <v>259.2</v>
      </c>
      <c r="G3180" s="4">
        <v>36</v>
      </c>
      <c r="H3180" s="5">
        <v>0</v>
      </c>
    </row>
    <row r="3181" spans="1:8" x14ac:dyDescent="0.35">
      <c r="A3181" s="2" t="s">
        <v>1184</v>
      </c>
      <c r="B3181" s="2" t="s">
        <v>509</v>
      </c>
      <c r="C3181" s="2" t="s">
        <v>1207</v>
      </c>
      <c r="D3181" s="2" t="s">
        <v>1208</v>
      </c>
      <c r="E3181" s="2" t="s">
        <v>1051</v>
      </c>
      <c r="F3181" s="3">
        <v>281.26</v>
      </c>
      <c r="G3181" s="4">
        <v>12</v>
      </c>
      <c r="H3181" s="5">
        <v>7.4999999999999997E-3</v>
      </c>
    </row>
    <row r="3182" spans="1:8" ht="14.5" customHeight="1" x14ac:dyDescent="0.35">
      <c r="A3182" s="2" t="s">
        <v>1184</v>
      </c>
      <c r="B3182" s="2" t="s">
        <v>509</v>
      </c>
      <c r="C3182" s="2" t="s">
        <v>1209</v>
      </c>
      <c r="D3182" s="2" t="s">
        <v>1210</v>
      </c>
      <c r="E3182" s="2" t="s">
        <v>567</v>
      </c>
      <c r="F3182" s="3">
        <v>19.829999999999998</v>
      </c>
      <c r="G3182" s="4">
        <v>1</v>
      </c>
      <c r="H3182" s="5">
        <v>0</v>
      </c>
    </row>
    <row r="3183" spans="1:8" x14ac:dyDescent="0.35">
      <c r="A3183" s="2" t="s">
        <v>1184</v>
      </c>
      <c r="B3183" s="2" t="s">
        <v>509</v>
      </c>
      <c r="C3183" s="2" t="s">
        <v>1211</v>
      </c>
      <c r="D3183" s="2" t="s">
        <v>1212</v>
      </c>
      <c r="E3183" s="2" t="s">
        <v>158</v>
      </c>
      <c r="F3183" s="3">
        <v>2163.58</v>
      </c>
      <c r="G3183" s="4">
        <v>1</v>
      </c>
      <c r="H3183" s="5">
        <v>7.4999999999999997E-3</v>
      </c>
    </row>
    <row r="3184" spans="1:8" x14ac:dyDescent="0.35">
      <c r="A3184" s="2" t="s">
        <v>1184</v>
      </c>
      <c r="B3184" s="2" t="s">
        <v>509</v>
      </c>
      <c r="C3184" s="2" t="s">
        <v>1213</v>
      </c>
      <c r="D3184" s="2" t="s">
        <v>1214</v>
      </c>
      <c r="E3184" s="2" t="s">
        <v>470</v>
      </c>
      <c r="F3184" s="3">
        <v>116.83</v>
      </c>
      <c r="G3184" s="4">
        <v>6</v>
      </c>
      <c r="H3184" s="5">
        <v>0</v>
      </c>
    </row>
    <row r="3185" spans="1:8" ht="14.5" customHeight="1" x14ac:dyDescent="0.35">
      <c r="A3185" s="2" t="s">
        <v>1184</v>
      </c>
      <c r="B3185" s="2" t="s">
        <v>509</v>
      </c>
      <c r="C3185" s="2" t="s">
        <v>1215</v>
      </c>
      <c r="D3185" s="2" t="s">
        <v>1216</v>
      </c>
      <c r="E3185" s="2" t="s">
        <v>415</v>
      </c>
      <c r="F3185" s="3">
        <v>17308.599999999999</v>
      </c>
      <c r="G3185" s="4">
        <v>3</v>
      </c>
      <c r="H3185" s="5">
        <v>7.4999999999999997E-3</v>
      </c>
    </row>
    <row r="3186" spans="1:8" x14ac:dyDescent="0.35">
      <c r="A3186" s="2" t="s">
        <v>1184</v>
      </c>
      <c r="B3186" s="2" t="s">
        <v>509</v>
      </c>
      <c r="C3186" s="2" t="s">
        <v>1217</v>
      </c>
      <c r="D3186" s="2" t="s">
        <v>1218</v>
      </c>
      <c r="E3186" s="2" t="s">
        <v>322</v>
      </c>
      <c r="F3186" s="3">
        <v>27.69</v>
      </c>
      <c r="G3186" s="4">
        <v>60</v>
      </c>
      <c r="H3186" s="5">
        <v>0</v>
      </c>
    </row>
    <row r="3187" spans="1:8" x14ac:dyDescent="0.35">
      <c r="A3187" s="2" t="s">
        <v>1184</v>
      </c>
      <c r="B3187" s="2" t="s">
        <v>509</v>
      </c>
      <c r="C3187" s="2" t="s">
        <v>1219</v>
      </c>
      <c r="D3187" s="2" t="s">
        <v>1220</v>
      </c>
      <c r="E3187" s="2" t="s">
        <v>35</v>
      </c>
      <c r="F3187" s="3">
        <v>562.53</v>
      </c>
      <c r="G3187" s="4">
        <v>60</v>
      </c>
      <c r="H3187" s="5">
        <v>0</v>
      </c>
    </row>
    <row r="3188" spans="1:8" x14ac:dyDescent="0.35">
      <c r="A3188" s="2" t="s">
        <v>1184</v>
      </c>
      <c r="B3188" s="2" t="s">
        <v>509</v>
      </c>
      <c r="C3188" s="2" t="s">
        <v>1221</v>
      </c>
      <c r="D3188" s="2" t="s">
        <v>1222</v>
      </c>
      <c r="E3188" s="2" t="s">
        <v>260</v>
      </c>
      <c r="F3188" s="3">
        <v>19472.18</v>
      </c>
      <c r="G3188" s="4">
        <v>26</v>
      </c>
      <c r="H3188" s="5">
        <v>7.4999999999999997E-3</v>
      </c>
    </row>
    <row r="3189" spans="1:8" ht="14.5" customHeight="1" x14ac:dyDescent="0.35">
      <c r="A3189" s="2" t="s">
        <v>1184</v>
      </c>
      <c r="B3189" s="2" t="s">
        <v>509</v>
      </c>
      <c r="C3189" s="2" t="s">
        <v>1223</v>
      </c>
      <c r="D3189" s="2" t="s">
        <v>1224</v>
      </c>
      <c r="E3189" s="2" t="s">
        <v>412</v>
      </c>
      <c r="F3189" s="3">
        <v>5062.7700000000004</v>
      </c>
      <c r="G3189" s="4">
        <v>3</v>
      </c>
      <c r="H3189" s="5">
        <v>0</v>
      </c>
    </row>
    <row r="3190" spans="1:8" x14ac:dyDescent="0.35">
      <c r="A3190" s="2" t="s">
        <v>1184</v>
      </c>
      <c r="B3190" s="2" t="s">
        <v>509</v>
      </c>
      <c r="C3190" s="2" t="s">
        <v>1225</v>
      </c>
      <c r="D3190" s="2" t="s">
        <v>1226</v>
      </c>
      <c r="E3190" s="2" t="s">
        <v>437</v>
      </c>
      <c r="F3190" s="3">
        <v>1790.57</v>
      </c>
      <c r="G3190" s="4">
        <v>36</v>
      </c>
      <c r="H3190" s="5">
        <v>7.4999999999999997E-3</v>
      </c>
    </row>
    <row r="3191" spans="1:8" x14ac:dyDescent="0.35">
      <c r="A3191" s="2" t="s">
        <v>1184</v>
      </c>
      <c r="B3191" s="2" t="s">
        <v>509</v>
      </c>
      <c r="C3191" s="2" t="s">
        <v>1227</v>
      </c>
      <c r="D3191" s="2" t="s">
        <v>1228</v>
      </c>
      <c r="E3191" s="2" t="s">
        <v>1229</v>
      </c>
      <c r="F3191" s="3">
        <v>11.02</v>
      </c>
      <c r="G3191" s="4">
        <v>6</v>
      </c>
      <c r="H3191" s="5">
        <v>0</v>
      </c>
    </row>
    <row r="3192" spans="1:8" x14ac:dyDescent="0.35">
      <c r="A3192" s="2" t="s">
        <v>1184</v>
      </c>
      <c r="B3192" s="2" t="s">
        <v>509</v>
      </c>
      <c r="C3192" s="2" t="s">
        <v>1230</v>
      </c>
      <c r="D3192" s="2" t="s">
        <v>1231</v>
      </c>
      <c r="E3192" s="2" t="s">
        <v>567</v>
      </c>
      <c r="F3192" s="3">
        <v>14.63</v>
      </c>
      <c r="G3192" s="4">
        <v>1</v>
      </c>
      <c r="H3192" s="5">
        <v>0</v>
      </c>
    </row>
    <row r="3193" spans="1:8" x14ac:dyDescent="0.35">
      <c r="A3193" s="2" t="s">
        <v>1184</v>
      </c>
      <c r="B3193" s="2" t="s">
        <v>509</v>
      </c>
      <c r="C3193" s="2" t="s">
        <v>1232</v>
      </c>
      <c r="D3193" s="2" t="s">
        <v>1233</v>
      </c>
      <c r="E3193" s="2" t="s">
        <v>570</v>
      </c>
      <c r="F3193" s="3">
        <v>19.829999999999998</v>
      </c>
      <c r="G3193" s="4">
        <v>1</v>
      </c>
      <c r="H3193" s="5">
        <v>0</v>
      </c>
    </row>
    <row r="3194" spans="1:8" x14ac:dyDescent="0.35">
      <c r="A3194" s="2" t="s">
        <v>1184</v>
      </c>
      <c r="B3194" s="2" t="s">
        <v>509</v>
      </c>
      <c r="C3194" s="2" t="s">
        <v>1234</v>
      </c>
      <c r="D3194" s="2" t="s">
        <v>1235</v>
      </c>
      <c r="E3194" s="2" t="s">
        <v>525</v>
      </c>
      <c r="F3194" s="3">
        <v>234.83</v>
      </c>
      <c r="G3194" s="4">
        <v>36</v>
      </c>
      <c r="H3194" s="5">
        <v>0</v>
      </c>
    </row>
    <row r="3195" spans="1:8" x14ac:dyDescent="0.35">
      <c r="A3195" s="2" t="s">
        <v>1184</v>
      </c>
      <c r="B3195" s="2" t="s">
        <v>509</v>
      </c>
      <c r="C3195" s="2" t="s">
        <v>1236</v>
      </c>
      <c r="D3195" s="2" t="s">
        <v>1237</v>
      </c>
      <c r="E3195" s="2" t="s">
        <v>1238</v>
      </c>
      <c r="F3195" s="3">
        <v>259.2</v>
      </c>
      <c r="G3195" s="4">
        <v>36</v>
      </c>
      <c r="H3195" s="5">
        <v>0</v>
      </c>
    </row>
    <row r="3196" spans="1:8" x14ac:dyDescent="0.35">
      <c r="A3196" s="2" t="s">
        <v>1184</v>
      </c>
      <c r="B3196" s="2" t="s">
        <v>509</v>
      </c>
      <c r="C3196" s="2" t="s">
        <v>1239</v>
      </c>
      <c r="D3196" s="2" t="s">
        <v>1240</v>
      </c>
      <c r="E3196" s="2" t="s">
        <v>489</v>
      </c>
      <c r="F3196" s="3">
        <v>1298.1400000000001</v>
      </c>
      <c r="G3196" s="4">
        <v>1</v>
      </c>
      <c r="H3196" s="5">
        <v>7.4999999999999997E-3</v>
      </c>
    </row>
    <row r="3197" spans="1:8" ht="14.5" customHeight="1" x14ac:dyDescent="0.35">
      <c r="A3197" s="2" t="s">
        <v>1184</v>
      </c>
      <c r="B3197" s="2" t="s">
        <v>509</v>
      </c>
      <c r="C3197" s="2" t="s">
        <v>1241</v>
      </c>
      <c r="D3197" s="2" t="s">
        <v>1242</v>
      </c>
      <c r="E3197" s="2" t="s">
        <v>461</v>
      </c>
      <c r="F3197" s="3">
        <v>259.63</v>
      </c>
      <c r="G3197" s="4">
        <v>60</v>
      </c>
      <c r="H3197" s="5">
        <v>0</v>
      </c>
    </row>
    <row r="3198" spans="1:8" ht="14.5" customHeight="1" x14ac:dyDescent="0.35">
      <c r="A3198" s="2" t="s">
        <v>1184</v>
      </c>
      <c r="B3198" s="2" t="s">
        <v>509</v>
      </c>
      <c r="C3198" s="2" t="s">
        <v>1243</v>
      </c>
      <c r="D3198" s="2" t="s">
        <v>1244</v>
      </c>
      <c r="E3198" s="2" t="s">
        <v>59</v>
      </c>
      <c r="F3198" s="3">
        <v>216.36</v>
      </c>
      <c r="G3198" s="4">
        <v>60</v>
      </c>
      <c r="H3198" s="5">
        <v>0</v>
      </c>
    </row>
    <row r="3199" spans="1:8" x14ac:dyDescent="0.35">
      <c r="A3199" s="2" t="s">
        <v>1184</v>
      </c>
      <c r="B3199" s="2" t="s">
        <v>509</v>
      </c>
      <c r="C3199" s="2" t="s">
        <v>1245</v>
      </c>
      <c r="D3199" s="2" t="s">
        <v>1246</v>
      </c>
      <c r="E3199" s="2" t="s">
        <v>300</v>
      </c>
      <c r="F3199" s="3">
        <v>25.96</v>
      </c>
      <c r="G3199" s="4">
        <v>60</v>
      </c>
      <c r="H3199" s="5">
        <v>0</v>
      </c>
    </row>
    <row r="3200" spans="1:8" ht="14.5" customHeight="1" x14ac:dyDescent="0.35">
      <c r="A3200" s="2" t="s">
        <v>1184</v>
      </c>
      <c r="B3200" s="2" t="s">
        <v>509</v>
      </c>
      <c r="C3200" s="2" t="s">
        <v>1247</v>
      </c>
      <c r="D3200" s="2" t="s">
        <v>1248</v>
      </c>
      <c r="E3200" s="2" t="s">
        <v>215</v>
      </c>
      <c r="F3200" s="3">
        <v>69.23</v>
      </c>
      <c r="G3200" s="4">
        <v>4</v>
      </c>
      <c r="H3200" s="5">
        <v>0</v>
      </c>
    </row>
    <row r="3201" spans="1:8" x14ac:dyDescent="0.35">
      <c r="A3201" s="2" t="s">
        <v>1184</v>
      </c>
      <c r="B3201" s="2" t="s">
        <v>509</v>
      </c>
      <c r="C3201" s="2" t="s">
        <v>1249</v>
      </c>
      <c r="D3201" s="2" t="s">
        <v>1250</v>
      </c>
      <c r="E3201" s="2" t="s">
        <v>24</v>
      </c>
      <c r="F3201" s="3">
        <v>273.98</v>
      </c>
      <c r="G3201" s="4">
        <v>12</v>
      </c>
      <c r="H3201" s="5">
        <v>7.4999999999999997E-3</v>
      </c>
    </row>
    <row r="3202" spans="1:8" ht="14.5" customHeight="1" x14ac:dyDescent="0.35">
      <c r="A3202" s="2" t="s">
        <v>1184</v>
      </c>
      <c r="B3202" s="2" t="s">
        <v>509</v>
      </c>
      <c r="C3202" s="2" t="s">
        <v>1251</v>
      </c>
      <c r="D3202" s="2" t="s">
        <v>1252</v>
      </c>
      <c r="E3202" s="2" t="s">
        <v>1034</v>
      </c>
      <c r="F3202" s="3">
        <v>249.24</v>
      </c>
      <c r="G3202" s="4">
        <v>60</v>
      </c>
      <c r="H3202" s="5">
        <v>0</v>
      </c>
    </row>
    <row r="3203" spans="1:8" ht="14.5" customHeight="1" x14ac:dyDescent="0.35">
      <c r="A3203" s="2" t="s">
        <v>1184</v>
      </c>
      <c r="B3203" s="2" t="s">
        <v>509</v>
      </c>
      <c r="C3203" s="2" t="s">
        <v>1253</v>
      </c>
      <c r="D3203" s="2" t="s">
        <v>1254</v>
      </c>
      <c r="E3203" s="2" t="s">
        <v>226</v>
      </c>
      <c r="F3203" s="3">
        <v>2726.1</v>
      </c>
      <c r="G3203" s="4">
        <v>60</v>
      </c>
      <c r="H3203" s="5">
        <v>7.4999999999999997E-3</v>
      </c>
    </row>
    <row r="3204" spans="1:8" ht="14.5" customHeight="1" x14ac:dyDescent="0.35">
      <c r="A3204" s="2" t="s">
        <v>1184</v>
      </c>
      <c r="B3204" s="2" t="s">
        <v>509</v>
      </c>
      <c r="C3204" s="2" t="s">
        <v>1255</v>
      </c>
      <c r="D3204" s="2" t="s">
        <v>1256</v>
      </c>
      <c r="E3204" s="2" t="s">
        <v>271</v>
      </c>
      <c r="F3204" s="3">
        <v>112505.9</v>
      </c>
      <c r="G3204" s="4">
        <v>36</v>
      </c>
      <c r="H3204" s="5">
        <v>7.4999999999999997E-3</v>
      </c>
    </row>
    <row r="3205" spans="1:8" ht="14.5" customHeight="1" x14ac:dyDescent="0.35">
      <c r="A3205" s="2" t="s">
        <v>1184</v>
      </c>
      <c r="B3205" s="2" t="s">
        <v>509</v>
      </c>
      <c r="C3205" s="2" t="s">
        <v>1257</v>
      </c>
      <c r="D3205" s="2" t="s">
        <v>1258</v>
      </c>
      <c r="E3205" s="2" t="s">
        <v>258</v>
      </c>
      <c r="F3205" s="3">
        <v>77888.7</v>
      </c>
      <c r="G3205" s="4">
        <v>36</v>
      </c>
      <c r="H3205" s="5">
        <v>7.4999999999999997E-3</v>
      </c>
    </row>
    <row r="3206" spans="1:8" x14ac:dyDescent="0.35">
      <c r="A3206" s="2" t="s">
        <v>1184</v>
      </c>
      <c r="B3206" s="2" t="s">
        <v>509</v>
      </c>
      <c r="C3206" s="2" t="s">
        <v>1259</v>
      </c>
      <c r="D3206" s="2" t="s">
        <v>1260</v>
      </c>
      <c r="E3206" s="2" t="s">
        <v>1261</v>
      </c>
      <c r="F3206" s="3">
        <v>103.85</v>
      </c>
      <c r="G3206" s="4">
        <v>36</v>
      </c>
      <c r="H3206" s="5">
        <v>0</v>
      </c>
    </row>
    <row r="3207" spans="1:8" ht="14.5" customHeight="1" x14ac:dyDescent="0.35">
      <c r="A3207" s="2" t="s">
        <v>1184</v>
      </c>
      <c r="B3207" s="2" t="s">
        <v>509</v>
      </c>
      <c r="C3207" s="2" t="s">
        <v>1262</v>
      </c>
      <c r="D3207" s="2" t="s">
        <v>1263</v>
      </c>
      <c r="E3207" s="2" t="s">
        <v>102</v>
      </c>
      <c r="F3207" s="3">
        <v>1029</v>
      </c>
      <c r="G3207" s="4">
        <v>36</v>
      </c>
      <c r="H3207" s="5">
        <v>0</v>
      </c>
    </row>
    <row r="3208" spans="1:8" x14ac:dyDescent="0.35">
      <c r="A3208" s="2" t="s">
        <v>1184</v>
      </c>
      <c r="B3208" s="2" t="s">
        <v>509</v>
      </c>
      <c r="C3208" s="2" t="s">
        <v>1264</v>
      </c>
      <c r="D3208" s="2" t="s">
        <v>1265</v>
      </c>
      <c r="E3208" s="2" t="s">
        <v>312</v>
      </c>
      <c r="F3208" s="3">
        <v>172.22</v>
      </c>
      <c r="G3208" s="4">
        <v>36</v>
      </c>
      <c r="H3208" s="5">
        <v>0</v>
      </c>
    </row>
    <row r="3209" spans="1:8" x14ac:dyDescent="0.35">
      <c r="A3209" s="2" t="s">
        <v>1184</v>
      </c>
      <c r="B3209" s="2" t="s">
        <v>509</v>
      </c>
      <c r="C3209" s="2" t="s">
        <v>1266</v>
      </c>
      <c r="D3209" s="2" t="s">
        <v>1267</v>
      </c>
      <c r="E3209" s="2" t="s">
        <v>48</v>
      </c>
      <c r="F3209" s="3">
        <v>234.83</v>
      </c>
      <c r="G3209" s="4">
        <v>36</v>
      </c>
      <c r="H3209" s="5">
        <v>0</v>
      </c>
    </row>
    <row r="3210" spans="1:8" x14ac:dyDescent="0.35">
      <c r="A3210" s="2" t="s">
        <v>1184</v>
      </c>
      <c r="B3210" s="2" t="s">
        <v>509</v>
      </c>
      <c r="C3210" s="2" t="s">
        <v>1268</v>
      </c>
      <c r="D3210" s="2" t="s">
        <v>1269</v>
      </c>
      <c r="E3210" s="2" t="s">
        <v>104</v>
      </c>
      <c r="F3210" s="3">
        <v>23.28</v>
      </c>
      <c r="G3210" s="4">
        <v>12</v>
      </c>
      <c r="H3210" s="5">
        <v>0</v>
      </c>
    </row>
    <row r="3211" spans="1:8" ht="14.5" customHeight="1" x14ac:dyDescent="0.35">
      <c r="A3211" s="2" t="s">
        <v>1184</v>
      </c>
      <c r="B3211" s="2" t="s">
        <v>509</v>
      </c>
      <c r="C3211" s="2" t="s">
        <v>1270</v>
      </c>
      <c r="D3211" s="2" t="s">
        <v>1271</v>
      </c>
      <c r="E3211" s="2" t="s">
        <v>260</v>
      </c>
      <c r="F3211" s="3">
        <v>22068.46</v>
      </c>
      <c r="G3211" s="4">
        <v>36</v>
      </c>
      <c r="H3211" s="5">
        <v>7.4999999999999997E-3</v>
      </c>
    </row>
    <row r="3212" spans="1:8" x14ac:dyDescent="0.35">
      <c r="A3212" s="2" t="s">
        <v>1184</v>
      </c>
      <c r="B3212" s="2" t="s">
        <v>509</v>
      </c>
      <c r="C3212" s="2" t="s">
        <v>1272</v>
      </c>
      <c r="D3212" s="2" t="s">
        <v>1273</v>
      </c>
      <c r="E3212" s="2" t="s">
        <v>315</v>
      </c>
      <c r="F3212" s="3">
        <v>103.85</v>
      </c>
      <c r="G3212" s="4">
        <v>36</v>
      </c>
      <c r="H3212" s="5">
        <v>0</v>
      </c>
    </row>
    <row r="3213" spans="1:8" x14ac:dyDescent="0.35">
      <c r="A3213" s="2" t="s">
        <v>1184</v>
      </c>
      <c r="B3213" s="2" t="s">
        <v>291</v>
      </c>
      <c r="C3213" s="2" t="s">
        <v>1185</v>
      </c>
      <c r="D3213" s="2" t="s">
        <v>1186</v>
      </c>
      <c r="E3213" s="2" t="s">
        <v>71</v>
      </c>
      <c r="F3213" s="3">
        <v>315</v>
      </c>
      <c r="G3213" s="4">
        <v>12</v>
      </c>
      <c r="H3213" s="5">
        <v>0</v>
      </c>
    </row>
    <row r="3214" spans="1:8" x14ac:dyDescent="0.35">
      <c r="A3214" s="2" t="s">
        <v>1184</v>
      </c>
      <c r="B3214" s="2" t="s">
        <v>291</v>
      </c>
      <c r="C3214" s="2" t="s">
        <v>1187</v>
      </c>
      <c r="D3214" s="2" t="s">
        <v>1188</v>
      </c>
      <c r="E3214" s="2" t="s">
        <v>950</v>
      </c>
      <c r="F3214" s="3">
        <v>51.93</v>
      </c>
      <c r="G3214" s="4">
        <v>12</v>
      </c>
      <c r="H3214" s="5">
        <v>0</v>
      </c>
    </row>
    <row r="3215" spans="1:8" x14ac:dyDescent="0.35">
      <c r="A3215" s="2" t="s">
        <v>1184</v>
      </c>
      <c r="B3215" s="2" t="s">
        <v>291</v>
      </c>
      <c r="C3215" s="2" t="s">
        <v>1189</v>
      </c>
      <c r="D3215" s="2" t="s">
        <v>1190</v>
      </c>
      <c r="E3215" s="2" t="s">
        <v>1191</v>
      </c>
      <c r="F3215" s="3">
        <v>103.85</v>
      </c>
      <c r="G3215" s="4">
        <v>12</v>
      </c>
      <c r="H3215" s="5">
        <v>0</v>
      </c>
    </row>
    <row r="3216" spans="1:8" x14ac:dyDescent="0.35">
      <c r="A3216" s="2" t="s">
        <v>1184</v>
      </c>
      <c r="B3216" s="2" t="s">
        <v>291</v>
      </c>
      <c r="C3216" s="2" t="s">
        <v>1192</v>
      </c>
      <c r="D3216" s="2" t="s">
        <v>1193</v>
      </c>
      <c r="E3216" s="2" t="s">
        <v>46</v>
      </c>
      <c r="F3216" s="3">
        <v>3784</v>
      </c>
      <c r="G3216" s="4">
        <v>12</v>
      </c>
      <c r="H3216" s="5">
        <v>7.4999999999999997E-3</v>
      </c>
    </row>
    <row r="3217" spans="1:8" x14ac:dyDescent="0.35">
      <c r="A3217" s="2" t="s">
        <v>1184</v>
      </c>
      <c r="B3217" s="2" t="s">
        <v>291</v>
      </c>
      <c r="C3217" s="2" t="s">
        <v>1194</v>
      </c>
      <c r="D3217" s="2" t="s">
        <v>1195</v>
      </c>
      <c r="E3217" s="2" t="s">
        <v>950</v>
      </c>
      <c r="F3217" s="3">
        <v>51.93</v>
      </c>
      <c r="G3217" s="4">
        <v>12</v>
      </c>
      <c r="H3217" s="5">
        <v>0</v>
      </c>
    </row>
    <row r="3218" spans="1:8" ht="14.5" customHeight="1" x14ac:dyDescent="0.35">
      <c r="A3218" s="2" t="s">
        <v>1184</v>
      </c>
      <c r="B3218" s="2" t="s">
        <v>291</v>
      </c>
      <c r="C3218" s="2" t="s">
        <v>1196</v>
      </c>
      <c r="D3218" s="2" t="s">
        <v>1197</v>
      </c>
      <c r="E3218" s="2" t="s">
        <v>567</v>
      </c>
      <c r="F3218" s="3">
        <v>19.829999999999998</v>
      </c>
      <c r="G3218" s="4">
        <v>1</v>
      </c>
      <c r="H3218" s="5">
        <v>0</v>
      </c>
    </row>
    <row r="3219" spans="1:8" x14ac:dyDescent="0.35">
      <c r="A3219" s="2" t="s">
        <v>1184</v>
      </c>
      <c r="B3219" s="2" t="s">
        <v>291</v>
      </c>
      <c r="C3219" s="2" t="s">
        <v>1198</v>
      </c>
      <c r="D3219" s="2" t="s">
        <v>1199</v>
      </c>
      <c r="E3219" s="2" t="s">
        <v>525</v>
      </c>
      <c r="F3219" s="3">
        <v>140.11000000000001</v>
      </c>
      <c r="G3219" s="4">
        <v>12</v>
      </c>
      <c r="H3219" s="5">
        <v>0</v>
      </c>
    </row>
    <row r="3220" spans="1:8" x14ac:dyDescent="0.35">
      <c r="A3220" s="2" t="s">
        <v>1184</v>
      </c>
      <c r="B3220" s="2" t="s">
        <v>291</v>
      </c>
      <c r="C3220" s="2" t="s">
        <v>1200</v>
      </c>
      <c r="D3220" s="2" t="s">
        <v>1201</v>
      </c>
      <c r="E3220" s="2" t="s">
        <v>158</v>
      </c>
      <c r="F3220" s="3">
        <v>3050</v>
      </c>
      <c r="G3220" s="4">
        <v>12</v>
      </c>
      <c r="H3220" s="5">
        <v>7.4999999999999997E-3</v>
      </c>
    </row>
    <row r="3221" spans="1:8" ht="14.5" customHeight="1" x14ac:dyDescent="0.35">
      <c r="A3221" s="2" t="s">
        <v>1184</v>
      </c>
      <c r="B3221" s="2" t="s">
        <v>291</v>
      </c>
      <c r="C3221" s="2" t="s">
        <v>1202</v>
      </c>
      <c r="D3221" s="2" t="s">
        <v>1203</v>
      </c>
      <c r="E3221" s="2" t="s">
        <v>92</v>
      </c>
      <c r="F3221" s="3">
        <v>1126</v>
      </c>
      <c r="G3221" s="4">
        <v>12</v>
      </c>
      <c r="H3221" s="5">
        <v>0</v>
      </c>
    </row>
    <row r="3222" spans="1:8" x14ac:dyDescent="0.35">
      <c r="A3222" s="2" t="s">
        <v>1184</v>
      </c>
      <c r="B3222" s="2" t="s">
        <v>291</v>
      </c>
      <c r="C3222" s="2" t="s">
        <v>1204</v>
      </c>
      <c r="D3222" s="2" t="s">
        <v>1205</v>
      </c>
      <c r="E3222" s="2" t="s">
        <v>1206</v>
      </c>
      <c r="F3222" s="3">
        <v>315</v>
      </c>
      <c r="G3222" s="4">
        <v>12</v>
      </c>
      <c r="H3222" s="5">
        <v>0</v>
      </c>
    </row>
    <row r="3223" spans="1:8" x14ac:dyDescent="0.35">
      <c r="A3223" s="2" t="s">
        <v>1184</v>
      </c>
      <c r="B3223" s="2" t="s">
        <v>291</v>
      </c>
      <c r="C3223" s="2" t="s">
        <v>1207</v>
      </c>
      <c r="D3223" s="2" t="s">
        <v>1208</v>
      </c>
      <c r="E3223" s="2" t="s">
        <v>1051</v>
      </c>
      <c r="F3223" s="3">
        <v>281.26</v>
      </c>
      <c r="G3223" s="4">
        <v>12</v>
      </c>
      <c r="H3223" s="5">
        <v>7.4999999999999997E-3</v>
      </c>
    </row>
    <row r="3224" spans="1:8" ht="14.5" customHeight="1" x14ac:dyDescent="0.35">
      <c r="A3224" s="2" t="s">
        <v>1184</v>
      </c>
      <c r="B3224" s="2" t="s">
        <v>291</v>
      </c>
      <c r="C3224" s="2" t="s">
        <v>1209</v>
      </c>
      <c r="D3224" s="2" t="s">
        <v>1210</v>
      </c>
      <c r="E3224" s="2" t="s">
        <v>567</v>
      </c>
      <c r="F3224" s="3">
        <v>19.829999999999998</v>
      </c>
      <c r="G3224" s="4">
        <v>1</v>
      </c>
      <c r="H3224" s="5">
        <v>0</v>
      </c>
    </row>
    <row r="3225" spans="1:8" x14ac:dyDescent="0.35">
      <c r="A3225" s="2" t="s">
        <v>1184</v>
      </c>
      <c r="B3225" s="2" t="s">
        <v>291</v>
      </c>
      <c r="C3225" s="2" t="s">
        <v>1211</v>
      </c>
      <c r="D3225" s="2" t="s">
        <v>1212</v>
      </c>
      <c r="E3225" s="2" t="s">
        <v>158</v>
      </c>
      <c r="F3225" s="3">
        <v>3050</v>
      </c>
      <c r="G3225" s="4">
        <v>12</v>
      </c>
      <c r="H3225" s="5">
        <v>7.4999999999999997E-3</v>
      </c>
    </row>
    <row r="3226" spans="1:8" x14ac:dyDescent="0.35">
      <c r="A3226" s="2" t="s">
        <v>1184</v>
      </c>
      <c r="B3226" s="2" t="s">
        <v>291</v>
      </c>
      <c r="C3226" s="2" t="s">
        <v>1213</v>
      </c>
      <c r="D3226" s="2" t="s">
        <v>1214</v>
      </c>
      <c r="E3226" s="2" t="s">
        <v>470</v>
      </c>
      <c r="F3226" s="3">
        <v>116.83</v>
      </c>
      <c r="G3226" s="4">
        <v>6</v>
      </c>
      <c r="H3226" s="5">
        <v>0</v>
      </c>
    </row>
    <row r="3227" spans="1:8" ht="14.5" customHeight="1" x14ac:dyDescent="0.35">
      <c r="A3227" s="2" t="s">
        <v>1184</v>
      </c>
      <c r="B3227" s="2" t="s">
        <v>291</v>
      </c>
      <c r="C3227" s="2" t="s">
        <v>1215</v>
      </c>
      <c r="D3227" s="2" t="s">
        <v>1216</v>
      </c>
      <c r="E3227" s="2" t="s">
        <v>415</v>
      </c>
      <c r="F3227" s="3">
        <v>17308.599999999999</v>
      </c>
      <c r="G3227" s="4">
        <v>12</v>
      </c>
      <c r="H3227" s="5">
        <v>7.4999999999999997E-3</v>
      </c>
    </row>
    <row r="3228" spans="1:8" x14ac:dyDescent="0.35">
      <c r="A3228" s="2" t="s">
        <v>1184</v>
      </c>
      <c r="B3228" s="2" t="s">
        <v>291</v>
      </c>
      <c r="C3228" s="2" t="s">
        <v>1217</v>
      </c>
      <c r="D3228" s="2" t="s">
        <v>1218</v>
      </c>
      <c r="E3228" s="2" t="s">
        <v>322</v>
      </c>
      <c r="F3228" s="3">
        <v>27.69</v>
      </c>
      <c r="G3228" s="4">
        <v>12</v>
      </c>
      <c r="H3228" s="5">
        <v>0</v>
      </c>
    </row>
    <row r="3229" spans="1:8" x14ac:dyDescent="0.35">
      <c r="A3229" s="2" t="s">
        <v>1184</v>
      </c>
      <c r="B3229" s="2" t="s">
        <v>291</v>
      </c>
      <c r="C3229" s="2" t="s">
        <v>1219</v>
      </c>
      <c r="D3229" s="2" t="s">
        <v>1220</v>
      </c>
      <c r="E3229" s="2" t="s">
        <v>35</v>
      </c>
      <c r="F3229" s="3">
        <v>562.53</v>
      </c>
      <c r="G3229" s="4">
        <v>12</v>
      </c>
      <c r="H3229" s="5">
        <v>0</v>
      </c>
    </row>
    <row r="3230" spans="1:8" x14ac:dyDescent="0.35">
      <c r="A3230" s="2" t="s">
        <v>1184</v>
      </c>
      <c r="B3230" s="2" t="s">
        <v>291</v>
      </c>
      <c r="C3230" s="2" t="s">
        <v>1221</v>
      </c>
      <c r="D3230" s="2" t="s">
        <v>1222</v>
      </c>
      <c r="E3230" s="2" t="s">
        <v>260</v>
      </c>
      <c r="F3230" s="3">
        <v>19472.18</v>
      </c>
      <c r="G3230" s="4">
        <v>12</v>
      </c>
      <c r="H3230" s="5">
        <v>7.4999999999999997E-3</v>
      </c>
    </row>
    <row r="3231" spans="1:8" ht="14.5" customHeight="1" x14ac:dyDescent="0.35">
      <c r="A3231" s="2" t="s">
        <v>1184</v>
      </c>
      <c r="B3231" s="2" t="s">
        <v>291</v>
      </c>
      <c r="C3231" s="2" t="s">
        <v>1223</v>
      </c>
      <c r="D3231" s="2" t="s">
        <v>1224</v>
      </c>
      <c r="E3231" s="2" t="s">
        <v>412</v>
      </c>
      <c r="F3231" s="3">
        <v>5062.7700000000004</v>
      </c>
      <c r="G3231" s="4">
        <v>12</v>
      </c>
      <c r="H3231" s="5">
        <v>0</v>
      </c>
    </row>
    <row r="3232" spans="1:8" x14ac:dyDescent="0.35">
      <c r="A3232" s="2" t="s">
        <v>1184</v>
      </c>
      <c r="B3232" s="2" t="s">
        <v>291</v>
      </c>
      <c r="C3232" s="2" t="s">
        <v>1225</v>
      </c>
      <c r="D3232" s="2" t="s">
        <v>1226</v>
      </c>
      <c r="E3232" s="2" t="s">
        <v>437</v>
      </c>
      <c r="F3232" s="3">
        <v>2800</v>
      </c>
      <c r="G3232" s="4">
        <v>12</v>
      </c>
      <c r="H3232" s="5">
        <v>7.4999999999999997E-3</v>
      </c>
    </row>
    <row r="3233" spans="1:8" x14ac:dyDescent="0.35">
      <c r="A3233" s="2" t="s">
        <v>1184</v>
      </c>
      <c r="B3233" s="2" t="s">
        <v>291</v>
      </c>
      <c r="C3233" s="2" t="s">
        <v>1227</v>
      </c>
      <c r="D3233" s="2" t="s">
        <v>1228</v>
      </c>
      <c r="E3233" s="2" t="s">
        <v>1229</v>
      </c>
      <c r="F3233" s="3">
        <v>11.02</v>
      </c>
      <c r="G3233" s="4">
        <v>6</v>
      </c>
      <c r="H3233" s="5">
        <v>0</v>
      </c>
    </row>
    <row r="3234" spans="1:8" x14ac:dyDescent="0.35">
      <c r="A3234" s="2" t="s">
        <v>1184</v>
      </c>
      <c r="B3234" s="2" t="s">
        <v>291</v>
      </c>
      <c r="C3234" s="2" t="s">
        <v>1230</v>
      </c>
      <c r="D3234" s="2" t="s">
        <v>1231</v>
      </c>
      <c r="E3234" s="2" t="s">
        <v>567</v>
      </c>
      <c r="F3234" s="3">
        <v>14.63</v>
      </c>
      <c r="G3234" s="4">
        <v>1</v>
      </c>
      <c r="H3234" s="5">
        <v>0</v>
      </c>
    </row>
    <row r="3235" spans="1:8" x14ac:dyDescent="0.35">
      <c r="A3235" s="2" t="s">
        <v>1184</v>
      </c>
      <c r="B3235" s="2" t="s">
        <v>291</v>
      </c>
      <c r="C3235" s="2" t="s">
        <v>1232</v>
      </c>
      <c r="D3235" s="2" t="s">
        <v>1233</v>
      </c>
      <c r="E3235" s="2" t="s">
        <v>570</v>
      </c>
      <c r="F3235" s="3">
        <v>19.829999999999998</v>
      </c>
      <c r="G3235" s="4">
        <v>1</v>
      </c>
      <c r="H3235" s="5">
        <v>0</v>
      </c>
    </row>
    <row r="3236" spans="1:8" x14ac:dyDescent="0.35">
      <c r="A3236" s="2" t="s">
        <v>1184</v>
      </c>
      <c r="B3236" s="2" t="s">
        <v>291</v>
      </c>
      <c r="C3236" s="2" t="s">
        <v>1234</v>
      </c>
      <c r="D3236" s="2" t="s">
        <v>1235</v>
      </c>
      <c r="E3236" s="2" t="s">
        <v>525</v>
      </c>
      <c r="F3236" s="3">
        <v>234.83</v>
      </c>
      <c r="G3236" s="4">
        <v>12</v>
      </c>
      <c r="H3236" s="5">
        <v>0</v>
      </c>
    </row>
    <row r="3237" spans="1:8" x14ac:dyDescent="0.35">
      <c r="A3237" s="2" t="s">
        <v>1184</v>
      </c>
      <c r="B3237" s="2" t="s">
        <v>291</v>
      </c>
      <c r="C3237" s="2" t="s">
        <v>1236</v>
      </c>
      <c r="D3237" s="2" t="s">
        <v>1237</v>
      </c>
      <c r="E3237" s="2" t="s">
        <v>1238</v>
      </c>
      <c r="F3237" s="3">
        <v>259.2</v>
      </c>
      <c r="G3237" s="4">
        <v>12</v>
      </c>
      <c r="H3237" s="5">
        <v>0</v>
      </c>
    </row>
    <row r="3238" spans="1:8" x14ac:dyDescent="0.35">
      <c r="A3238" s="2" t="s">
        <v>1184</v>
      </c>
      <c r="B3238" s="2" t="s">
        <v>291</v>
      </c>
      <c r="C3238" s="2" t="s">
        <v>1239</v>
      </c>
      <c r="D3238" s="2" t="s">
        <v>1240</v>
      </c>
      <c r="E3238" s="2" t="s">
        <v>489</v>
      </c>
      <c r="F3238" s="3">
        <v>1298.1400000000001</v>
      </c>
      <c r="G3238" s="4">
        <v>12</v>
      </c>
      <c r="H3238" s="5">
        <v>7.4999999999999997E-3</v>
      </c>
    </row>
    <row r="3239" spans="1:8" ht="14.5" customHeight="1" x14ac:dyDescent="0.35">
      <c r="A3239" s="2" t="s">
        <v>1184</v>
      </c>
      <c r="B3239" s="2" t="s">
        <v>291</v>
      </c>
      <c r="C3239" s="2" t="s">
        <v>1241</v>
      </c>
      <c r="D3239" s="2" t="s">
        <v>1242</v>
      </c>
      <c r="E3239" s="2" t="s">
        <v>461</v>
      </c>
      <c r="F3239" s="3">
        <v>259.63</v>
      </c>
      <c r="G3239" s="4">
        <v>12</v>
      </c>
      <c r="H3239" s="5">
        <v>0</v>
      </c>
    </row>
    <row r="3240" spans="1:8" ht="14.5" customHeight="1" x14ac:dyDescent="0.35">
      <c r="A3240" s="2" t="s">
        <v>1184</v>
      </c>
      <c r="B3240" s="2" t="s">
        <v>291</v>
      </c>
      <c r="C3240" s="2" t="s">
        <v>1243</v>
      </c>
      <c r="D3240" s="2" t="s">
        <v>1244</v>
      </c>
      <c r="E3240" s="2" t="s">
        <v>59</v>
      </c>
      <c r="F3240" s="3">
        <v>216.36</v>
      </c>
      <c r="G3240" s="4">
        <v>12</v>
      </c>
      <c r="H3240" s="5">
        <v>0</v>
      </c>
    </row>
    <row r="3241" spans="1:8" x14ac:dyDescent="0.35">
      <c r="A3241" s="2" t="s">
        <v>1184</v>
      </c>
      <c r="B3241" s="2" t="s">
        <v>291</v>
      </c>
      <c r="C3241" s="2" t="s">
        <v>1245</v>
      </c>
      <c r="D3241" s="2" t="s">
        <v>1246</v>
      </c>
      <c r="E3241" s="2" t="s">
        <v>300</v>
      </c>
      <c r="F3241" s="3">
        <v>25.96</v>
      </c>
      <c r="G3241" s="4">
        <v>12</v>
      </c>
      <c r="H3241" s="5">
        <v>0</v>
      </c>
    </row>
    <row r="3242" spans="1:8" ht="14.5" customHeight="1" x14ac:dyDescent="0.35">
      <c r="A3242" s="2" t="s">
        <v>1184</v>
      </c>
      <c r="B3242" s="2" t="s">
        <v>291</v>
      </c>
      <c r="C3242" s="2" t="s">
        <v>1247</v>
      </c>
      <c r="D3242" s="2" t="s">
        <v>1248</v>
      </c>
      <c r="E3242" s="2" t="s">
        <v>215</v>
      </c>
      <c r="F3242" s="3">
        <v>69.23</v>
      </c>
      <c r="G3242" s="4">
        <v>4</v>
      </c>
      <c r="H3242" s="5">
        <v>0</v>
      </c>
    </row>
    <row r="3243" spans="1:8" x14ac:dyDescent="0.35">
      <c r="A3243" s="2" t="s">
        <v>1184</v>
      </c>
      <c r="B3243" s="2" t="s">
        <v>291</v>
      </c>
      <c r="C3243" s="2" t="s">
        <v>1249</v>
      </c>
      <c r="D3243" s="2" t="s">
        <v>1250</v>
      </c>
      <c r="E3243" s="2" t="s">
        <v>24</v>
      </c>
      <c r="F3243" s="3">
        <v>273.98</v>
      </c>
      <c r="G3243" s="4">
        <v>12</v>
      </c>
      <c r="H3243" s="5">
        <v>7.4999999999999997E-3</v>
      </c>
    </row>
    <row r="3244" spans="1:8" ht="14.5" customHeight="1" x14ac:dyDescent="0.35">
      <c r="A3244" s="2" t="s">
        <v>1184</v>
      </c>
      <c r="B3244" s="2" t="s">
        <v>291</v>
      </c>
      <c r="C3244" s="2" t="s">
        <v>1251</v>
      </c>
      <c r="D3244" s="2" t="s">
        <v>1252</v>
      </c>
      <c r="E3244" s="2" t="s">
        <v>1034</v>
      </c>
      <c r="F3244" s="3">
        <v>249.24</v>
      </c>
      <c r="G3244" s="4">
        <v>12</v>
      </c>
      <c r="H3244" s="5">
        <v>0</v>
      </c>
    </row>
    <row r="3245" spans="1:8" ht="14.5" customHeight="1" x14ac:dyDescent="0.35">
      <c r="A3245" s="2" t="s">
        <v>1184</v>
      </c>
      <c r="B3245" s="2" t="s">
        <v>291</v>
      </c>
      <c r="C3245" s="2" t="s">
        <v>1253</v>
      </c>
      <c r="D3245" s="2" t="s">
        <v>1254</v>
      </c>
      <c r="E3245" s="2" t="s">
        <v>226</v>
      </c>
      <c r="F3245" s="3">
        <v>2726.1</v>
      </c>
      <c r="G3245" s="4">
        <v>12</v>
      </c>
      <c r="H3245" s="5">
        <v>7.4999999999999997E-3</v>
      </c>
    </row>
    <row r="3246" spans="1:8" ht="14.5" customHeight="1" x14ac:dyDescent="0.35">
      <c r="A3246" s="2" t="s">
        <v>1184</v>
      </c>
      <c r="B3246" s="2" t="s">
        <v>291</v>
      </c>
      <c r="C3246" s="2" t="s">
        <v>1255</v>
      </c>
      <c r="D3246" s="2" t="s">
        <v>1256</v>
      </c>
      <c r="E3246" s="2" t="s">
        <v>271</v>
      </c>
      <c r="F3246" s="3">
        <v>5210.13</v>
      </c>
      <c r="G3246" s="4">
        <v>1</v>
      </c>
      <c r="H3246" s="5">
        <v>7.4999999999999997E-3</v>
      </c>
    </row>
    <row r="3247" spans="1:8" ht="14.5" customHeight="1" x14ac:dyDescent="0.35">
      <c r="A3247" s="2" t="s">
        <v>1184</v>
      </c>
      <c r="B3247" s="2" t="s">
        <v>291</v>
      </c>
      <c r="C3247" s="2" t="s">
        <v>1257</v>
      </c>
      <c r="D3247" s="2" t="s">
        <v>1258</v>
      </c>
      <c r="E3247" s="2" t="s">
        <v>258</v>
      </c>
      <c r="F3247" s="3">
        <v>77888.7</v>
      </c>
      <c r="G3247" s="4">
        <v>12</v>
      </c>
      <c r="H3247" s="5">
        <v>7.4999999999999997E-3</v>
      </c>
    </row>
    <row r="3248" spans="1:8" x14ac:dyDescent="0.35">
      <c r="A3248" s="2" t="s">
        <v>1184</v>
      </c>
      <c r="B3248" s="2" t="s">
        <v>291</v>
      </c>
      <c r="C3248" s="2" t="s">
        <v>1259</v>
      </c>
      <c r="D3248" s="2" t="s">
        <v>1260</v>
      </c>
      <c r="E3248" s="2" t="s">
        <v>1261</v>
      </c>
      <c r="F3248" s="3">
        <v>103.85</v>
      </c>
      <c r="G3248" s="4">
        <v>12</v>
      </c>
      <c r="H3248" s="5">
        <v>0</v>
      </c>
    </row>
    <row r="3249" spans="1:8" ht="14.5" customHeight="1" x14ac:dyDescent="0.35">
      <c r="A3249" s="2" t="s">
        <v>1184</v>
      </c>
      <c r="B3249" s="2" t="s">
        <v>291</v>
      </c>
      <c r="C3249" s="2" t="s">
        <v>1262</v>
      </c>
      <c r="D3249" s="2" t="s">
        <v>1263</v>
      </c>
      <c r="E3249" s="2" t="s">
        <v>102</v>
      </c>
      <c r="F3249" s="3">
        <v>1029</v>
      </c>
      <c r="G3249" s="4">
        <v>12</v>
      </c>
      <c r="H3249" s="5">
        <v>0</v>
      </c>
    </row>
    <row r="3250" spans="1:8" x14ac:dyDescent="0.35">
      <c r="A3250" s="2" t="s">
        <v>1184</v>
      </c>
      <c r="B3250" s="2" t="s">
        <v>291</v>
      </c>
      <c r="C3250" s="2" t="s">
        <v>1264</v>
      </c>
      <c r="D3250" s="2" t="s">
        <v>1265</v>
      </c>
      <c r="E3250" s="2" t="s">
        <v>312</v>
      </c>
      <c r="F3250" s="3">
        <v>172.22</v>
      </c>
      <c r="G3250" s="4">
        <v>12</v>
      </c>
      <c r="H3250" s="5">
        <v>0</v>
      </c>
    </row>
    <row r="3251" spans="1:8" x14ac:dyDescent="0.35">
      <c r="A3251" s="2" t="s">
        <v>1184</v>
      </c>
      <c r="B3251" s="2" t="s">
        <v>291</v>
      </c>
      <c r="C3251" s="2" t="s">
        <v>1266</v>
      </c>
      <c r="D3251" s="2" t="s">
        <v>1267</v>
      </c>
      <c r="E3251" s="2" t="s">
        <v>48</v>
      </c>
      <c r="F3251" s="3">
        <v>234.83</v>
      </c>
      <c r="G3251" s="4">
        <v>12</v>
      </c>
      <c r="H3251" s="5">
        <v>0</v>
      </c>
    </row>
    <row r="3252" spans="1:8" x14ac:dyDescent="0.35">
      <c r="A3252" s="2" t="s">
        <v>1184</v>
      </c>
      <c r="B3252" s="2" t="s">
        <v>291</v>
      </c>
      <c r="C3252" s="2" t="s">
        <v>1268</v>
      </c>
      <c r="D3252" s="2" t="s">
        <v>1269</v>
      </c>
      <c r="E3252" s="2" t="s">
        <v>104</v>
      </c>
      <c r="F3252" s="3">
        <v>23.28</v>
      </c>
      <c r="G3252" s="4">
        <v>12</v>
      </c>
      <c r="H3252" s="5">
        <v>0</v>
      </c>
    </row>
    <row r="3253" spans="1:8" ht="14.5" customHeight="1" x14ac:dyDescent="0.35">
      <c r="A3253" s="2" t="s">
        <v>1184</v>
      </c>
      <c r="B3253" s="2" t="s">
        <v>291</v>
      </c>
      <c r="C3253" s="2" t="s">
        <v>1270</v>
      </c>
      <c r="D3253" s="2" t="s">
        <v>1271</v>
      </c>
      <c r="E3253" s="2" t="s">
        <v>260</v>
      </c>
      <c r="F3253" s="3">
        <v>1200</v>
      </c>
      <c r="G3253" s="4">
        <v>1</v>
      </c>
      <c r="H3253" s="5">
        <v>7.4999999999999997E-3</v>
      </c>
    </row>
    <row r="3254" spans="1:8" x14ac:dyDescent="0.35">
      <c r="A3254" s="2" t="s">
        <v>1184</v>
      </c>
      <c r="B3254" s="2" t="s">
        <v>291</v>
      </c>
      <c r="C3254" s="2" t="s">
        <v>1272</v>
      </c>
      <c r="D3254" s="2" t="s">
        <v>1273</v>
      </c>
      <c r="E3254" s="2" t="s">
        <v>315</v>
      </c>
      <c r="F3254" s="3">
        <v>103.85</v>
      </c>
      <c r="G3254" s="4">
        <v>12</v>
      </c>
      <c r="H3254" s="5">
        <v>0</v>
      </c>
    </row>
    <row r="3255" spans="1:8" x14ac:dyDescent="0.35">
      <c r="A3255" s="2" t="s">
        <v>1184</v>
      </c>
      <c r="B3255" s="2" t="s">
        <v>339</v>
      </c>
      <c r="C3255" s="2" t="s">
        <v>1185</v>
      </c>
      <c r="D3255" s="2" t="s">
        <v>1186</v>
      </c>
      <c r="E3255" s="2" t="s">
        <v>71</v>
      </c>
      <c r="F3255" s="3">
        <v>362</v>
      </c>
      <c r="G3255" s="4">
        <v>60</v>
      </c>
      <c r="H3255" s="5">
        <v>1.67E-2</v>
      </c>
    </row>
    <row r="3256" spans="1:8" x14ac:dyDescent="0.35">
      <c r="A3256" s="2" t="s">
        <v>1184</v>
      </c>
      <c r="B3256" s="2" t="s">
        <v>339</v>
      </c>
      <c r="C3256" s="2" t="s">
        <v>1187</v>
      </c>
      <c r="D3256" s="2" t="s">
        <v>1188</v>
      </c>
      <c r="E3256" s="2" t="s">
        <v>950</v>
      </c>
      <c r="F3256" s="3">
        <v>46</v>
      </c>
      <c r="G3256" s="4">
        <v>60</v>
      </c>
      <c r="H3256" s="5">
        <v>1.67E-2</v>
      </c>
    </row>
    <row r="3257" spans="1:8" x14ac:dyDescent="0.35">
      <c r="A3257" s="2" t="s">
        <v>1184</v>
      </c>
      <c r="B3257" s="2" t="s">
        <v>339</v>
      </c>
      <c r="C3257" s="2" t="s">
        <v>1189</v>
      </c>
      <c r="D3257" s="2" t="s">
        <v>1190</v>
      </c>
      <c r="E3257" s="2" t="s">
        <v>1191</v>
      </c>
      <c r="F3257" s="3">
        <v>54.2</v>
      </c>
      <c r="G3257" s="4">
        <v>60</v>
      </c>
      <c r="H3257" s="5">
        <v>1.67E-2</v>
      </c>
    </row>
    <row r="3258" spans="1:8" x14ac:dyDescent="0.35">
      <c r="A3258" s="2" t="s">
        <v>1184</v>
      </c>
      <c r="B3258" s="2" t="s">
        <v>339</v>
      </c>
      <c r="C3258" s="2" t="s">
        <v>1192</v>
      </c>
      <c r="D3258" s="2" t="s">
        <v>1193</v>
      </c>
      <c r="E3258" s="2" t="s">
        <v>46</v>
      </c>
      <c r="F3258" s="3">
        <v>1796.58</v>
      </c>
      <c r="G3258" s="4">
        <v>60</v>
      </c>
      <c r="H3258" s="5">
        <v>1.67E-2</v>
      </c>
    </row>
    <row r="3259" spans="1:8" x14ac:dyDescent="0.35">
      <c r="A3259" s="2" t="s">
        <v>1184</v>
      </c>
      <c r="B3259" s="2" t="s">
        <v>339</v>
      </c>
      <c r="C3259" s="2" t="s">
        <v>1194</v>
      </c>
      <c r="D3259" s="2" t="s">
        <v>1195</v>
      </c>
      <c r="E3259" s="2" t="s">
        <v>950</v>
      </c>
      <c r="F3259" s="3">
        <v>46</v>
      </c>
      <c r="G3259" s="4">
        <v>60</v>
      </c>
      <c r="H3259" s="5">
        <v>1.67E-2</v>
      </c>
    </row>
    <row r="3260" spans="1:8" ht="14.5" customHeight="1" x14ac:dyDescent="0.35">
      <c r="A3260" s="2" t="s">
        <v>1184</v>
      </c>
      <c r="B3260" s="2" t="s">
        <v>339</v>
      </c>
      <c r="C3260" s="2" t="s">
        <v>1196</v>
      </c>
      <c r="D3260" s="2" t="s">
        <v>1197</v>
      </c>
      <c r="E3260" s="2" t="s">
        <v>567</v>
      </c>
      <c r="F3260" s="3">
        <v>0.01</v>
      </c>
      <c r="G3260" s="4">
        <v>0</v>
      </c>
      <c r="H3260" s="5">
        <v>0</v>
      </c>
    </row>
    <row r="3261" spans="1:8" x14ac:dyDescent="0.35">
      <c r="A3261" s="2" t="s">
        <v>1184</v>
      </c>
      <c r="B3261" s="2" t="s">
        <v>339</v>
      </c>
      <c r="C3261" s="2" t="s">
        <v>1198</v>
      </c>
      <c r="D3261" s="2" t="s">
        <v>1199</v>
      </c>
      <c r="E3261" s="2" t="s">
        <v>525</v>
      </c>
      <c r="F3261" s="3">
        <v>192.5</v>
      </c>
      <c r="G3261" s="4">
        <v>60</v>
      </c>
      <c r="H3261" s="5">
        <v>1.67E-2</v>
      </c>
    </row>
    <row r="3262" spans="1:8" x14ac:dyDescent="0.35">
      <c r="A3262" s="2" t="s">
        <v>1184</v>
      </c>
      <c r="B3262" s="2" t="s">
        <v>339</v>
      </c>
      <c r="C3262" s="2" t="s">
        <v>1200</v>
      </c>
      <c r="D3262" s="2" t="s">
        <v>1201</v>
      </c>
      <c r="E3262" s="2" t="s">
        <v>158</v>
      </c>
      <c r="F3262" s="3">
        <v>2456.7199999999998</v>
      </c>
      <c r="G3262" s="4">
        <v>60</v>
      </c>
      <c r="H3262" s="5">
        <v>1.67E-2</v>
      </c>
    </row>
    <row r="3263" spans="1:8" ht="14.5" customHeight="1" x14ac:dyDescent="0.35">
      <c r="A3263" s="2" t="s">
        <v>1184</v>
      </c>
      <c r="B3263" s="2" t="s">
        <v>339</v>
      </c>
      <c r="C3263" s="2" t="s">
        <v>1202</v>
      </c>
      <c r="D3263" s="2" t="s">
        <v>1203</v>
      </c>
      <c r="E3263" s="2" t="s">
        <v>92</v>
      </c>
      <c r="F3263" s="3">
        <v>1018</v>
      </c>
      <c r="G3263" s="4">
        <v>36</v>
      </c>
      <c r="H3263" s="5">
        <v>0</v>
      </c>
    </row>
    <row r="3264" spans="1:8" x14ac:dyDescent="0.35">
      <c r="A3264" s="2" t="s">
        <v>1184</v>
      </c>
      <c r="B3264" s="2" t="s">
        <v>339</v>
      </c>
      <c r="C3264" s="2" t="s">
        <v>1204</v>
      </c>
      <c r="D3264" s="2" t="s">
        <v>1205</v>
      </c>
      <c r="E3264" s="2" t="s">
        <v>1206</v>
      </c>
      <c r="F3264" s="3">
        <v>362</v>
      </c>
      <c r="G3264" s="4">
        <v>60</v>
      </c>
      <c r="H3264" s="5">
        <v>1.67E-2</v>
      </c>
    </row>
    <row r="3265" spans="1:8" x14ac:dyDescent="0.35">
      <c r="A3265" s="2" t="s">
        <v>1184</v>
      </c>
      <c r="B3265" s="2" t="s">
        <v>339</v>
      </c>
      <c r="C3265" s="2" t="s">
        <v>1207</v>
      </c>
      <c r="D3265" s="2" t="s">
        <v>1208</v>
      </c>
      <c r="E3265" s="2" t="s">
        <v>1051</v>
      </c>
      <c r="F3265" s="3">
        <v>480</v>
      </c>
      <c r="G3265" s="4">
        <v>1</v>
      </c>
      <c r="H3265" s="5">
        <v>0</v>
      </c>
    </row>
    <row r="3266" spans="1:8" ht="14.5" customHeight="1" x14ac:dyDescent="0.35">
      <c r="A3266" s="2" t="s">
        <v>1184</v>
      </c>
      <c r="B3266" s="2" t="s">
        <v>339</v>
      </c>
      <c r="C3266" s="2" t="s">
        <v>1209</v>
      </c>
      <c r="D3266" s="2" t="s">
        <v>1210</v>
      </c>
      <c r="E3266" s="2" t="s">
        <v>567</v>
      </c>
      <c r="F3266" s="3">
        <v>0.01</v>
      </c>
      <c r="G3266" s="4">
        <v>0</v>
      </c>
      <c r="H3266" s="5">
        <v>0</v>
      </c>
    </row>
    <row r="3267" spans="1:8" x14ac:dyDescent="0.35">
      <c r="A3267" s="2" t="s">
        <v>1184</v>
      </c>
      <c r="B3267" s="2" t="s">
        <v>339</v>
      </c>
      <c r="C3267" s="2" t="s">
        <v>1211</v>
      </c>
      <c r="D3267" s="2" t="s">
        <v>1212</v>
      </c>
      <c r="E3267" s="2" t="s">
        <v>158</v>
      </c>
      <c r="F3267" s="3">
        <v>2456.7199999999998</v>
      </c>
      <c r="G3267" s="4">
        <v>60</v>
      </c>
      <c r="H3267" s="5">
        <v>1.67E-2</v>
      </c>
    </row>
    <row r="3268" spans="1:8" x14ac:dyDescent="0.35">
      <c r="A3268" s="2" t="s">
        <v>1184</v>
      </c>
      <c r="B3268" s="2" t="s">
        <v>339</v>
      </c>
      <c r="C3268" s="2" t="s">
        <v>1213</v>
      </c>
      <c r="D3268" s="2" t="s">
        <v>1214</v>
      </c>
      <c r="E3268" s="2" t="s">
        <v>470</v>
      </c>
      <c r="F3268" s="3">
        <v>148.34</v>
      </c>
      <c r="G3268" s="4">
        <v>60</v>
      </c>
      <c r="H3268" s="5">
        <v>1.67E-2</v>
      </c>
    </row>
    <row r="3269" spans="1:8" ht="14.5" customHeight="1" x14ac:dyDescent="0.35">
      <c r="A3269" s="2" t="s">
        <v>1184</v>
      </c>
      <c r="B3269" s="2" t="s">
        <v>339</v>
      </c>
      <c r="C3269" s="2" t="s">
        <v>1215</v>
      </c>
      <c r="D3269" s="2" t="s">
        <v>1216</v>
      </c>
      <c r="E3269" s="2" t="s">
        <v>415</v>
      </c>
      <c r="F3269" s="3">
        <v>1100</v>
      </c>
      <c r="G3269" s="4">
        <v>1</v>
      </c>
      <c r="H3269" s="5">
        <v>0</v>
      </c>
    </row>
    <row r="3270" spans="1:8" x14ac:dyDescent="0.35">
      <c r="A3270" s="2" t="s">
        <v>1184</v>
      </c>
      <c r="B3270" s="2" t="s">
        <v>339</v>
      </c>
      <c r="C3270" s="2" t="s">
        <v>1217</v>
      </c>
      <c r="D3270" s="2" t="s">
        <v>1218</v>
      </c>
      <c r="E3270" s="2" t="s">
        <v>322</v>
      </c>
      <c r="F3270" s="3">
        <v>20.45</v>
      </c>
      <c r="G3270" s="4">
        <v>60</v>
      </c>
      <c r="H3270" s="5">
        <v>1.67E-2</v>
      </c>
    </row>
    <row r="3271" spans="1:8" x14ac:dyDescent="0.35">
      <c r="A3271" s="2" t="s">
        <v>1184</v>
      </c>
      <c r="B3271" s="2" t="s">
        <v>339</v>
      </c>
      <c r="C3271" s="2" t="s">
        <v>1219</v>
      </c>
      <c r="D3271" s="2" t="s">
        <v>1220</v>
      </c>
      <c r="E3271" s="2" t="s">
        <v>35</v>
      </c>
      <c r="F3271" s="3">
        <v>1300</v>
      </c>
      <c r="G3271" s="4">
        <v>60</v>
      </c>
      <c r="H3271" s="5">
        <v>1.67E-2</v>
      </c>
    </row>
    <row r="3272" spans="1:8" x14ac:dyDescent="0.35">
      <c r="A3272" s="2" t="s">
        <v>1184</v>
      </c>
      <c r="B3272" s="2" t="s">
        <v>339</v>
      </c>
      <c r="C3272" s="2" t="s">
        <v>1221</v>
      </c>
      <c r="D3272" s="2" t="s">
        <v>1222</v>
      </c>
      <c r="E3272" s="2" t="s">
        <v>260</v>
      </c>
      <c r="F3272" s="3">
        <v>758.22</v>
      </c>
      <c r="G3272" s="4">
        <v>1</v>
      </c>
      <c r="H3272" s="5">
        <v>0</v>
      </c>
    </row>
    <row r="3273" spans="1:8" ht="14.5" customHeight="1" x14ac:dyDescent="0.35">
      <c r="A3273" s="2" t="s">
        <v>1184</v>
      </c>
      <c r="B3273" s="2" t="s">
        <v>339</v>
      </c>
      <c r="C3273" s="2" t="s">
        <v>1223</v>
      </c>
      <c r="D3273" s="2" t="s">
        <v>1224</v>
      </c>
      <c r="E3273" s="2" t="s">
        <v>412</v>
      </c>
      <c r="F3273" s="3">
        <v>250</v>
      </c>
      <c r="G3273" s="4">
        <v>1</v>
      </c>
      <c r="H3273" s="5">
        <v>0</v>
      </c>
    </row>
    <row r="3274" spans="1:8" x14ac:dyDescent="0.35">
      <c r="A3274" s="2" t="s">
        <v>1184</v>
      </c>
      <c r="B3274" s="2" t="s">
        <v>339</v>
      </c>
      <c r="C3274" s="2" t="s">
        <v>1225</v>
      </c>
      <c r="D3274" s="2" t="s">
        <v>1226</v>
      </c>
      <c r="E3274" s="2" t="s">
        <v>437</v>
      </c>
      <c r="F3274" s="3">
        <v>3196.6</v>
      </c>
      <c r="G3274" s="4">
        <v>60</v>
      </c>
      <c r="H3274" s="5">
        <v>1.67E-2</v>
      </c>
    </row>
    <row r="3275" spans="1:8" x14ac:dyDescent="0.35">
      <c r="A3275" s="2" t="s">
        <v>1184</v>
      </c>
      <c r="B3275" s="2" t="s">
        <v>339</v>
      </c>
      <c r="C3275" s="2" t="s">
        <v>1227</v>
      </c>
      <c r="D3275" s="2" t="s">
        <v>1228</v>
      </c>
      <c r="E3275" s="2" t="s">
        <v>1229</v>
      </c>
      <c r="F3275" s="3">
        <v>23.1</v>
      </c>
      <c r="G3275" s="4">
        <v>60</v>
      </c>
      <c r="H3275" s="5">
        <v>1.67E-2</v>
      </c>
    </row>
    <row r="3276" spans="1:8" x14ac:dyDescent="0.35">
      <c r="A3276" s="2" t="s">
        <v>1184</v>
      </c>
      <c r="B3276" s="2" t="s">
        <v>339</v>
      </c>
      <c r="C3276" s="2" t="s">
        <v>1230</v>
      </c>
      <c r="D3276" s="2" t="s">
        <v>1231</v>
      </c>
      <c r="E3276" s="2" t="s">
        <v>567</v>
      </c>
      <c r="F3276" s="3">
        <v>0.01</v>
      </c>
      <c r="G3276" s="4">
        <v>0</v>
      </c>
      <c r="H3276" s="5">
        <v>0</v>
      </c>
    </row>
    <row r="3277" spans="1:8" x14ac:dyDescent="0.35">
      <c r="A3277" s="2" t="s">
        <v>1184</v>
      </c>
      <c r="B3277" s="2" t="s">
        <v>339</v>
      </c>
      <c r="C3277" s="2" t="s">
        <v>1232</v>
      </c>
      <c r="D3277" s="2" t="s">
        <v>1233</v>
      </c>
      <c r="E3277" s="2" t="s">
        <v>570</v>
      </c>
      <c r="F3277" s="3">
        <v>0.01</v>
      </c>
      <c r="G3277" s="4">
        <v>0</v>
      </c>
      <c r="H3277" s="5">
        <v>0</v>
      </c>
    </row>
    <row r="3278" spans="1:8" x14ac:dyDescent="0.35">
      <c r="A3278" s="2" t="s">
        <v>1184</v>
      </c>
      <c r="B3278" s="2" t="s">
        <v>339</v>
      </c>
      <c r="C3278" s="2" t="s">
        <v>1234</v>
      </c>
      <c r="D3278" s="2" t="s">
        <v>1235</v>
      </c>
      <c r="E3278" s="2" t="s">
        <v>525</v>
      </c>
      <c r="F3278" s="3">
        <v>29</v>
      </c>
      <c r="G3278" s="4">
        <v>60</v>
      </c>
      <c r="H3278" s="5">
        <v>1.67E-2</v>
      </c>
    </row>
    <row r="3279" spans="1:8" x14ac:dyDescent="0.35">
      <c r="A3279" s="2" t="s">
        <v>1184</v>
      </c>
      <c r="B3279" s="2" t="s">
        <v>339</v>
      </c>
      <c r="C3279" s="2" t="s">
        <v>1236</v>
      </c>
      <c r="D3279" s="2" t="s">
        <v>1237</v>
      </c>
      <c r="E3279" s="2" t="s">
        <v>1238</v>
      </c>
      <c r="F3279" s="3">
        <v>1710</v>
      </c>
      <c r="G3279" s="4">
        <v>60</v>
      </c>
      <c r="H3279" s="5">
        <v>1.67E-2</v>
      </c>
    </row>
    <row r="3280" spans="1:8" x14ac:dyDescent="0.35">
      <c r="A3280" s="2" t="s">
        <v>1184</v>
      </c>
      <c r="B3280" s="2" t="s">
        <v>339</v>
      </c>
      <c r="C3280" s="2" t="s">
        <v>1239</v>
      </c>
      <c r="D3280" s="2" t="s">
        <v>1240</v>
      </c>
      <c r="E3280" s="2" t="s">
        <v>489</v>
      </c>
      <c r="F3280" s="3">
        <v>2500</v>
      </c>
      <c r="G3280" s="4">
        <v>60</v>
      </c>
      <c r="H3280" s="5">
        <v>1.67E-2</v>
      </c>
    </row>
    <row r="3281" spans="1:8" ht="14.5" customHeight="1" x14ac:dyDescent="0.35">
      <c r="A3281" s="2" t="s">
        <v>1184</v>
      </c>
      <c r="B3281" s="2" t="s">
        <v>339</v>
      </c>
      <c r="C3281" s="2" t="s">
        <v>1241</v>
      </c>
      <c r="D3281" s="2" t="s">
        <v>1242</v>
      </c>
      <c r="E3281" s="2" t="s">
        <v>461</v>
      </c>
      <c r="F3281" s="3">
        <v>2380</v>
      </c>
      <c r="G3281" s="4">
        <v>60</v>
      </c>
      <c r="H3281" s="5">
        <v>1.67E-2</v>
      </c>
    </row>
    <row r="3282" spans="1:8" ht="14.5" customHeight="1" x14ac:dyDescent="0.35">
      <c r="A3282" s="2" t="s">
        <v>1184</v>
      </c>
      <c r="B3282" s="2" t="s">
        <v>339</v>
      </c>
      <c r="C3282" s="2" t="s">
        <v>1243</v>
      </c>
      <c r="D3282" s="2" t="s">
        <v>1244</v>
      </c>
      <c r="E3282" s="2" t="s">
        <v>59</v>
      </c>
      <c r="F3282" s="3">
        <v>172.74</v>
      </c>
      <c r="G3282" s="4">
        <v>60</v>
      </c>
      <c r="H3282" s="5">
        <v>1.67E-2</v>
      </c>
    </row>
    <row r="3283" spans="1:8" x14ac:dyDescent="0.35">
      <c r="A3283" s="2" t="s">
        <v>1184</v>
      </c>
      <c r="B3283" s="2" t="s">
        <v>339</v>
      </c>
      <c r="C3283" s="2" t="s">
        <v>1245</v>
      </c>
      <c r="D3283" s="2" t="s">
        <v>1246</v>
      </c>
      <c r="E3283" s="2" t="s">
        <v>300</v>
      </c>
      <c r="F3283" s="3">
        <v>21.5</v>
      </c>
      <c r="G3283" s="4">
        <v>60</v>
      </c>
      <c r="H3283" s="5">
        <v>1.67E-2</v>
      </c>
    </row>
    <row r="3284" spans="1:8" ht="14.5" customHeight="1" x14ac:dyDescent="0.35">
      <c r="A3284" s="2" t="s">
        <v>1184</v>
      </c>
      <c r="B3284" s="2" t="s">
        <v>339</v>
      </c>
      <c r="C3284" s="2" t="s">
        <v>1247</v>
      </c>
      <c r="D3284" s="2" t="s">
        <v>1248</v>
      </c>
      <c r="E3284" s="2" t="s">
        <v>215</v>
      </c>
      <c r="F3284" s="3">
        <v>0.01</v>
      </c>
      <c r="G3284" s="4">
        <v>0</v>
      </c>
      <c r="H3284" s="5">
        <v>0</v>
      </c>
    </row>
    <row r="3285" spans="1:8" x14ac:dyDescent="0.35">
      <c r="A3285" s="2" t="s">
        <v>1184</v>
      </c>
      <c r="B3285" s="2" t="s">
        <v>339</v>
      </c>
      <c r="C3285" s="2" t="s">
        <v>1249</v>
      </c>
      <c r="D3285" s="2" t="s">
        <v>1250</v>
      </c>
      <c r="E3285" s="2" t="s">
        <v>24</v>
      </c>
      <c r="F3285" s="3">
        <v>244.57</v>
      </c>
      <c r="G3285" s="4">
        <v>60</v>
      </c>
      <c r="H3285" s="5">
        <v>1.67E-2</v>
      </c>
    </row>
    <row r="3286" spans="1:8" ht="14.5" customHeight="1" x14ac:dyDescent="0.35">
      <c r="A3286" s="2" t="s">
        <v>1184</v>
      </c>
      <c r="B3286" s="2" t="s">
        <v>339</v>
      </c>
      <c r="C3286" s="2" t="s">
        <v>1251</v>
      </c>
      <c r="D3286" s="2" t="s">
        <v>1252</v>
      </c>
      <c r="E3286" s="2" t="s">
        <v>1034</v>
      </c>
      <c r="F3286" s="3">
        <v>280</v>
      </c>
      <c r="G3286" s="4">
        <v>60</v>
      </c>
      <c r="H3286" s="5">
        <v>1.67E-2</v>
      </c>
    </row>
    <row r="3287" spans="1:8" ht="14.5" customHeight="1" x14ac:dyDescent="0.35">
      <c r="A3287" s="2" t="s">
        <v>1184</v>
      </c>
      <c r="B3287" s="2" t="s">
        <v>339</v>
      </c>
      <c r="C3287" s="2" t="s">
        <v>1253</v>
      </c>
      <c r="D3287" s="2" t="s">
        <v>1254</v>
      </c>
      <c r="E3287" s="2" t="s">
        <v>226</v>
      </c>
      <c r="F3287" s="3">
        <v>4690</v>
      </c>
      <c r="G3287" s="4">
        <v>60</v>
      </c>
      <c r="H3287" s="5">
        <v>1.67E-2</v>
      </c>
    </row>
    <row r="3288" spans="1:8" ht="14.5" customHeight="1" x14ac:dyDescent="0.35">
      <c r="A3288" s="2" t="s">
        <v>1184</v>
      </c>
      <c r="B3288" s="2" t="s">
        <v>339</v>
      </c>
      <c r="C3288" s="2" t="s">
        <v>1255</v>
      </c>
      <c r="D3288" s="2" t="s">
        <v>1256</v>
      </c>
      <c r="E3288" s="2" t="s">
        <v>271</v>
      </c>
      <c r="F3288" s="3">
        <v>3411.03</v>
      </c>
      <c r="G3288" s="4">
        <v>1</v>
      </c>
      <c r="H3288" s="5">
        <v>0</v>
      </c>
    </row>
    <row r="3289" spans="1:8" ht="14.5" customHeight="1" x14ac:dyDescent="0.35">
      <c r="A3289" s="2" t="s">
        <v>1184</v>
      </c>
      <c r="B3289" s="2" t="s">
        <v>339</v>
      </c>
      <c r="C3289" s="2" t="s">
        <v>1257</v>
      </c>
      <c r="D3289" s="2" t="s">
        <v>1258</v>
      </c>
      <c r="E3289" s="2" t="s">
        <v>258</v>
      </c>
      <c r="F3289" s="3">
        <v>6600</v>
      </c>
      <c r="G3289" s="4">
        <v>1</v>
      </c>
      <c r="H3289" s="5">
        <v>0</v>
      </c>
    </row>
    <row r="3290" spans="1:8" x14ac:dyDescent="0.35">
      <c r="A3290" s="2" t="s">
        <v>1184</v>
      </c>
      <c r="B3290" s="2" t="s">
        <v>339</v>
      </c>
      <c r="C3290" s="2" t="s">
        <v>1259</v>
      </c>
      <c r="D3290" s="2" t="s">
        <v>1260</v>
      </c>
      <c r="E3290" s="2" t="s">
        <v>1261</v>
      </c>
      <c r="F3290" s="3">
        <v>89.5</v>
      </c>
      <c r="G3290" s="4">
        <v>60</v>
      </c>
      <c r="H3290" s="5">
        <v>1.67E-2</v>
      </c>
    </row>
    <row r="3291" spans="1:8" ht="14.5" customHeight="1" x14ac:dyDescent="0.35">
      <c r="A3291" s="2" t="s">
        <v>1184</v>
      </c>
      <c r="B3291" s="2" t="s">
        <v>339</v>
      </c>
      <c r="C3291" s="2" t="s">
        <v>1262</v>
      </c>
      <c r="D3291" s="2" t="s">
        <v>1263</v>
      </c>
      <c r="E3291" s="2" t="s">
        <v>102</v>
      </c>
      <c r="F3291" s="3">
        <v>502.04</v>
      </c>
      <c r="G3291" s="4">
        <v>1</v>
      </c>
      <c r="H3291" s="5">
        <v>0</v>
      </c>
    </row>
    <row r="3292" spans="1:8" x14ac:dyDescent="0.35">
      <c r="A3292" s="2" t="s">
        <v>1184</v>
      </c>
      <c r="B3292" s="2" t="s">
        <v>339</v>
      </c>
      <c r="C3292" s="2" t="s">
        <v>1264</v>
      </c>
      <c r="D3292" s="2" t="s">
        <v>1265</v>
      </c>
      <c r="E3292" s="2" t="s">
        <v>312</v>
      </c>
      <c r="F3292" s="3">
        <v>235.2</v>
      </c>
      <c r="G3292" s="4">
        <v>60</v>
      </c>
      <c r="H3292" s="5">
        <v>1.67E-2</v>
      </c>
    </row>
    <row r="3293" spans="1:8" x14ac:dyDescent="0.35">
      <c r="A3293" s="2" t="s">
        <v>1184</v>
      </c>
      <c r="B3293" s="2" t="s">
        <v>339</v>
      </c>
      <c r="C3293" s="2" t="s">
        <v>1266</v>
      </c>
      <c r="D3293" s="2" t="s">
        <v>1267</v>
      </c>
      <c r="E3293" s="2" t="s">
        <v>48</v>
      </c>
      <c r="F3293" s="3">
        <v>220</v>
      </c>
      <c r="G3293" s="4">
        <v>60</v>
      </c>
      <c r="H3293" s="5">
        <v>1.67E-2</v>
      </c>
    </row>
    <row r="3294" spans="1:8" x14ac:dyDescent="0.35">
      <c r="A3294" s="2" t="s">
        <v>1184</v>
      </c>
      <c r="B3294" s="2" t="s">
        <v>339</v>
      </c>
      <c r="C3294" s="2" t="s">
        <v>1268</v>
      </c>
      <c r="D3294" s="2" t="s">
        <v>1269</v>
      </c>
      <c r="E3294" s="2" t="s">
        <v>104</v>
      </c>
      <c r="F3294" s="3">
        <v>19.899999999999999</v>
      </c>
      <c r="G3294" s="4">
        <v>60</v>
      </c>
      <c r="H3294" s="5">
        <v>1.67E-2</v>
      </c>
    </row>
    <row r="3295" spans="1:8" ht="14.5" customHeight="1" x14ac:dyDescent="0.35">
      <c r="A3295" s="2" t="s">
        <v>1184</v>
      </c>
      <c r="B3295" s="2" t="s">
        <v>339</v>
      </c>
      <c r="C3295" s="2" t="s">
        <v>1270</v>
      </c>
      <c r="D3295" s="2" t="s">
        <v>1271</v>
      </c>
      <c r="E3295" s="2" t="s">
        <v>260</v>
      </c>
      <c r="F3295" s="3">
        <v>25984</v>
      </c>
      <c r="G3295" s="4">
        <v>60</v>
      </c>
      <c r="H3295" s="5">
        <v>1.67E-2</v>
      </c>
    </row>
    <row r="3296" spans="1:8" x14ac:dyDescent="0.35">
      <c r="A3296" s="2" t="s">
        <v>1184</v>
      </c>
      <c r="B3296" s="2" t="s">
        <v>339</v>
      </c>
      <c r="C3296" s="2" t="s">
        <v>1272</v>
      </c>
      <c r="D3296" s="2" t="s">
        <v>1273</v>
      </c>
      <c r="E3296" s="2" t="s">
        <v>315</v>
      </c>
      <c r="F3296" s="3">
        <v>54.2</v>
      </c>
      <c r="G3296" s="4">
        <v>60</v>
      </c>
      <c r="H3296" s="5">
        <v>1.67E-2</v>
      </c>
    </row>
    <row r="3297" spans="1:8" ht="14.5" customHeight="1" x14ac:dyDescent="0.35">
      <c r="A3297" s="2" t="s">
        <v>1274</v>
      </c>
      <c r="B3297" s="2" t="s">
        <v>291</v>
      </c>
      <c r="C3297" s="2" t="s">
        <v>1275</v>
      </c>
      <c r="D3297" s="2" t="s">
        <v>1276</v>
      </c>
      <c r="E3297" s="2" t="s">
        <v>1277</v>
      </c>
      <c r="F3297" s="3">
        <v>19.95</v>
      </c>
      <c r="G3297" s="4">
        <v>12</v>
      </c>
      <c r="H3297" s="5">
        <v>0</v>
      </c>
    </row>
    <row r="3298" spans="1:8" ht="14.5" customHeight="1" x14ac:dyDescent="0.35">
      <c r="A3298" s="2" t="s">
        <v>1274</v>
      </c>
      <c r="B3298" s="2" t="s">
        <v>291</v>
      </c>
      <c r="C3298" s="2" t="s">
        <v>1278</v>
      </c>
      <c r="D3298" s="2" t="s">
        <v>1125</v>
      </c>
      <c r="E3298" s="2" t="s">
        <v>1126</v>
      </c>
      <c r="F3298" s="3">
        <v>7.6</v>
      </c>
      <c r="G3298" s="4">
        <v>12</v>
      </c>
      <c r="H3298" s="5">
        <v>0</v>
      </c>
    </row>
    <row r="3299" spans="1:8" ht="14.5" customHeight="1" x14ac:dyDescent="0.35">
      <c r="A3299" s="2" t="s">
        <v>1274</v>
      </c>
      <c r="B3299" s="2" t="s">
        <v>291</v>
      </c>
      <c r="C3299" s="2" t="s">
        <v>1279</v>
      </c>
      <c r="D3299" s="2" t="s">
        <v>1280</v>
      </c>
      <c r="E3299" s="2" t="s">
        <v>717</v>
      </c>
      <c r="F3299" s="3">
        <v>19.95</v>
      </c>
      <c r="G3299" s="4">
        <v>12</v>
      </c>
      <c r="H3299" s="5">
        <v>0</v>
      </c>
    </row>
    <row r="3300" spans="1:8" ht="14.5" customHeight="1" x14ac:dyDescent="0.35">
      <c r="A3300" s="2" t="s">
        <v>1274</v>
      </c>
      <c r="B3300" s="2" t="s">
        <v>291</v>
      </c>
      <c r="C3300" s="2" t="s">
        <v>1281</v>
      </c>
      <c r="D3300" s="2" t="s">
        <v>1128</v>
      </c>
      <c r="E3300" s="2" t="s">
        <v>1129</v>
      </c>
      <c r="F3300" s="3">
        <v>19</v>
      </c>
      <c r="G3300" s="4">
        <v>12</v>
      </c>
      <c r="H3300" s="5">
        <v>0</v>
      </c>
    </row>
    <row r="3301" spans="1:8" ht="14.5" customHeight="1" x14ac:dyDescent="0.35">
      <c r="A3301" s="2" t="s">
        <v>1274</v>
      </c>
      <c r="B3301" s="2" t="s">
        <v>291</v>
      </c>
      <c r="C3301" s="2" t="s">
        <v>1282</v>
      </c>
      <c r="D3301" s="2" t="s">
        <v>1283</v>
      </c>
      <c r="E3301" s="2" t="s">
        <v>1284</v>
      </c>
      <c r="F3301" s="3">
        <v>15.2</v>
      </c>
      <c r="G3301" s="4">
        <v>12</v>
      </c>
      <c r="H3301" s="5">
        <v>0</v>
      </c>
    </row>
    <row r="3302" spans="1:8" ht="14.5" customHeight="1" x14ac:dyDescent="0.35">
      <c r="A3302" s="2" t="s">
        <v>1274</v>
      </c>
      <c r="B3302" s="2" t="s">
        <v>291</v>
      </c>
      <c r="C3302" s="2" t="s">
        <v>1285</v>
      </c>
      <c r="D3302" s="2" t="s">
        <v>1286</v>
      </c>
      <c r="E3302" s="2" t="s">
        <v>1287</v>
      </c>
      <c r="F3302" s="3">
        <v>19.95</v>
      </c>
      <c r="G3302" s="4">
        <v>12</v>
      </c>
      <c r="H3302" s="5">
        <v>0</v>
      </c>
    </row>
    <row r="3303" spans="1:8" x14ac:dyDescent="0.35">
      <c r="A3303" s="2" t="s">
        <v>1274</v>
      </c>
      <c r="B3303" s="2" t="s">
        <v>291</v>
      </c>
      <c r="C3303" s="2" t="s">
        <v>1288</v>
      </c>
      <c r="D3303" s="2" t="s">
        <v>1289</v>
      </c>
      <c r="E3303" s="2" t="s">
        <v>1290</v>
      </c>
      <c r="F3303" s="3">
        <v>19</v>
      </c>
      <c r="G3303" s="4">
        <v>1</v>
      </c>
      <c r="H3303" s="5">
        <v>0</v>
      </c>
    </row>
    <row r="3304" spans="1:8" x14ac:dyDescent="0.35">
      <c r="A3304" s="2" t="s">
        <v>1274</v>
      </c>
      <c r="B3304" s="2" t="s">
        <v>291</v>
      </c>
      <c r="C3304" s="2" t="s">
        <v>1291</v>
      </c>
      <c r="D3304" s="2" t="s">
        <v>1292</v>
      </c>
      <c r="E3304" s="2" t="s">
        <v>564</v>
      </c>
      <c r="F3304" s="3">
        <v>24.7</v>
      </c>
      <c r="G3304" s="4">
        <v>12</v>
      </c>
      <c r="H3304" s="5">
        <v>0</v>
      </c>
    </row>
    <row r="3305" spans="1:8" x14ac:dyDescent="0.35">
      <c r="A3305" s="2" t="s">
        <v>1274</v>
      </c>
      <c r="B3305" s="2" t="s">
        <v>291</v>
      </c>
      <c r="C3305" s="2" t="s">
        <v>1293</v>
      </c>
      <c r="D3305" s="2" t="s">
        <v>1294</v>
      </c>
      <c r="E3305" s="2" t="s">
        <v>836</v>
      </c>
      <c r="F3305" s="3">
        <v>32.299999999999997</v>
      </c>
      <c r="G3305" s="4">
        <v>12</v>
      </c>
      <c r="H3305" s="5">
        <v>0</v>
      </c>
    </row>
    <row r="3306" spans="1:8" x14ac:dyDescent="0.35">
      <c r="A3306" s="2" t="s">
        <v>1274</v>
      </c>
      <c r="B3306" s="2" t="s">
        <v>291</v>
      </c>
      <c r="C3306" s="2" t="s">
        <v>1295</v>
      </c>
      <c r="D3306" s="2" t="s">
        <v>1296</v>
      </c>
      <c r="E3306" s="2" t="s">
        <v>1297</v>
      </c>
      <c r="F3306" s="3">
        <v>5.7</v>
      </c>
      <c r="G3306" s="4">
        <v>12</v>
      </c>
      <c r="H3306" s="5">
        <v>0</v>
      </c>
    </row>
    <row r="3307" spans="1:8" x14ac:dyDescent="0.35">
      <c r="A3307" s="2" t="s">
        <v>1274</v>
      </c>
      <c r="B3307" s="2" t="s">
        <v>291</v>
      </c>
      <c r="C3307" s="2" t="s">
        <v>1298</v>
      </c>
      <c r="D3307" s="2" t="s">
        <v>1299</v>
      </c>
      <c r="E3307" s="2" t="s">
        <v>35</v>
      </c>
      <c r="F3307" s="3">
        <v>819.53</v>
      </c>
      <c r="G3307" s="4">
        <v>60</v>
      </c>
      <c r="H3307" s="5">
        <v>0</v>
      </c>
    </row>
    <row r="3308" spans="1:8" x14ac:dyDescent="0.35">
      <c r="A3308" s="2" t="s">
        <v>1274</v>
      </c>
      <c r="B3308" s="2" t="s">
        <v>291</v>
      </c>
      <c r="C3308" s="2" t="s">
        <v>1300</v>
      </c>
      <c r="D3308" s="2" t="s">
        <v>1301</v>
      </c>
      <c r="E3308" s="2" t="s">
        <v>1082</v>
      </c>
      <c r="F3308" s="3">
        <v>1003.06</v>
      </c>
      <c r="G3308" s="4">
        <v>60</v>
      </c>
      <c r="H3308" s="5">
        <v>0</v>
      </c>
    </row>
    <row r="3309" spans="1:8" x14ac:dyDescent="0.35">
      <c r="A3309" s="2" t="s">
        <v>1274</v>
      </c>
      <c r="B3309" s="2" t="s">
        <v>291</v>
      </c>
      <c r="C3309" s="2" t="s">
        <v>1302</v>
      </c>
      <c r="D3309" s="2" t="s">
        <v>1303</v>
      </c>
      <c r="E3309" s="2" t="s">
        <v>1304</v>
      </c>
      <c r="F3309" s="3">
        <v>1387.82</v>
      </c>
      <c r="G3309" s="4">
        <v>60</v>
      </c>
      <c r="H3309" s="5">
        <v>0</v>
      </c>
    </row>
    <row r="3310" spans="1:8" x14ac:dyDescent="0.35">
      <c r="A3310" s="2" t="s">
        <v>1274</v>
      </c>
      <c r="B3310" s="2" t="s">
        <v>291</v>
      </c>
      <c r="C3310" s="2" t="s">
        <v>1305</v>
      </c>
      <c r="D3310" s="2" t="s">
        <v>1306</v>
      </c>
      <c r="E3310" s="2" t="s">
        <v>1085</v>
      </c>
      <c r="F3310" s="3">
        <v>380</v>
      </c>
      <c r="G3310" s="4">
        <v>24</v>
      </c>
      <c r="H3310" s="5">
        <v>0</v>
      </c>
    </row>
    <row r="3311" spans="1:8" x14ac:dyDescent="0.35">
      <c r="A3311" s="2" t="s">
        <v>1274</v>
      </c>
      <c r="B3311" s="2" t="s">
        <v>291</v>
      </c>
      <c r="C3311" s="2" t="s">
        <v>1307</v>
      </c>
      <c r="D3311" s="2" t="s">
        <v>355</v>
      </c>
      <c r="E3311" s="2" t="s">
        <v>356</v>
      </c>
      <c r="F3311" s="3">
        <v>202</v>
      </c>
      <c r="G3311" s="4">
        <v>24</v>
      </c>
      <c r="H3311" s="5">
        <v>0</v>
      </c>
    </row>
    <row r="3312" spans="1:8" x14ac:dyDescent="0.35">
      <c r="A3312" s="2" t="s">
        <v>1274</v>
      </c>
      <c r="B3312" s="2" t="s">
        <v>291</v>
      </c>
      <c r="C3312" s="2" t="s">
        <v>1308</v>
      </c>
      <c r="D3312" s="2" t="s">
        <v>360</v>
      </c>
      <c r="E3312" s="2" t="s">
        <v>361</v>
      </c>
      <c r="F3312" s="3">
        <v>186</v>
      </c>
      <c r="G3312" s="4">
        <v>24</v>
      </c>
      <c r="H3312" s="5">
        <v>0</v>
      </c>
    </row>
    <row r="3313" spans="1:8" x14ac:dyDescent="0.35">
      <c r="A3313" s="2" t="s">
        <v>1274</v>
      </c>
      <c r="B3313" s="2" t="s">
        <v>291</v>
      </c>
      <c r="C3313" s="2" t="s">
        <v>1309</v>
      </c>
      <c r="D3313" s="2" t="s">
        <v>1310</v>
      </c>
      <c r="E3313" s="2" t="s">
        <v>389</v>
      </c>
      <c r="F3313" s="3">
        <v>384.75</v>
      </c>
      <c r="G3313" s="4">
        <v>60</v>
      </c>
      <c r="H3313" s="5">
        <v>0</v>
      </c>
    </row>
    <row r="3314" spans="1:8" x14ac:dyDescent="0.35">
      <c r="A3314" s="2" t="s">
        <v>1274</v>
      </c>
      <c r="B3314" s="2" t="s">
        <v>291</v>
      </c>
      <c r="C3314" s="2" t="s">
        <v>1311</v>
      </c>
      <c r="D3314" s="2" t="s">
        <v>1312</v>
      </c>
      <c r="E3314" s="2" t="s">
        <v>353</v>
      </c>
      <c r="F3314" s="3">
        <v>726</v>
      </c>
      <c r="G3314" s="4">
        <v>60</v>
      </c>
      <c r="H3314" s="5">
        <v>0</v>
      </c>
    </row>
    <row r="3315" spans="1:8" x14ac:dyDescent="0.35">
      <c r="A3315" s="2" t="s">
        <v>1274</v>
      </c>
      <c r="B3315" s="2" t="s">
        <v>291</v>
      </c>
      <c r="C3315" s="2" t="s">
        <v>1313</v>
      </c>
      <c r="D3315" s="2" t="s">
        <v>1101</v>
      </c>
      <c r="E3315" s="2" t="s">
        <v>71</v>
      </c>
      <c r="F3315" s="3">
        <v>412.5</v>
      </c>
      <c r="G3315" s="4">
        <v>60</v>
      </c>
      <c r="H3315" s="5">
        <v>0</v>
      </c>
    </row>
    <row r="3316" spans="1:8" x14ac:dyDescent="0.35">
      <c r="A3316" s="2" t="s">
        <v>1274</v>
      </c>
      <c r="B3316" s="2" t="s">
        <v>291</v>
      </c>
      <c r="C3316" s="2" t="s">
        <v>1314</v>
      </c>
      <c r="D3316" s="2" t="s">
        <v>1315</v>
      </c>
      <c r="E3316" s="2" t="s">
        <v>48</v>
      </c>
      <c r="F3316" s="3">
        <v>836</v>
      </c>
      <c r="G3316" s="4">
        <v>60</v>
      </c>
      <c r="H3316" s="5">
        <v>0</v>
      </c>
    </row>
    <row r="3317" spans="1:8" x14ac:dyDescent="0.35">
      <c r="A3317" s="2" t="s">
        <v>1274</v>
      </c>
      <c r="B3317" s="2" t="s">
        <v>291</v>
      </c>
      <c r="C3317" s="2" t="s">
        <v>1316</v>
      </c>
      <c r="D3317" s="2" t="s">
        <v>1317</v>
      </c>
      <c r="E3317" s="2" t="s">
        <v>104</v>
      </c>
      <c r="F3317" s="3">
        <v>17.100000000000001</v>
      </c>
      <c r="G3317" s="4">
        <v>18</v>
      </c>
      <c r="H3317" s="5">
        <v>0</v>
      </c>
    </row>
    <row r="3318" spans="1:8" x14ac:dyDescent="0.35">
      <c r="A3318" s="2" t="s">
        <v>1274</v>
      </c>
      <c r="B3318" s="2" t="s">
        <v>291</v>
      </c>
      <c r="C3318" s="2" t="s">
        <v>1318</v>
      </c>
      <c r="D3318" s="2" t="s">
        <v>1319</v>
      </c>
      <c r="E3318" s="2" t="s">
        <v>92</v>
      </c>
      <c r="F3318" s="3">
        <v>2463.12</v>
      </c>
      <c r="G3318" s="4">
        <v>60</v>
      </c>
      <c r="H3318" s="5">
        <v>0</v>
      </c>
    </row>
    <row r="3319" spans="1:8" ht="14.5" customHeight="1" x14ac:dyDescent="0.35">
      <c r="A3319" s="2" t="s">
        <v>1274</v>
      </c>
      <c r="B3319" s="2" t="s">
        <v>291</v>
      </c>
      <c r="C3319" s="2" t="s">
        <v>1320</v>
      </c>
      <c r="D3319" s="2" t="s">
        <v>1321</v>
      </c>
      <c r="E3319" s="2" t="s">
        <v>424</v>
      </c>
      <c r="F3319" s="3">
        <v>2300</v>
      </c>
      <c r="G3319" s="4">
        <v>60</v>
      </c>
      <c r="H3319" s="5">
        <v>0</v>
      </c>
    </row>
    <row r="3320" spans="1:8" x14ac:dyDescent="0.35">
      <c r="A3320" s="2" t="s">
        <v>1274</v>
      </c>
      <c r="B3320" s="2" t="s">
        <v>291</v>
      </c>
      <c r="C3320" s="2" t="s">
        <v>1322</v>
      </c>
      <c r="D3320" s="2" t="s">
        <v>1323</v>
      </c>
      <c r="E3320" s="2" t="s">
        <v>332</v>
      </c>
      <c r="F3320" s="3">
        <v>93.1</v>
      </c>
      <c r="G3320" s="4">
        <v>60</v>
      </c>
      <c r="H3320" s="5">
        <v>0</v>
      </c>
    </row>
    <row r="3321" spans="1:8" x14ac:dyDescent="0.35">
      <c r="A3321" s="2" t="s">
        <v>1274</v>
      </c>
      <c r="B3321" s="2" t="s">
        <v>291</v>
      </c>
      <c r="C3321" s="2" t="s">
        <v>1324</v>
      </c>
      <c r="D3321" s="2" t="s">
        <v>1325</v>
      </c>
      <c r="E3321" s="2" t="s">
        <v>48</v>
      </c>
      <c r="F3321" s="3">
        <v>249.85</v>
      </c>
      <c r="G3321" s="4">
        <v>60</v>
      </c>
      <c r="H3321" s="5">
        <v>0</v>
      </c>
    </row>
    <row r="3322" spans="1:8" x14ac:dyDescent="0.35">
      <c r="A3322" s="2" t="s">
        <v>1274</v>
      </c>
      <c r="B3322" s="2" t="s">
        <v>291</v>
      </c>
      <c r="C3322" s="2" t="s">
        <v>1326</v>
      </c>
      <c r="D3322" s="2" t="s">
        <v>488</v>
      </c>
      <c r="E3322" s="2" t="s">
        <v>489</v>
      </c>
      <c r="F3322" s="3">
        <v>1347.1</v>
      </c>
      <c r="G3322" s="4">
        <v>60</v>
      </c>
      <c r="H3322" s="5">
        <v>0</v>
      </c>
    </row>
    <row r="3323" spans="1:8" x14ac:dyDescent="0.35">
      <c r="A3323" s="2" t="s">
        <v>1274</v>
      </c>
      <c r="B3323" s="2" t="s">
        <v>291</v>
      </c>
      <c r="C3323" s="2" t="s">
        <v>1327</v>
      </c>
      <c r="D3323" s="2" t="s">
        <v>1328</v>
      </c>
      <c r="E3323" s="2" t="s">
        <v>1329</v>
      </c>
      <c r="F3323" s="3">
        <v>2463.12</v>
      </c>
      <c r="G3323" s="4">
        <v>60</v>
      </c>
      <c r="H3323" s="5">
        <v>0</v>
      </c>
    </row>
    <row r="3324" spans="1:8" x14ac:dyDescent="0.35">
      <c r="A3324" s="2" t="s">
        <v>1274</v>
      </c>
      <c r="B3324" s="2" t="s">
        <v>291</v>
      </c>
      <c r="C3324" s="2" t="s">
        <v>1330</v>
      </c>
      <c r="D3324" s="2" t="s">
        <v>1331</v>
      </c>
      <c r="E3324" s="2" t="s">
        <v>486</v>
      </c>
      <c r="F3324" s="3">
        <v>2330.35</v>
      </c>
      <c r="G3324" s="4">
        <v>60</v>
      </c>
      <c r="H3324" s="5">
        <v>0</v>
      </c>
    </row>
    <row r="3325" spans="1:8" x14ac:dyDescent="0.35">
      <c r="A3325" s="2" t="s">
        <v>1274</v>
      </c>
      <c r="B3325" s="2" t="s">
        <v>291</v>
      </c>
      <c r="C3325" s="2" t="s">
        <v>1332</v>
      </c>
      <c r="D3325" s="2" t="s">
        <v>1333</v>
      </c>
      <c r="E3325" s="2" t="s">
        <v>82</v>
      </c>
      <c r="F3325" s="3">
        <v>2990</v>
      </c>
      <c r="G3325" s="4">
        <v>60</v>
      </c>
      <c r="H3325" s="5">
        <v>0</v>
      </c>
    </row>
    <row r="3326" spans="1:8" x14ac:dyDescent="0.35">
      <c r="A3326" s="2" t="s">
        <v>1274</v>
      </c>
      <c r="B3326" s="2" t="s">
        <v>291</v>
      </c>
      <c r="C3326" s="2" t="s">
        <v>1334</v>
      </c>
      <c r="D3326" s="2" t="s">
        <v>1335</v>
      </c>
      <c r="E3326" s="2" t="s">
        <v>35</v>
      </c>
      <c r="F3326" s="3">
        <v>819.53</v>
      </c>
      <c r="G3326" s="4">
        <v>60</v>
      </c>
      <c r="H3326" s="5">
        <v>0</v>
      </c>
    </row>
    <row r="3327" spans="1:8" x14ac:dyDescent="0.35">
      <c r="A3327" s="2" t="s">
        <v>1274</v>
      </c>
      <c r="B3327" s="2" t="s">
        <v>291</v>
      </c>
      <c r="C3327" s="2" t="s">
        <v>1336</v>
      </c>
      <c r="D3327" s="2" t="s">
        <v>1337</v>
      </c>
      <c r="E3327" s="2" t="s">
        <v>1238</v>
      </c>
      <c r="F3327" s="3">
        <v>2840</v>
      </c>
      <c r="G3327" s="4">
        <v>60</v>
      </c>
      <c r="H3327" s="5">
        <v>0</v>
      </c>
    </row>
    <row r="3328" spans="1:8" x14ac:dyDescent="0.35">
      <c r="A3328" s="2" t="s">
        <v>1274</v>
      </c>
      <c r="B3328" s="2" t="s">
        <v>291</v>
      </c>
      <c r="C3328" s="2" t="s">
        <v>1338</v>
      </c>
      <c r="D3328" s="2" t="s">
        <v>1339</v>
      </c>
      <c r="E3328" s="2" t="s">
        <v>1340</v>
      </c>
      <c r="F3328" s="3">
        <v>2790</v>
      </c>
      <c r="G3328" s="4">
        <v>60</v>
      </c>
      <c r="H3328" s="5">
        <v>0</v>
      </c>
    </row>
    <row r="3329" spans="1:8" x14ac:dyDescent="0.35">
      <c r="A3329" s="2" t="s">
        <v>1274</v>
      </c>
      <c r="B3329" s="2" t="s">
        <v>291</v>
      </c>
      <c r="C3329" s="2" t="s">
        <v>1341</v>
      </c>
      <c r="D3329" s="2" t="s">
        <v>1342</v>
      </c>
      <c r="E3329" s="2" t="s">
        <v>46</v>
      </c>
      <c r="F3329" s="3">
        <v>2541.25</v>
      </c>
      <c r="G3329" s="4">
        <v>60</v>
      </c>
      <c r="H3329" s="5">
        <v>7.4999999999999997E-3</v>
      </c>
    </row>
    <row r="3330" spans="1:8" x14ac:dyDescent="0.35">
      <c r="A3330" s="2" t="s">
        <v>1274</v>
      </c>
      <c r="B3330" s="2" t="s">
        <v>291</v>
      </c>
      <c r="C3330" s="2" t="s">
        <v>1343</v>
      </c>
      <c r="D3330" s="2" t="s">
        <v>1344</v>
      </c>
      <c r="E3330" s="2" t="s">
        <v>46</v>
      </c>
      <c r="F3330" s="3">
        <v>1200</v>
      </c>
      <c r="G3330" s="4">
        <v>60</v>
      </c>
      <c r="H3330" s="5">
        <v>7.4999999999999997E-3</v>
      </c>
    </row>
    <row r="3331" spans="1:8" x14ac:dyDescent="0.35">
      <c r="A3331" s="2" t="s">
        <v>1274</v>
      </c>
      <c r="B3331" s="2" t="s">
        <v>291</v>
      </c>
      <c r="C3331" s="2" t="s">
        <v>1345</v>
      </c>
      <c r="D3331" s="2" t="s">
        <v>1134</v>
      </c>
      <c r="E3331" s="2" t="s">
        <v>147</v>
      </c>
      <c r="F3331" s="3">
        <v>3248.75</v>
      </c>
      <c r="G3331" s="4">
        <v>60</v>
      </c>
      <c r="H3331" s="5">
        <v>7.4999999999999997E-3</v>
      </c>
    </row>
    <row r="3332" spans="1:8" x14ac:dyDescent="0.35">
      <c r="A3332" s="2" t="s">
        <v>1274</v>
      </c>
      <c r="B3332" s="2" t="s">
        <v>291</v>
      </c>
      <c r="C3332" s="2" t="s">
        <v>1346</v>
      </c>
      <c r="D3332" s="2" t="s">
        <v>1136</v>
      </c>
      <c r="E3332" s="2" t="s">
        <v>158</v>
      </c>
      <c r="F3332" s="3">
        <v>2425.35</v>
      </c>
      <c r="G3332" s="4">
        <v>1</v>
      </c>
      <c r="H3332" s="5">
        <v>7.4999999999999997E-3</v>
      </c>
    </row>
    <row r="3333" spans="1:8" x14ac:dyDescent="0.35">
      <c r="A3333" s="2" t="s">
        <v>1274</v>
      </c>
      <c r="B3333" s="2" t="s">
        <v>291</v>
      </c>
      <c r="C3333" s="2" t="s">
        <v>1347</v>
      </c>
      <c r="D3333" s="2" t="s">
        <v>1348</v>
      </c>
      <c r="E3333" s="2" t="s">
        <v>226</v>
      </c>
      <c r="F3333" s="3">
        <v>4254.8</v>
      </c>
      <c r="G3333" s="4">
        <v>1</v>
      </c>
      <c r="H3333" s="5">
        <v>7.4999999999999997E-3</v>
      </c>
    </row>
    <row r="3334" spans="1:8" x14ac:dyDescent="0.35">
      <c r="A3334" s="2" t="s">
        <v>1274</v>
      </c>
      <c r="B3334" s="2" t="s">
        <v>291</v>
      </c>
      <c r="C3334" s="2" t="s">
        <v>1349</v>
      </c>
      <c r="D3334" s="2" t="s">
        <v>1350</v>
      </c>
      <c r="E3334" s="2" t="s">
        <v>258</v>
      </c>
      <c r="F3334" s="3">
        <v>5000</v>
      </c>
      <c r="G3334" s="4">
        <v>1</v>
      </c>
      <c r="H3334" s="5">
        <v>7.4999999999999997E-3</v>
      </c>
    </row>
    <row r="3335" spans="1:8" x14ac:dyDescent="0.35">
      <c r="A3335" s="2" t="s">
        <v>1274</v>
      </c>
      <c r="B3335" s="2" t="s">
        <v>291</v>
      </c>
      <c r="C3335" s="2" t="s">
        <v>1351</v>
      </c>
      <c r="D3335" s="2" t="s">
        <v>1352</v>
      </c>
      <c r="E3335" s="2" t="s">
        <v>260</v>
      </c>
      <c r="F3335" s="3">
        <v>1116.76</v>
      </c>
      <c r="G3335" s="4">
        <v>1</v>
      </c>
      <c r="H3335" s="5">
        <v>7.4999999999999997E-3</v>
      </c>
    </row>
    <row r="3336" spans="1:8" x14ac:dyDescent="0.35">
      <c r="A3336" s="2" t="s">
        <v>1274</v>
      </c>
      <c r="B3336" s="2" t="s">
        <v>291</v>
      </c>
      <c r="C3336" s="2" t="s">
        <v>1353</v>
      </c>
      <c r="D3336" s="2" t="s">
        <v>1354</v>
      </c>
      <c r="E3336" s="2" t="s">
        <v>271</v>
      </c>
      <c r="F3336" s="3">
        <v>4246.17</v>
      </c>
      <c r="G3336" s="4">
        <v>1</v>
      </c>
      <c r="H3336" s="5">
        <v>7.4999999999999997E-3</v>
      </c>
    </row>
    <row r="3337" spans="1:8" x14ac:dyDescent="0.35">
      <c r="A3337" s="2" t="s">
        <v>1274</v>
      </c>
      <c r="B3337" s="2" t="s">
        <v>291</v>
      </c>
      <c r="C3337" s="2" t="s">
        <v>1355</v>
      </c>
      <c r="D3337" s="2" t="s">
        <v>1356</v>
      </c>
      <c r="E3337" s="2" t="s">
        <v>543</v>
      </c>
      <c r="F3337" s="3">
        <v>9174.31</v>
      </c>
      <c r="G3337" s="4">
        <v>1</v>
      </c>
      <c r="H3337" s="5">
        <v>7.4999999999999997E-3</v>
      </c>
    </row>
    <row r="3338" spans="1:8" x14ac:dyDescent="0.35">
      <c r="A3338" s="2" t="s">
        <v>1274</v>
      </c>
      <c r="B3338" s="2" t="s">
        <v>291</v>
      </c>
      <c r="C3338" s="2" t="s">
        <v>1357</v>
      </c>
      <c r="D3338" s="2" t="s">
        <v>1358</v>
      </c>
      <c r="E3338" s="2" t="s">
        <v>603</v>
      </c>
      <c r="F3338" s="3">
        <v>3500</v>
      </c>
      <c r="G3338" s="4">
        <v>60</v>
      </c>
      <c r="H3338" s="5">
        <v>7.4999999999999997E-3</v>
      </c>
    </row>
    <row r="3339" spans="1:8" x14ac:dyDescent="0.35">
      <c r="A3339" s="2" t="s">
        <v>1274</v>
      </c>
      <c r="B3339" s="2" t="s">
        <v>291</v>
      </c>
      <c r="C3339" s="2" t="s">
        <v>1359</v>
      </c>
      <c r="D3339" s="2" t="s">
        <v>1360</v>
      </c>
      <c r="E3339" s="2" t="s">
        <v>69</v>
      </c>
      <c r="F3339" s="3">
        <v>325.85000000000002</v>
      </c>
      <c r="G3339" s="4">
        <v>60</v>
      </c>
      <c r="H3339" s="5">
        <v>7.4999999999999997E-3</v>
      </c>
    </row>
    <row r="3340" spans="1:8" ht="14.5" customHeight="1" x14ac:dyDescent="0.35">
      <c r="A3340" s="2" t="s">
        <v>1274</v>
      </c>
      <c r="B3340" s="2" t="s">
        <v>339</v>
      </c>
      <c r="C3340" s="2" t="s">
        <v>1275</v>
      </c>
      <c r="D3340" s="2" t="s">
        <v>1276</v>
      </c>
      <c r="E3340" s="2" t="s">
        <v>1277</v>
      </c>
      <c r="F3340" s="3">
        <v>19.95</v>
      </c>
      <c r="G3340" s="4">
        <v>60</v>
      </c>
      <c r="H3340" s="5">
        <v>1.67E-2</v>
      </c>
    </row>
    <row r="3341" spans="1:8" ht="14.5" customHeight="1" x14ac:dyDescent="0.35">
      <c r="A3341" s="2" t="s">
        <v>1274</v>
      </c>
      <c r="B3341" s="2" t="s">
        <v>339</v>
      </c>
      <c r="C3341" s="2" t="s">
        <v>1278</v>
      </c>
      <c r="D3341" s="2" t="s">
        <v>1125</v>
      </c>
      <c r="E3341" s="2" t="s">
        <v>1126</v>
      </c>
      <c r="F3341" s="3">
        <v>7.6</v>
      </c>
      <c r="G3341" s="4">
        <v>60</v>
      </c>
      <c r="H3341" s="5">
        <v>1.67E-2</v>
      </c>
    </row>
    <row r="3342" spans="1:8" ht="14.5" customHeight="1" x14ac:dyDescent="0.35">
      <c r="A3342" s="2" t="s">
        <v>1274</v>
      </c>
      <c r="B3342" s="2" t="s">
        <v>339</v>
      </c>
      <c r="C3342" s="2" t="s">
        <v>1279</v>
      </c>
      <c r="D3342" s="2" t="s">
        <v>1280</v>
      </c>
      <c r="E3342" s="2" t="s">
        <v>717</v>
      </c>
      <c r="F3342" s="3">
        <v>19.95</v>
      </c>
      <c r="G3342" s="4">
        <v>60</v>
      </c>
      <c r="H3342" s="5">
        <v>1.67E-2</v>
      </c>
    </row>
    <row r="3343" spans="1:8" ht="14.5" customHeight="1" x14ac:dyDescent="0.35">
      <c r="A3343" s="2" t="s">
        <v>1274</v>
      </c>
      <c r="B3343" s="2" t="s">
        <v>339</v>
      </c>
      <c r="C3343" s="2" t="s">
        <v>1281</v>
      </c>
      <c r="D3343" s="2" t="s">
        <v>1128</v>
      </c>
      <c r="E3343" s="2" t="s">
        <v>1129</v>
      </c>
      <c r="F3343" s="3">
        <v>19</v>
      </c>
      <c r="G3343" s="4">
        <v>60</v>
      </c>
      <c r="H3343" s="5">
        <v>1.67E-2</v>
      </c>
    </row>
    <row r="3344" spans="1:8" ht="14.5" customHeight="1" x14ac:dyDescent="0.35">
      <c r="A3344" s="2" t="s">
        <v>1274</v>
      </c>
      <c r="B3344" s="2" t="s">
        <v>339</v>
      </c>
      <c r="C3344" s="2" t="s">
        <v>1282</v>
      </c>
      <c r="D3344" s="2" t="s">
        <v>1283</v>
      </c>
      <c r="E3344" s="2" t="s">
        <v>1284</v>
      </c>
      <c r="F3344" s="3">
        <v>15.2</v>
      </c>
      <c r="G3344" s="4">
        <v>60</v>
      </c>
      <c r="H3344" s="5">
        <v>1.67E-2</v>
      </c>
    </row>
    <row r="3345" spans="1:8" ht="14.5" customHeight="1" x14ac:dyDescent="0.35">
      <c r="A3345" s="2" t="s">
        <v>1274</v>
      </c>
      <c r="B3345" s="2" t="s">
        <v>339</v>
      </c>
      <c r="C3345" s="2" t="s">
        <v>1285</v>
      </c>
      <c r="D3345" s="2" t="s">
        <v>1286</v>
      </c>
      <c r="E3345" s="2" t="s">
        <v>1287</v>
      </c>
      <c r="F3345" s="3">
        <v>19.95</v>
      </c>
      <c r="G3345" s="4">
        <v>60</v>
      </c>
      <c r="H3345" s="5">
        <v>1.67E-2</v>
      </c>
    </row>
    <row r="3346" spans="1:8" x14ac:dyDescent="0.35">
      <c r="A3346" s="2" t="s">
        <v>1274</v>
      </c>
      <c r="B3346" s="2" t="s">
        <v>339</v>
      </c>
      <c r="C3346" s="2" t="s">
        <v>1288</v>
      </c>
      <c r="D3346" s="2" t="s">
        <v>1289</v>
      </c>
      <c r="E3346" s="2" t="s">
        <v>1290</v>
      </c>
      <c r="F3346" s="3">
        <v>54.2</v>
      </c>
      <c r="G3346" s="4">
        <v>60</v>
      </c>
      <c r="H3346" s="5">
        <v>1.67E-2</v>
      </c>
    </row>
    <row r="3347" spans="1:8" x14ac:dyDescent="0.35">
      <c r="A3347" s="2" t="s">
        <v>1274</v>
      </c>
      <c r="B3347" s="2" t="s">
        <v>339</v>
      </c>
      <c r="C3347" s="2" t="s">
        <v>1291</v>
      </c>
      <c r="D3347" s="2" t="s">
        <v>1292</v>
      </c>
      <c r="E3347" s="2" t="s">
        <v>564</v>
      </c>
      <c r="F3347" s="3">
        <v>54.2</v>
      </c>
      <c r="G3347" s="4">
        <v>60</v>
      </c>
      <c r="H3347" s="5">
        <v>1.67E-2</v>
      </c>
    </row>
    <row r="3348" spans="1:8" x14ac:dyDescent="0.35">
      <c r="A3348" s="2" t="s">
        <v>1274</v>
      </c>
      <c r="B3348" s="2" t="s">
        <v>339</v>
      </c>
      <c r="C3348" s="2" t="s">
        <v>1293</v>
      </c>
      <c r="D3348" s="2" t="s">
        <v>1294</v>
      </c>
      <c r="E3348" s="2" t="s">
        <v>836</v>
      </c>
      <c r="F3348" s="3">
        <v>54.2</v>
      </c>
      <c r="G3348" s="4">
        <v>60</v>
      </c>
      <c r="H3348" s="5">
        <v>1.67E-2</v>
      </c>
    </row>
    <row r="3349" spans="1:8" x14ac:dyDescent="0.35">
      <c r="A3349" s="2" t="s">
        <v>1274</v>
      </c>
      <c r="B3349" s="2" t="s">
        <v>339</v>
      </c>
      <c r="C3349" s="2" t="s">
        <v>1295</v>
      </c>
      <c r="D3349" s="2" t="s">
        <v>1296</v>
      </c>
      <c r="E3349" s="2" t="s">
        <v>1297</v>
      </c>
      <c r="F3349" s="3">
        <v>89.5</v>
      </c>
      <c r="G3349" s="4">
        <v>60</v>
      </c>
      <c r="H3349" s="5">
        <v>1.67E-2</v>
      </c>
    </row>
    <row r="3350" spans="1:8" x14ac:dyDescent="0.35">
      <c r="A3350" s="2" t="s">
        <v>1274</v>
      </c>
      <c r="B3350" s="2" t="s">
        <v>339</v>
      </c>
      <c r="C3350" s="2" t="s">
        <v>1298</v>
      </c>
      <c r="D3350" s="2" t="s">
        <v>1299</v>
      </c>
      <c r="E3350" s="2" t="s">
        <v>35</v>
      </c>
      <c r="F3350" s="3">
        <v>454</v>
      </c>
      <c r="G3350" s="4">
        <v>60</v>
      </c>
      <c r="H3350" s="5">
        <v>1.67E-2</v>
      </c>
    </row>
    <row r="3351" spans="1:8" x14ac:dyDescent="0.35">
      <c r="A3351" s="2" t="s">
        <v>1274</v>
      </c>
      <c r="B3351" s="2" t="s">
        <v>339</v>
      </c>
      <c r="C3351" s="2" t="s">
        <v>1300</v>
      </c>
      <c r="D3351" s="2" t="s">
        <v>1301</v>
      </c>
      <c r="E3351" s="2" t="s">
        <v>1082</v>
      </c>
      <c r="F3351" s="3">
        <v>1413</v>
      </c>
      <c r="G3351" s="4">
        <v>60</v>
      </c>
      <c r="H3351" s="5">
        <v>1.67E-2</v>
      </c>
    </row>
    <row r="3352" spans="1:8" x14ac:dyDescent="0.35">
      <c r="A3352" s="2" t="s">
        <v>1274</v>
      </c>
      <c r="B3352" s="2" t="s">
        <v>339</v>
      </c>
      <c r="C3352" s="2" t="s">
        <v>1302</v>
      </c>
      <c r="D3352" s="2" t="s">
        <v>1303</v>
      </c>
      <c r="E3352" s="2" t="s">
        <v>1304</v>
      </c>
      <c r="F3352" s="3">
        <v>951</v>
      </c>
      <c r="G3352" s="4">
        <v>60</v>
      </c>
      <c r="H3352" s="5">
        <v>1.67E-2</v>
      </c>
    </row>
    <row r="3353" spans="1:8" x14ac:dyDescent="0.35">
      <c r="A3353" s="2" t="s">
        <v>1274</v>
      </c>
      <c r="B3353" s="2" t="s">
        <v>339</v>
      </c>
      <c r="C3353" s="2" t="s">
        <v>1305</v>
      </c>
      <c r="D3353" s="2" t="s">
        <v>1306</v>
      </c>
      <c r="E3353" s="2" t="s">
        <v>1085</v>
      </c>
      <c r="F3353" s="3">
        <v>710</v>
      </c>
      <c r="G3353" s="4">
        <v>60</v>
      </c>
      <c r="H3353" s="5">
        <v>1.67E-2</v>
      </c>
    </row>
    <row r="3354" spans="1:8" x14ac:dyDescent="0.35">
      <c r="A3354" s="2" t="s">
        <v>1274</v>
      </c>
      <c r="B3354" s="2" t="s">
        <v>339</v>
      </c>
      <c r="C3354" s="2" t="s">
        <v>1307</v>
      </c>
      <c r="D3354" s="2" t="s">
        <v>355</v>
      </c>
      <c r="E3354" s="2" t="s">
        <v>356</v>
      </c>
      <c r="F3354" s="3">
        <v>224</v>
      </c>
      <c r="G3354" s="4">
        <v>60</v>
      </c>
      <c r="H3354" s="5">
        <v>1.67E-2</v>
      </c>
    </row>
    <row r="3355" spans="1:8" x14ac:dyDescent="0.35">
      <c r="A3355" s="2" t="s">
        <v>1274</v>
      </c>
      <c r="B3355" s="2" t="s">
        <v>339</v>
      </c>
      <c r="C3355" s="2" t="s">
        <v>1308</v>
      </c>
      <c r="D3355" s="2" t="s">
        <v>360</v>
      </c>
      <c r="E3355" s="2" t="s">
        <v>361</v>
      </c>
      <c r="F3355" s="3">
        <v>380</v>
      </c>
      <c r="G3355" s="4">
        <v>60</v>
      </c>
      <c r="H3355" s="5">
        <v>1.67E-2</v>
      </c>
    </row>
    <row r="3356" spans="1:8" x14ac:dyDescent="0.35">
      <c r="A3356" s="2" t="s">
        <v>1274</v>
      </c>
      <c r="B3356" s="2" t="s">
        <v>339</v>
      </c>
      <c r="C3356" s="2" t="s">
        <v>1309</v>
      </c>
      <c r="D3356" s="2" t="s">
        <v>1310</v>
      </c>
      <c r="E3356" s="2" t="s">
        <v>389</v>
      </c>
      <c r="F3356" s="3">
        <v>148.34</v>
      </c>
      <c r="G3356" s="4">
        <v>60</v>
      </c>
      <c r="H3356" s="5">
        <v>1.67E-2</v>
      </c>
    </row>
    <row r="3357" spans="1:8" x14ac:dyDescent="0.35">
      <c r="A3357" s="2" t="s">
        <v>1274</v>
      </c>
      <c r="B3357" s="2" t="s">
        <v>339</v>
      </c>
      <c r="C3357" s="2" t="s">
        <v>1311</v>
      </c>
      <c r="D3357" s="2" t="s">
        <v>1312</v>
      </c>
      <c r="E3357" s="2" t="s">
        <v>353</v>
      </c>
      <c r="F3357" s="3">
        <v>531</v>
      </c>
      <c r="G3357" s="4">
        <v>60</v>
      </c>
      <c r="H3357" s="5">
        <v>1.67E-2</v>
      </c>
    </row>
    <row r="3358" spans="1:8" x14ac:dyDescent="0.35">
      <c r="A3358" s="2" t="s">
        <v>1274</v>
      </c>
      <c r="B3358" s="2" t="s">
        <v>339</v>
      </c>
      <c r="C3358" s="2" t="s">
        <v>1313</v>
      </c>
      <c r="D3358" s="2" t="s">
        <v>1101</v>
      </c>
      <c r="E3358" s="2" t="s">
        <v>71</v>
      </c>
      <c r="F3358" s="3">
        <v>324</v>
      </c>
      <c r="G3358" s="4">
        <v>60</v>
      </c>
      <c r="H3358" s="5">
        <v>1.67E-2</v>
      </c>
    </row>
    <row r="3359" spans="1:8" x14ac:dyDescent="0.35">
      <c r="A3359" s="2" t="s">
        <v>1274</v>
      </c>
      <c r="B3359" s="2" t="s">
        <v>339</v>
      </c>
      <c r="C3359" s="2" t="s">
        <v>1314</v>
      </c>
      <c r="D3359" s="2" t="s">
        <v>1315</v>
      </c>
      <c r="E3359" s="2" t="s">
        <v>48</v>
      </c>
      <c r="F3359" s="3">
        <v>1670.42</v>
      </c>
      <c r="G3359" s="4">
        <v>60</v>
      </c>
      <c r="H3359" s="5">
        <v>1.67E-2</v>
      </c>
    </row>
    <row r="3360" spans="1:8" x14ac:dyDescent="0.35">
      <c r="A3360" s="2" t="s">
        <v>1274</v>
      </c>
      <c r="B3360" s="2" t="s">
        <v>339</v>
      </c>
      <c r="C3360" s="2" t="s">
        <v>1316</v>
      </c>
      <c r="D3360" s="2" t="s">
        <v>1317</v>
      </c>
      <c r="E3360" s="2" t="s">
        <v>104</v>
      </c>
      <c r="F3360" s="3">
        <v>51.46</v>
      </c>
      <c r="G3360" s="4">
        <v>60</v>
      </c>
      <c r="H3360" s="5">
        <v>1.67E-2</v>
      </c>
    </row>
    <row r="3361" spans="1:8" x14ac:dyDescent="0.35">
      <c r="A3361" s="2" t="s">
        <v>1274</v>
      </c>
      <c r="B3361" s="2" t="s">
        <v>339</v>
      </c>
      <c r="C3361" s="2" t="s">
        <v>1318</v>
      </c>
      <c r="D3361" s="2" t="s">
        <v>1319</v>
      </c>
      <c r="E3361" s="2" t="s">
        <v>92</v>
      </c>
      <c r="F3361" s="3">
        <v>2914.84</v>
      </c>
      <c r="G3361" s="4">
        <v>60</v>
      </c>
      <c r="H3361" s="5">
        <v>1.67E-2</v>
      </c>
    </row>
    <row r="3362" spans="1:8" ht="14.5" customHeight="1" x14ac:dyDescent="0.35">
      <c r="A3362" s="2" t="s">
        <v>1274</v>
      </c>
      <c r="B3362" s="2" t="s">
        <v>339</v>
      </c>
      <c r="C3362" s="2" t="s">
        <v>1320</v>
      </c>
      <c r="D3362" s="2" t="s">
        <v>1321</v>
      </c>
      <c r="E3362" s="2" t="s">
        <v>424</v>
      </c>
      <c r="F3362" s="3">
        <v>2089.4499999999998</v>
      </c>
      <c r="G3362" s="4">
        <v>60</v>
      </c>
      <c r="H3362" s="5">
        <v>1.67E-2</v>
      </c>
    </row>
    <row r="3363" spans="1:8" x14ac:dyDescent="0.35">
      <c r="A3363" s="2" t="s">
        <v>1274</v>
      </c>
      <c r="B3363" s="2" t="s">
        <v>339</v>
      </c>
      <c r="C3363" s="2" t="s">
        <v>1322</v>
      </c>
      <c r="D3363" s="2" t="s">
        <v>1323</v>
      </c>
      <c r="E3363" s="2" t="s">
        <v>332</v>
      </c>
      <c r="F3363" s="3">
        <v>338.8</v>
      </c>
      <c r="G3363" s="4">
        <v>60</v>
      </c>
      <c r="H3363" s="5">
        <v>1.67E-2</v>
      </c>
    </row>
    <row r="3364" spans="1:8" x14ac:dyDescent="0.35">
      <c r="A3364" s="2" t="s">
        <v>1274</v>
      </c>
      <c r="B3364" s="2" t="s">
        <v>339</v>
      </c>
      <c r="C3364" s="2" t="s">
        <v>1324</v>
      </c>
      <c r="D3364" s="2" t="s">
        <v>1325</v>
      </c>
      <c r="E3364" s="2" t="s">
        <v>48</v>
      </c>
      <c r="F3364" s="3">
        <v>220</v>
      </c>
      <c r="G3364" s="4">
        <v>60</v>
      </c>
      <c r="H3364" s="5">
        <v>1.67E-2</v>
      </c>
    </row>
    <row r="3365" spans="1:8" x14ac:dyDescent="0.35">
      <c r="A3365" s="2" t="s">
        <v>1274</v>
      </c>
      <c r="B3365" s="2" t="s">
        <v>339</v>
      </c>
      <c r="C3365" s="2" t="s">
        <v>1326</v>
      </c>
      <c r="D3365" s="2" t="s">
        <v>488</v>
      </c>
      <c r="E3365" s="2" t="s">
        <v>489</v>
      </c>
      <c r="F3365" s="3">
        <v>2800</v>
      </c>
      <c r="G3365" s="4">
        <v>60</v>
      </c>
      <c r="H3365" s="5">
        <v>1.67E-2</v>
      </c>
    </row>
    <row r="3366" spans="1:8" x14ac:dyDescent="0.35">
      <c r="A3366" s="2" t="s">
        <v>1274</v>
      </c>
      <c r="B3366" s="2" t="s">
        <v>339</v>
      </c>
      <c r="C3366" s="2" t="s">
        <v>1327</v>
      </c>
      <c r="D3366" s="2" t="s">
        <v>1328</v>
      </c>
      <c r="E3366" s="2" t="s">
        <v>1329</v>
      </c>
      <c r="F3366" s="3">
        <v>1710</v>
      </c>
      <c r="G3366" s="4">
        <v>60</v>
      </c>
      <c r="H3366" s="5">
        <v>1.67E-2</v>
      </c>
    </row>
    <row r="3367" spans="1:8" x14ac:dyDescent="0.35">
      <c r="A3367" s="2" t="s">
        <v>1274</v>
      </c>
      <c r="B3367" s="2" t="s">
        <v>339</v>
      </c>
      <c r="C3367" s="2" t="s">
        <v>1330</v>
      </c>
      <c r="D3367" s="2" t="s">
        <v>1331</v>
      </c>
      <c r="E3367" s="2" t="s">
        <v>486</v>
      </c>
      <c r="F3367" s="3">
        <v>1980</v>
      </c>
      <c r="G3367" s="4">
        <v>60</v>
      </c>
      <c r="H3367" s="5">
        <v>1.67E-2</v>
      </c>
    </row>
    <row r="3368" spans="1:8" x14ac:dyDescent="0.35">
      <c r="A3368" s="2" t="s">
        <v>1274</v>
      </c>
      <c r="B3368" s="2" t="s">
        <v>339</v>
      </c>
      <c r="C3368" s="2" t="s">
        <v>1332</v>
      </c>
      <c r="D3368" s="2" t="s">
        <v>1333</v>
      </c>
      <c r="E3368" s="2" t="s">
        <v>82</v>
      </c>
      <c r="F3368" s="3">
        <v>1710</v>
      </c>
      <c r="G3368" s="4">
        <v>60</v>
      </c>
      <c r="H3368" s="5">
        <v>1.67E-2</v>
      </c>
    </row>
    <row r="3369" spans="1:8" x14ac:dyDescent="0.35">
      <c r="A3369" s="2" t="s">
        <v>1274</v>
      </c>
      <c r="B3369" s="2" t="s">
        <v>339</v>
      </c>
      <c r="C3369" s="2" t="s">
        <v>1334</v>
      </c>
      <c r="D3369" s="2" t="s">
        <v>1335</v>
      </c>
      <c r="E3369" s="2" t="s">
        <v>35</v>
      </c>
      <c r="F3369" s="3">
        <v>1300</v>
      </c>
      <c r="G3369" s="4">
        <v>60</v>
      </c>
      <c r="H3369" s="5">
        <v>1.67E-2</v>
      </c>
    </row>
    <row r="3370" spans="1:8" x14ac:dyDescent="0.35">
      <c r="A3370" s="2" t="s">
        <v>1274</v>
      </c>
      <c r="B3370" s="2" t="s">
        <v>339</v>
      </c>
      <c r="C3370" s="2" t="s">
        <v>1336</v>
      </c>
      <c r="D3370" s="2" t="s">
        <v>1337</v>
      </c>
      <c r="E3370" s="2" t="s">
        <v>1238</v>
      </c>
      <c r="F3370" s="3">
        <v>1710</v>
      </c>
      <c r="G3370" s="4">
        <v>60</v>
      </c>
      <c r="H3370" s="5">
        <v>1.67E-2</v>
      </c>
    </row>
    <row r="3371" spans="1:8" x14ac:dyDescent="0.35">
      <c r="A3371" s="2" t="s">
        <v>1274</v>
      </c>
      <c r="B3371" s="2" t="s">
        <v>339</v>
      </c>
      <c r="C3371" s="2" t="s">
        <v>1338</v>
      </c>
      <c r="D3371" s="2" t="s">
        <v>1339</v>
      </c>
      <c r="E3371" s="2" t="s">
        <v>1340</v>
      </c>
      <c r="F3371" s="3">
        <v>1980</v>
      </c>
      <c r="G3371" s="4">
        <v>60</v>
      </c>
      <c r="H3371" s="5">
        <v>1.67E-2</v>
      </c>
    </row>
    <row r="3372" spans="1:8" x14ac:dyDescent="0.35">
      <c r="A3372" s="2" t="s">
        <v>1274</v>
      </c>
      <c r="B3372" s="2" t="s">
        <v>339</v>
      </c>
      <c r="C3372" s="2" t="s">
        <v>1341</v>
      </c>
      <c r="D3372" s="2" t="s">
        <v>1342</v>
      </c>
      <c r="E3372" s="2" t="s">
        <v>46</v>
      </c>
      <c r="F3372" s="3">
        <v>5200</v>
      </c>
      <c r="G3372" s="4">
        <v>60</v>
      </c>
      <c r="H3372" s="5">
        <v>1.67E-2</v>
      </c>
    </row>
    <row r="3373" spans="1:8" x14ac:dyDescent="0.35">
      <c r="A3373" s="2" t="s">
        <v>1274</v>
      </c>
      <c r="B3373" s="2" t="s">
        <v>339</v>
      </c>
      <c r="C3373" s="2" t="s">
        <v>1343</v>
      </c>
      <c r="D3373" s="2" t="s">
        <v>1344</v>
      </c>
      <c r="E3373" s="2" t="s">
        <v>46</v>
      </c>
      <c r="F3373" s="3">
        <v>2075</v>
      </c>
      <c r="G3373" s="4">
        <v>60</v>
      </c>
      <c r="H3373" s="5">
        <v>1.67E-2</v>
      </c>
    </row>
    <row r="3374" spans="1:8" x14ac:dyDescent="0.35">
      <c r="A3374" s="2" t="s">
        <v>1274</v>
      </c>
      <c r="B3374" s="2" t="s">
        <v>339</v>
      </c>
      <c r="C3374" s="2" t="s">
        <v>1345</v>
      </c>
      <c r="D3374" s="2" t="s">
        <v>1134</v>
      </c>
      <c r="E3374" s="2" t="s">
        <v>147</v>
      </c>
      <c r="F3374" s="3">
        <v>1774.81</v>
      </c>
      <c r="G3374" s="4">
        <v>60</v>
      </c>
      <c r="H3374" s="5">
        <v>1.67E-2</v>
      </c>
    </row>
    <row r="3375" spans="1:8" x14ac:dyDescent="0.35">
      <c r="A3375" s="2" t="s">
        <v>1274</v>
      </c>
      <c r="B3375" s="2" t="s">
        <v>339</v>
      </c>
      <c r="C3375" s="2" t="s">
        <v>1346</v>
      </c>
      <c r="D3375" s="2" t="s">
        <v>1136</v>
      </c>
      <c r="E3375" s="2" t="s">
        <v>158</v>
      </c>
      <c r="F3375" s="3">
        <v>2456.7199999999998</v>
      </c>
      <c r="G3375" s="4">
        <v>60</v>
      </c>
      <c r="H3375" s="5">
        <v>1.67E-2</v>
      </c>
    </row>
    <row r="3376" spans="1:8" x14ac:dyDescent="0.35">
      <c r="A3376" s="2" t="s">
        <v>1274</v>
      </c>
      <c r="B3376" s="2" t="s">
        <v>339</v>
      </c>
      <c r="C3376" s="2" t="s">
        <v>1347</v>
      </c>
      <c r="D3376" s="2" t="s">
        <v>1348</v>
      </c>
      <c r="E3376" s="2" t="s">
        <v>226</v>
      </c>
      <c r="F3376" s="3">
        <v>4320</v>
      </c>
      <c r="G3376" s="4">
        <v>60</v>
      </c>
      <c r="H3376" s="5">
        <v>1.67E-2</v>
      </c>
    </row>
    <row r="3377" spans="1:8" x14ac:dyDescent="0.35">
      <c r="A3377" s="2" t="s">
        <v>1274</v>
      </c>
      <c r="B3377" s="2" t="s">
        <v>339</v>
      </c>
      <c r="C3377" s="2" t="s">
        <v>1349</v>
      </c>
      <c r="D3377" s="2" t="s">
        <v>1350</v>
      </c>
      <c r="E3377" s="2" t="s">
        <v>258</v>
      </c>
      <c r="F3377" s="3">
        <v>6600</v>
      </c>
      <c r="G3377" s="4">
        <v>1</v>
      </c>
      <c r="H3377" s="5">
        <v>0</v>
      </c>
    </row>
    <row r="3378" spans="1:8" x14ac:dyDescent="0.35">
      <c r="A3378" s="2" t="s">
        <v>1274</v>
      </c>
      <c r="B3378" s="2" t="s">
        <v>339</v>
      </c>
      <c r="C3378" s="2" t="s">
        <v>1351</v>
      </c>
      <c r="D3378" s="2" t="s">
        <v>1352</v>
      </c>
      <c r="E3378" s="2" t="s">
        <v>260</v>
      </c>
      <c r="F3378" s="3">
        <v>880.38</v>
      </c>
      <c r="G3378" s="4">
        <v>1</v>
      </c>
      <c r="H3378" s="5">
        <v>0</v>
      </c>
    </row>
    <row r="3379" spans="1:8" x14ac:dyDescent="0.35">
      <c r="A3379" s="2" t="s">
        <v>1274</v>
      </c>
      <c r="B3379" s="2" t="s">
        <v>339</v>
      </c>
      <c r="C3379" s="2" t="s">
        <v>1353</v>
      </c>
      <c r="D3379" s="2" t="s">
        <v>1354</v>
      </c>
      <c r="E3379" s="2" t="s">
        <v>271</v>
      </c>
      <c r="F3379" s="3">
        <v>3094</v>
      </c>
      <c r="G3379" s="4">
        <v>1</v>
      </c>
      <c r="H3379" s="5">
        <v>0</v>
      </c>
    </row>
    <row r="3380" spans="1:8" x14ac:dyDescent="0.35">
      <c r="A3380" s="2" t="s">
        <v>1274</v>
      </c>
      <c r="B3380" s="2" t="s">
        <v>339</v>
      </c>
      <c r="C3380" s="2" t="s">
        <v>1355</v>
      </c>
      <c r="D3380" s="2" t="s">
        <v>1356</v>
      </c>
      <c r="E3380" s="2" t="s">
        <v>543</v>
      </c>
      <c r="F3380" s="3">
        <v>5764</v>
      </c>
      <c r="G3380" s="4">
        <v>1</v>
      </c>
      <c r="H3380" s="5">
        <v>0</v>
      </c>
    </row>
    <row r="3381" spans="1:8" x14ac:dyDescent="0.35">
      <c r="A3381" s="2" t="s">
        <v>1274</v>
      </c>
      <c r="B3381" s="2" t="s">
        <v>339</v>
      </c>
      <c r="C3381" s="2" t="s">
        <v>1357</v>
      </c>
      <c r="D3381" s="2" t="s">
        <v>1358</v>
      </c>
      <c r="E3381" s="2" t="s">
        <v>603</v>
      </c>
      <c r="F3381" s="3">
        <v>5840</v>
      </c>
      <c r="G3381" s="4">
        <v>60</v>
      </c>
      <c r="H3381" s="5">
        <v>1.67E-2</v>
      </c>
    </row>
    <row r="3382" spans="1:8" x14ac:dyDescent="0.35">
      <c r="A3382" s="2" t="s">
        <v>1274</v>
      </c>
      <c r="B3382" s="2" t="s">
        <v>339</v>
      </c>
      <c r="C3382" s="2" t="s">
        <v>1359</v>
      </c>
      <c r="D3382" s="2" t="s">
        <v>1360</v>
      </c>
      <c r="E3382" s="2" t="s">
        <v>69</v>
      </c>
      <c r="F3382" s="3">
        <v>0.01</v>
      </c>
      <c r="G3382" s="4">
        <v>1</v>
      </c>
      <c r="H3382" s="5">
        <v>0</v>
      </c>
    </row>
    <row r="3383" spans="1:8" ht="14.5" customHeight="1" x14ac:dyDescent="0.35">
      <c r="A3383" s="2" t="s">
        <v>1274</v>
      </c>
      <c r="B3383" s="2" t="s">
        <v>510</v>
      </c>
      <c r="C3383" s="2" t="s">
        <v>1275</v>
      </c>
      <c r="D3383" s="2" t="s">
        <v>1276</v>
      </c>
      <c r="E3383" s="2" t="s">
        <v>1277</v>
      </c>
      <c r="F3383" s="3">
        <v>50.69</v>
      </c>
      <c r="G3383" s="4">
        <v>1</v>
      </c>
      <c r="H3383" s="5">
        <v>0</v>
      </c>
    </row>
    <row r="3384" spans="1:8" ht="14.5" customHeight="1" x14ac:dyDescent="0.35">
      <c r="A3384" s="2" t="s">
        <v>1274</v>
      </c>
      <c r="B3384" s="2" t="s">
        <v>510</v>
      </c>
      <c r="C3384" s="2" t="s">
        <v>1278</v>
      </c>
      <c r="D3384" s="2" t="s">
        <v>1125</v>
      </c>
      <c r="E3384" s="2" t="s">
        <v>1126</v>
      </c>
      <c r="F3384" s="3">
        <v>50.69</v>
      </c>
      <c r="G3384" s="4">
        <v>1</v>
      </c>
      <c r="H3384" s="5">
        <v>0</v>
      </c>
    </row>
    <row r="3385" spans="1:8" ht="14.5" customHeight="1" x14ac:dyDescent="0.35">
      <c r="A3385" s="2" t="s">
        <v>1274</v>
      </c>
      <c r="B3385" s="2" t="s">
        <v>510</v>
      </c>
      <c r="C3385" s="2" t="s">
        <v>1279</v>
      </c>
      <c r="D3385" s="2" t="s">
        <v>1280</v>
      </c>
      <c r="E3385" s="2" t="s">
        <v>717</v>
      </c>
      <c r="F3385" s="3">
        <v>84.23</v>
      </c>
      <c r="G3385" s="4">
        <v>1</v>
      </c>
      <c r="H3385" s="5">
        <v>0</v>
      </c>
    </row>
    <row r="3386" spans="1:8" ht="14.5" customHeight="1" x14ac:dyDescent="0.35">
      <c r="A3386" s="2" t="s">
        <v>1274</v>
      </c>
      <c r="B3386" s="2" t="s">
        <v>510</v>
      </c>
      <c r="C3386" s="2" t="s">
        <v>1281</v>
      </c>
      <c r="D3386" s="2" t="s">
        <v>1128</v>
      </c>
      <c r="E3386" s="2" t="s">
        <v>1129</v>
      </c>
      <c r="F3386" s="3">
        <v>50.68</v>
      </c>
      <c r="G3386" s="4">
        <v>1</v>
      </c>
      <c r="H3386" s="5">
        <v>0</v>
      </c>
    </row>
    <row r="3387" spans="1:8" ht="14.5" customHeight="1" x14ac:dyDescent="0.35">
      <c r="A3387" s="2" t="s">
        <v>1274</v>
      </c>
      <c r="B3387" s="2" t="s">
        <v>510</v>
      </c>
      <c r="C3387" s="2" t="s">
        <v>1282</v>
      </c>
      <c r="D3387" s="2" t="s">
        <v>1283</v>
      </c>
      <c r="E3387" s="2" t="s">
        <v>1284</v>
      </c>
      <c r="F3387" s="3">
        <v>50.69</v>
      </c>
      <c r="G3387" s="4">
        <v>1</v>
      </c>
      <c r="H3387" s="5">
        <v>0</v>
      </c>
    </row>
    <row r="3388" spans="1:8" ht="14.5" customHeight="1" x14ac:dyDescent="0.35">
      <c r="A3388" s="2" t="s">
        <v>1274</v>
      </c>
      <c r="B3388" s="2" t="s">
        <v>510</v>
      </c>
      <c r="C3388" s="2" t="s">
        <v>1285</v>
      </c>
      <c r="D3388" s="2" t="s">
        <v>1286</v>
      </c>
      <c r="E3388" s="2" t="s">
        <v>1287</v>
      </c>
      <c r="F3388" s="3">
        <v>84.23</v>
      </c>
      <c r="G3388" s="4">
        <v>1</v>
      </c>
      <c r="H3388" s="5">
        <v>0</v>
      </c>
    </row>
    <row r="3389" spans="1:8" x14ac:dyDescent="0.35">
      <c r="A3389" s="2" t="s">
        <v>1274</v>
      </c>
      <c r="B3389" s="2" t="s">
        <v>510</v>
      </c>
      <c r="C3389" s="2" t="s">
        <v>1288</v>
      </c>
      <c r="D3389" s="2" t="s">
        <v>1289</v>
      </c>
      <c r="E3389" s="2" t="s">
        <v>1290</v>
      </c>
      <c r="F3389" s="3">
        <v>98.54</v>
      </c>
      <c r="G3389" s="4">
        <v>1</v>
      </c>
      <c r="H3389" s="5">
        <v>0</v>
      </c>
    </row>
    <row r="3390" spans="1:8" x14ac:dyDescent="0.35">
      <c r="A3390" s="2" t="s">
        <v>1274</v>
      </c>
      <c r="B3390" s="2" t="s">
        <v>510</v>
      </c>
      <c r="C3390" s="2" t="s">
        <v>1291</v>
      </c>
      <c r="D3390" s="2" t="s">
        <v>1292</v>
      </c>
      <c r="E3390" s="2" t="s">
        <v>564</v>
      </c>
      <c r="F3390" s="3">
        <v>32.5</v>
      </c>
      <c r="G3390" s="4">
        <v>1</v>
      </c>
      <c r="H3390" s="5">
        <v>0</v>
      </c>
    </row>
    <row r="3391" spans="1:8" x14ac:dyDescent="0.35">
      <c r="A3391" s="2" t="s">
        <v>1274</v>
      </c>
      <c r="B3391" s="2" t="s">
        <v>510</v>
      </c>
      <c r="C3391" s="2" t="s">
        <v>1293</v>
      </c>
      <c r="D3391" s="2" t="s">
        <v>1294</v>
      </c>
      <c r="E3391" s="2" t="s">
        <v>836</v>
      </c>
      <c r="F3391" s="3">
        <v>100.89</v>
      </c>
      <c r="G3391" s="4">
        <v>1</v>
      </c>
      <c r="H3391" s="5">
        <v>0</v>
      </c>
    </row>
    <row r="3392" spans="1:8" x14ac:dyDescent="0.35">
      <c r="A3392" s="2" t="s">
        <v>1274</v>
      </c>
      <c r="B3392" s="2" t="s">
        <v>510</v>
      </c>
      <c r="C3392" s="2" t="s">
        <v>1295</v>
      </c>
      <c r="D3392" s="2" t="s">
        <v>1296</v>
      </c>
      <c r="E3392" s="2" t="s">
        <v>1297</v>
      </c>
      <c r="F3392" s="3">
        <v>32.5</v>
      </c>
      <c r="G3392" s="4">
        <v>1</v>
      </c>
      <c r="H3392" s="5">
        <v>0</v>
      </c>
    </row>
    <row r="3393" spans="1:8" x14ac:dyDescent="0.35">
      <c r="A3393" s="2" t="s">
        <v>1274</v>
      </c>
      <c r="B3393" s="2" t="s">
        <v>510</v>
      </c>
      <c r="C3393" s="2" t="s">
        <v>1298</v>
      </c>
      <c r="D3393" s="2" t="s">
        <v>1299</v>
      </c>
      <c r="E3393" s="2" t="s">
        <v>35</v>
      </c>
      <c r="F3393" s="3">
        <v>460</v>
      </c>
      <c r="G3393" s="4">
        <v>60</v>
      </c>
      <c r="H3393" s="5">
        <v>0</v>
      </c>
    </row>
    <row r="3394" spans="1:8" x14ac:dyDescent="0.35">
      <c r="A3394" s="2" t="s">
        <v>1274</v>
      </c>
      <c r="B3394" s="2" t="s">
        <v>510</v>
      </c>
      <c r="C3394" s="2" t="s">
        <v>1300</v>
      </c>
      <c r="D3394" s="2" t="s">
        <v>1301</v>
      </c>
      <c r="E3394" s="2" t="s">
        <v>1082</v>
      </c>
      <c r="F3394" s="3">
        <v>779.99</v>
      </c>
      <c r="G3394" s="4">
        <v>60</v>
      </c>
      <c r="H3394" s="5">
        <v>0</v>
      </c>
    </row>
    <row r="3395" spans="1:8" x14ac:dyDescent="0.35">
      <c r="A3395" s="2" t="s">
        <v>1274</v>
      </c>
      <c r="B3395" s="2" t="s">
        <v>510</v>
      </c>
      <c r="C3395" s="2" t="s">
        <v>1302</v>
      </c>
      <c r="D3395" s="2" t="s">
        <v>1303</v>
      </c>
      <c r="E3395" s="2" t="s">
        <v>1304</v>
      </c>
      <c r="F3395" s="3">
        <v>499.99</v>
      </c>
      <c r="G3395" s="4">
        <v>60</v>
      </c>
      <c r="H3395" s="5">
        <v>0</v>
      </c>
    </row>
    <row r="3396" spans="1:8" x14ac:dyDescent="0.35">
      <c r="A3396" s="2" t="s">
        <v>1274</v>
      </c>
      <c r="B3396" s="2" t="s">
        <v>510</v>
      </c>
      <c r="C3396" s="2" t="s">
        <v>1305</v>
      </c>
      <c r="D3396" s="2" t="s">
        <v>1306</v>
      </c>
      <c r="E3396" s="2" t="s">
        <v>1085</v>
      </c>
      <c r="F3396" s="3">
        <v>489.99</v>
      </c>
      <c r="G3396" s="4">
        <v>60</v>
      </c>
      <c r="H3396" s="5">
        <v>0</v>
      </c>
    </row>
    <row r="3397" spans="1:8" x14ac:dyDescent="0.35">
      <c r="A3397" s="2" t="s">
        <v>1274</v>
      </c>
      <c r="B3397" s="2" t="s">
        <v>510</v>
      </c>
      <c r="C3397" s="2" t="s">
        <v>1307</v>
      </c>
      <c r="D3397" s="2" t="s">
        <v>355</v>
      </c>
      <c r="E3397" s="2" t="s">
        <v>356</v>
      </c>
      <c r="F3397" s="3">
        <v>125.97</v>
      </c>
      <c r="G3397" s="4">
        <v>60</v>
      </c>
      <c r="H3397" s="5">
        <v>0</v>
      </c>
    </row>
    <row r="3398" spans="1:8" x14ac:dyDescent="0.35">
      <c r="A3398" s="2" t="s">
        <v>1274</v>
      </c>
      <c r="B3398" s="2" t="s">
        <v>510</v>
      </c>
      <c r="C3398" s="2" t="s">
        <v>1308</v>
      </c>
      <c r="D3398" s="2" t="s">
        <v>360</v>
      </c>
      <c r="E3398" s="2" t="s">
        <v>361</v>
      </c>
      <c r="F3398" s="3">
        <v>199</v>
      </c>
      <c r="G3398" s="4">
        <v>60</v>
      </c>
      <c r="H3398" s="5">
        <v>0</v>
      </c>
    </row>
    <row r="3399" spans="1:8" x14ac:dyDescent="0.35">
      <c r="A3399" s="2" t="s">
        <v>1274</v>
      </c>
      <c r="B3399" s="2" t="s">
        <v>510</v>
      </c>
      <c r="C3399" s="2" t="s">
        <v>1309</v>
      </c>
      <c r="D3399" s="2" t="s">
        <v>1310</v>
      </c>
      <c r="E3399" s="2" t="s">
        <v>389</v>
      </c>
      <c r="F3399" s="3">
        <v>226.15</v>
      </c>
      <c r="G3399" s="4">
        <v>18</v>
      </c>
      <c r="H3399" s="5">
        <v>0</v>
      </c>
    </row>
    <row r="3400" spans="1:8" x14ac:dyDescent="0.35">
      <c r="A3400" s="2" t="s">
        <v>1274</v>
      </c>
      <c r="B3400" s="2" t="s">
        <v>510</v>
      </c>
      <c r="C3400" s="2" t="s">
        <v>1311</v>
      </c>
      <c r="D3400" s="2" t="s">
        <v>1312</v>
      </c>
      <c r="E3400" s="2" t="s">
        <v>353</v>
      </c>
      <c r="F3400" s="3">
        <v>500.76</v>
      </c>
      <c r="G3400" s="4">
        <v>36</v>
      </c>
      <c r="H3400" s="5">
        <v>0</v>
      </c>
    </row>
    <row r="3401" spans="1:8" x14ac:dyDescent="0.35">
      <c r="A3401" s="2" t="s">
        <v>1274</v>
      </c>
      <c r="B3401" s="2" t="s">
        <v>510</v>
      </c>
      <c r="C3401" s="2" t="s">
        <v>1313</v>
      </c>
      <c r="D3401" s="2" t="s">
        <v>1101</v>
      </c>
      <c r="E3401" s="2" t="s">
        <v>71</v>
      </c>
      <c r="F3401" s="3">
        <v>333.71</v>
      </c>
      <c r="G3401" s="4">
        <v>36</v>
      </c>
      <c r="H3401" s="5">
        <v>0</v>
      </c>
    </row>
    <row r="3402" spans="1:8" x14ac:dyDescent="0.35">
      <c r="A3402" s="2" t="s">
        <v>1274</v>
      </c>
      <c r="B3402" s="2" t="s">
        <v>510</v>
      </c>
      <c r="C3402" s="2" t="s">
        <v>1314</v>
      </c>
      <c r="D3402" s="2" t="s">
        <v>1315</v>
      </c>
      <c r="E3402" s="2" t="s">
        <v>48</v>
      </c>
      <c r="F3402" s="3">
        <v>540.66999999999996</v>
      </c>
      <c r="G3402" s="4">
        <v>60</v>
      </c>
      <c r="H3402" s="5">
        <v>0</v>
      </c>
    </row>
    <row r="3403" spans="1:8" x14ac:dyDescent="0.35">
      <c r="A3403" s="2" t="s">
        <v>1274</v>
      </c>
      <c r="B3403" s="2" t="s">
        <v>510</v>
      </c>
      <c r="C3403" s="2" t="s">
        <v>1316</v>
      </c>
      <c r="D3403" s="2" t="s">
        <v>1317</v>
      </c>
      <c r="E3403" s="2" t="s">
        <v>104</v>
      </c>
      <c r="F3403" s="3">
        <v>28.87</v>
      </c>
      <c r="G3403" s="4">
        <v>18</v>
      </c>
      <c r="H3403" s="5">
        <v>0</v>
      </c>
    </row>
    <row r="3404" spans="1:8" x14ac:dyDescent="0.35">
      <c r="A3404" s="2" t="s">
        <v>1274</v>
      </c>
      <c r="B3404" s="2" t="s">
        <v>510</v>
      </c>
      <c r="C3404" s="2" t="s">
        <v>1318</v>
      </c>
      <c r="D3404" s="2" t="s">
        <v>1319</v>
      </c>
      <c r="E3404" s="2" t="s">
        <v>92</v>
      </c>
      <c r="F3404" s="3">
        <v>2383.6999999999998</v>
      </c>
      <c r="G3404" s="4">
        <v>60</v>
      </c>
      <c r="H3404" s="5">
        <v>0</v>
      </c>
    </row>
    <row r="3405" spans="1:8" ht="14.5" customHeight="1" x14ac:dyDescent="0.35">
      <c r="A3405" s="2" t="s">
        <v>1274</v>
      </c>
      <c r="B3405" s="2" t="s">
        <v>510</v>
      </c>
      <c r="C3405" s="2" t="s">
        <v>1320</v>
      </c>
      <c r="D3405" s="2" t="s">
        <v>1321</v>
      </c>
      <c r="E3405" s="2" t="s">
        <v>424</v>
      </c>
      <c r="F3405" s="3">
        <v>1899.9</v>
      </c>
      <c r="G3405" s="4">
        <v>60</v>
      </c>
      <c r="H3405" s="5">
        <v>0</v>
      </c>
    </row>
    <row r="3406" spans="1:8" x14ac:dyDescent="0.35">
      <c r="A3406" s="2" t="s">
        <v>1274</v>
      </c>
      <c r="B3406" s="2" t="s">
        <v>510</v>
      </c>
      <c r="C3406" s="2" t="s">
        <v>1322</v>
      </c>
      <c r="D3406" s="2" t="s">
        <v>1323</v>
      </c>
      <c r="E3406" s="2" t="s">
        <v>332</v>
      </c>
      <c r="F3406" s="3">
        <v>412.29</v>
      </c>
      <c r="G3406" s="4">
        <v>36</v>
      </c>
      <c r="H3406" s="5">
        <v>0</v>
      </c>
    </row>
    <row r="3407" spans="1:8" x14ac:dyDescent="0.35">
      <c r="A3407" s="2" t="s">
        <v>1274</v>
      </c>
      <c r="B3407" s="2" t="s">
        <v>510</v>
      </c>
      <c r="C3407" s="2" t="s">
        <v>1324</v>
      </c>
      <c r="D3407" s="2" t="s">
        <v>1325</v>
      </c>
      <c r="E3407" s="2" t="s">
        <v>48</v>
      </c>
      <c r="F3407" s="3">
        <v>246.34</v>
      </c>
      <c r="G3407" s="4">
        <v>60</v>
      </c>
      <c r="H3407" s="5">
        <v>0</v>
      </c>
    </row>
    <row r="3408" spans="1:8" x14ac:dyDescent="0.35">
      <c r="A3408" s="2" t="s">
        <v>1274</v>
      </c>
      <c r="B3408" s="2" t="s">
        <v>510</v>
      </c>
      <c r="C3408" s="2" t="s">
        <v>1326</v>
      </c>
      <c r="D3408" s="2" t="s">
        <v>488</v>
      </c>
      <c r="E3408" s="2" t="s">
        <v>489</v>
      </c>
      <c r="F3408" s="3">
        <v>2809</v>
      </c>
      <c r="G3408" s="4">
        <v>60</v>
      </c>
      <c r="H3408" s="5">
        <v>0</v>
      </c>
    </row>
    <row r="3409" spans="1:8" x14ac:dyDescent="0.35">
      <c r="A3409" s="2" t="s">
        <v>1274</v>
      </c>
      <c r="B3409" s="2" t="s">
        <v>510</v>
      </c>
      <c r="C3409" s="2" t="s">
        <v>1327</v>
      </c>
      <c r="D3409" s="2" t="s">
        <v>1328</v>
      </c>
      <c r="E3409" s="2" t="s">
        <v>1329</v>
      </c>
      <c r="F3409" s="3">
        <v>3931.19</v>
      </c>
      <c r="G3409" s="4">
        <v>60</v>
      </c>
      <c r="H3409" s="5">
        <v>0</v>
      </c>
    </row>
    <row r="3410" spans="1:8" x14ac:dyDescent="0.35">
      <c r="A3410" s="2" t="s">
        <v>1274</v>
      </c>
      <c r="B3410" s="2" t="s">
        <v>510</v>
      </c>
      <c r="C3410" s="2" t="s">
        <v>1330</v>
      </c>
      <c r="D3410" s="2" t="s">
        <v>1331</v>
      </c>
      <c r="E3410" s="2" t="s">
        <v>486</v>
      </c>
      <c r="F3410" s="3">
        <v>3242.51</v>
      </c>
      <c r="G3410" s="4">
        <v>60</v>
      </c>
      <c r="H3410" s="5">
        <v>0</v>
      </c>
    </row>
    <row r="3411" spans="1:8" x14ac:dyDescent="0.35">
      <c r="A3411" s="2" t="s">
        <v>1274</v>
      </c>
      <c r="B3411" s="2" t="s">
        <v>510</v>
      </c>
      <c r="C3411" s="2" t="s">
        <v>1332</v>
      </c>
      <c r="D3411" s="2" t="s">
        <v>1333</v>
      </c>
      <c r="E3411" s="2" t="s">
        <v>82</v>
      </c>
      <c r="F3411" s="3">
        <v>3242.51</v>
      </c>
      <c r="G3411" s="4">
        <v>60</v>
      </c>
      <c r="H3411" s="5">
        <v>0</v>
      </c>
    </row>
    <row r="3412" spans="1:8" x14ac:dyDescent="0.35">
      <c r="A3412" s="2" t="s">
        <v>1274</v>
      </c>
      <c r="B3412" s="2" t="s">
        <v>510</v>
      </c>
      <c r="C3412" s="2" t="s">
        <v>1334</v>
      </c>
      <c r="D3412" s="2" t="s">
        <v>1335</v>
      </c>
      <c r="E3412" s="2" t="s">
        <v>35</v>
      </c>
      <c r="F3412" s="3">
        <v>979.44</v>
      </c>
      <c r="G3412" s="4">
        <v>60</v>
      </c>
      <c r="H3412" s="5">
        <v>0</v>
      </c>
    </row>
    <row r="3413" spans="1:8" x14ac:dyDescent="0.35">
      <c r="A3413" s="2" t="s">
        <v>1274</v>
      </c>
      <c r="B3413" s="2" t="s">
        <v>510</v>
      </c>
      <c r="C3413" s="2" t="s">
        <v>1336</v>
      </c>
      <c r="D3413" s="2" t="s">
        <v>1337</v>
      </c>
      <c r="E3413" s="2" t="s">
        <v>1238</v>
      </c>
      <c r="F3413" s="3">
        <v>3242.51</v>
      </c>
      <c r="G3413" s="4">
        <v>60</v>
      </c>
      <c r="H3413" s="5">
        <v>0</v>
      </c>
    </row>
    <row r="3414" spans="1:8" x14ac:dyDescent="0.35">
      <c r="A3414" s="2" t="s">
        <v>1274</v>
      </c>
      <c r="B3414" s="2" t="s">
        <v>510</v>
      </c>
      <c r="C3414" s="2" t="s">
        <v>1338</v>
      </c>
      <c r="D3414" s="2" t="s">
        <v>1339</v>
      </c>
      <c r="E3414" s="2" t="s">
        <v>1340</v>
      </c>
      <c r="F3414" s="3">
        <v>3242.51</v>
      </c>
      <c r="G3414" s="4">
        <v>60</v>
      </c>
      <c r="H3414" s="5">
        <v>0</v>
      </c>
    </row>
    <row r="3415" spans="1:8" x14ac:dyDescent="0.35">
      <c r="A3415" s="2" t="s">
        <v>1274</v>
      </c>
      <c r="B3415" s="2" t="s">
        <v>510</v>
      </c>
      <c r="C3415" s="2" t="s">
        <v>1341</v>
      </c>
      <c r="D3415" s="2" t="s">
        <v>1342</v>
      </c>
      <c r="E3415" s="2" t="s">
        <v>46</v>
      </c>
      <c r="F3415" s="3">
        <v>6709.5</v>
      </c>
      <c r="G3415" s="4">
        <v>12</v>
      </c>
      <c r="H3415" s="5">
        <v>7.4999999999999997E-3</v>
      </c>
    </row>
    <row r="3416" spans="1:8" x14ac:dyDescent="0.35">
      <c r="A3416" s="2" t="s">
        <v>1274</v>
      </c>
      <c r="B3416" s="2" t="s">
        <v>510</v>
      </c>
      <c r="C3416" s="2" t="s">
        <v>1343</v>
      </c>
      <c r="D3416" s="2" t="s">
        <v>1344</v>
      </c>
      <c r="E3416" s="2" t="s">
        <v>46</v>
      </c>
      <c r="F3416" s="3">
        <v>2539.16</v>
      </c>
      <c r="G3416" s="4">
        <v>12</v>
      </c>
      <c r="H3416" s="5">
        <v>7.4999999999999997E-3</v>
      </c>
    </row>
    <row r="3417" spans="1:8" x14ac:dyDescent="0.35">
      <c r="A3417" s="2" t="s">
        <v>1274</v>
      </c>
      <c r="B3417" s="2" t="s">
        <v>510</v>
      </c>
      <c r="C3417" s="2" t="s">
        <v>1345</v>
      </c>
      <c r="D3417" s="2" t="s">
        <v>1134</v>
      </c>
      <c r="E3417" s="2" t="s">
        <v>147</v>
      </c>
      <c r="F3417" s="3">
        <v>2950.97</v>
      </c>
      <c r="G3417" s="4">
        <v>60</v>
      </c>
      <c r="H3417" s="5">
        <v>7.4999999999999997E-3</v>
      </c>
    </row>
    <row r="3418" spans="1:8" x14ac:dyDescent="0.35">
      <c r="A3418" s="2" t="s">
        <v>1274</v>
      </c>
      <c r="B3418" s="2" t="s">
        <v>510</v>
      </c>
      <c r="C3418" s="2" t="s">
        <v>1346</v>
      </c>
      <c r="D3418" s="2" t="s">
        <v>1136</v>
      </c>
      <c r="E3418" s="2" t="s">
        <v>158</v>
      </c>
      <c r="F3418" s="3">
        <v>3828.5</v>
      </c>
      <c r="G3418" s="4">
        <v>60</v>
      </c>
      <c r="H3418" s="5">
        <v>7.4999999999999997E-3</v>
      </c>
    </row>
    <row r="3419" spans="1:8" x14ac:dyDescent="0.35">
      <c r="A3419" s="2" t="s">
        <v>1274</v>
      </c>
      <c r="B3419" s="2" t="s">
        <v>510</v>
      </c>
      <c r="C3419" s="2" t="s">
        <v>1347</v>
      </c>
      <c r="D3419" s="2" t="s">
        <v>1348</v>
      </c>
      <c r="E3419" s="2" t="s">
        <v>226</v>
      </c>
      <c r="F3419" s="3">
        <v>2712.36</v>
      </c>
      <c r="G3419" s="4">
        <v>60</v>
      </c>
      <c r="H3419" s="5">
        <v>7.4999999999999997E-3</v>
      </c>
    </row>
    <row r="3420" spans="1:8" x14ac:dyDescent="0.35">
      <c r="A3420" s="2" t="s">
        <v>1274</v>
      </c>
      <c r="B3420" s="2" t="s">
        <v>510</v>
      </c>
      <c r="C3420" s="2" t="s">
        <v>1349</v>
      </c>
      <c r="D3420" s="2" t="s">
        <v>1350</v>
      </c>
      <c r="E3420" s="2" t="s">
        <v>258</v>
      </c>
      <c r="F3420" s="3">
        <v>116880.08</v>
      </c>
      <c r="G3420" s="4">
        <v>60</v>
      </c>
      <c r="H3420" s="5">
        <v>7.4999999999999997E-3</v>
      </c>
    </row>
    <row r="3421" spans="1:8" x14ac:dyDescent="0.35">
      <c r="A3421" s="2" t="s">
        <v>1274</v>
      </c>
      <c r="B3421" s="2" t="s">
        <v>510</v>
      </c>
      <c r="C3421" s="2" t="s">
        <v>1351</v>
      </c>
      <c r="D3421" s="2" t="s">
        <v>1352</v>
      </c>
      <c r="E3421" s="2" t="s">
        <v>260</v>
      </c>
      <c r="F3421" s="3">
        <v>34515.65</v>
      </c>
      <c r="G3421" s="4">
        <v>60</v>
      </c>
      <c r="H3421" s="5">
        <v>7.4999999999999997E-3</v>
      </c>
    </row>
    <row r="3422" spans="1:8" x14ac:dyDescent="0.35">
      <c r="A3422" s="2" t="s">
        <v>1274</v>
      </c>
      <c r="B3422" s="2" t="s">
        <v>510</v>
      </c>
      <c r="C3422" s="2" t="s">
        <v>1353</v>
      </c>
      <c r="D3422" s="2" t="s">
        <v>1354</v>
      </c>
      <c r="E3422" s="2" t="s">
        <v>271</v>
      </c>
      <c r="F3422" s="3">
        <v>144419.63</v>
      </c>
      <c r="G3422" s="4">
        <v>60</v>
      </c>
      <c r="H3422" s="5">
        <v>7.4999999999999997E-3</v>
      </c>
    </row>
    <row r="3423" spans="1:8" x14ac:dyDescent="0.35">
      <c r="A3423" s="2" t="s">
        <v>1274</v>
      </c>
      <c r="B3423" s="2" t="s">
        <v>510</v>
      </c>
      <c r="C3423" s="2" t="s">
        <v>1355</v>
      </c>
      <c r="D3423" s="2" t="s">
        <v>1356</v>
      </c>
      <c r="E3423" s="2" t="s">
        <v>543</v>
      </c>
      <c r="F3423" s="3">
        <v>358849.58</v>
      </c>
      <c r="G3423" s="4">
        <v>60</v>
      </c>
      <c r="H3423" s="5">
        <v>7.4999999999999997E-3</v>
      </c>
    </row>
    <row r="3424" spans="1:8" x14ac:dyDescent="0.35">
      <c r="A3424" s="2" t="s">
        <v>1274</v>
      </c>
      <c r="B3424" s="2" t="s">
        <v>510</v>
      </c>
      <c r="C3424" s="2" t="s">
        <v>1357</v>
      </c>
      <c r="D3424" s="2" t="s">
        <v>1358</v>
      </c>
      <c r="E3424" s="2" t="s">
        <v>603</v>
      </c>
      <c r="F3424" s="3">
        <v>1039.5</v>
      </c>
      <c r="G3424" s="4">
        <v>60</v>
      </c>
      <c r="H3424" s="5">
        <v>7.4999999999999997E-3</v>
      </c>
    </row>
    <row r="3425" spans="1:8" x14ac:dyDescent="0.35">
      <c r="A3425" s="2" t="s">
        <v>1274</v>
      </c>
      <c r="B3425" s="2" t="s">
        <v>510</v>
      </c>
      <c r="C3425" s="2" t="s">
        <v>1359</v>
      </c>
      <c r="D3425" s="2" t="s">
        <v>1360</v>
      </c>
      <c r="E3425" s="2" t="s">
        <v>69</v>
      </c>
      <c r="F3425" s="3">
        <v>838.95</v>
      </c>
      <c r="G3425" s="4">
        <v>12</v>
      </c>
      <c r="H3425" s="5">
        <v>7.4999999999999997E-3</v>
      </c>
    </row>
    <row r="3426" spans="1:8" x14ac:dyDescent="0.35">
      <c r="A3426" s="2" t="s">
        <v>1361</v>
      </c>
      <c r="B3426" s="2" t="s">
        <v>291</v>
      </c>
      <c r="C3426" s="2" t="s">
        <v>551</v>
      </c>
      <c r="D3426" s="2" t="s">
        <v>552</v>
      </c>
      <c r="E3426" s="2" t="s">
        <v>71</v>
      </c>
      <c r="F3426" s="3">
        <v>598.11</v>
      </c>
      <c r="G3426" s="4">
        <v>60</v>
      </c>
      <c r="H3426" s="5">
        <v>0</v>
      </c>
    </row>
    <row r="3427" spans="1:8" x14ac:dyDescent="0.35">
      <c r="A3427" s="2" t="s">
        <v>1361</v>
      </c>
      <c r="B3427" s="2" t="s">
        <v>291</v>
      </c>
      <c r="C3427" s="2" t="s">
        <v>490</v>
      </c>
      <c r="D3427" s="2" t="s">
        <v>491</v>
      </c>
      <c r="E3427" s="2" t="s">
        <v>226</v>
      </c>
      <c r="F3427" s="3">
        <v>3150</v>
      </c>
      <c r="G3427" s="4">
        <v>60</v>
      </c>
      <c r="H3427" s="5">
        <v>7.4999999999999997E-3</v>
      </c>
    </row>
    <row r="3428" spans="1:8" x14ac:dyDescent="0.35">
      <c r="A3428" s="2" t="s">
        <v>1361</v>
      </c>
      <c r="B3428" s="2" t="s">
        <v>291</v>
      </c>
      <c r="C3428" s="2" t="s">
        <v>548</v>
      </c>
      <c r="D3428" s="2" t="s">
        <v>465</v>
      </c>
      <c r="E3428" s="6" t="s">
        <v>180</v>
      </c>
      <c r="F3428" s="3">
        <v>233.47</v>
      </c>
      <c r="G3428" s="4">
        <v>60</v>
      </c>
      <c r="H3428" s="5">
        <v>0</v>
      </c>
    </row>
    <row r="3429" spans="1:8" x14ac:dyDescent="0.35">
      <c r="A3429" s="2" t="s">
        <v>1361</v>
      </c>
      <c r="B3429" s="2" t="s">
        <v>291</v>
      </c>
      <c r="C3429" s="2" t="s">
        <v>536</v>
      </c>
      <c r="D3429" s="2" t="s">
        <v>537</v>
      </c>
      <c r="E3429" s="2" t="s">
        <v>248</v>
      </c>
      <c r="F3429" s="3">
        <v>360</v>
      </c>
      <c r="G3429" s="4">
        <v>60</v>
      </c>
      <c r="H3429" s="5">
        <v>0</v>
      </c>
    </row>
    <row r="3430" spans="1:8" x14ac:dyDescent="0.35">
      <c r="A3430" s="2" t="s">
        <v>1361</v>
      </c>
      <c r="B3430" s="2" t="s">
        <v>291</v>
      </c>
      <c r="C3430" s="2" t="s">
        <v>555</v>
      </c>
      <c r="D3430" s="2" t="s">
        <v>475</v>
      </c>
      <c r="E3430" s="2" t="s">
        <v>193</v>
      </c>
      <c r="F3430" s="3">
        <v>335</v>
      </c>
      <c r="G3430" s="4">
        <v>60</v>
      </c>
      <c r="H3430" s="5">
        <v>0</v>
      </c>
    </row>
    <row r="3431" spans="1:8" x14ac:dyDescent="0.35">
      <c r="A3431" s="2" t="s">
        <v>1361</v>
      </c>
      <c r="B3431" s="2" t="s">
        <v>291</v>
      </c>
      <c r="C3431" s="2" t="s">
        <v>521</v>
      </c>
      <c r="D3431" s="2" t="s">
        <v>522</v>
      </c>
      <c r="E3431" s="2" t="s">
        <v>59</v>
      </c>
      <c r="F3431" s="3">
        <v>338.15</v>
      </c>
      <c r="G3431" s="4">
        <v>60</v>
      </c>
      <c r="H3431" s="5">
        <v>0</v>
      </c>
    </row>
    <row r="3432" spans="1:8" x14ac:dyDescent="0.35">
      <c r="A3432" s="2" t="s">
        <v>1361</v>
      </c>
      <c r="B3432" s="2" t="s">
        <v>291</v>
      </c>
      <c r="C3432" s="2" t="s">
        <v>559</v>
      </c>
      <c r="D3432" s="2" t="s">
        <v>560</v>
      </c>
      <c r="E3432" s="2" t="s">
        <v>561</v>
      </c>
      <c r="F3432" s="3">
        <v>300</v>
      </c>
      <c r="G3432" s="4">
        <v>60</v>
      </c>
      <c r="H3432" s="5">
        <v>0</v>
      </c>
    </row>
    <row r="3433" spans="1:8" x14ac:dyDescent="0.35">
      <c r="A3433" s="2" t="s">
        <v>1361</v>
      </c>
      <c r="B3433" s="2" t="s">
        <v>291</v>
      </c>
      <c r="C3433" s="2" t="s">
        <v>512</v>
      </c>
      <c r="D3433" s="2" t="s">
        <v>451</v>
      </c>
      <c r="E3433" s="2" t="s">
        <v>452</v>
      </c>
      <c r="F3433" s="3">
        <v>80</v>
      </c>
      <c r="G3433" s="4">
        <v>1</v>
      </c>
      <c r="H3433" s="5">
        <v>0</v>
      </c>
    </row>
    <row r="3434" spans="1:8" x14ac:dyDescent="0.35">
      <c r="A3434" s="2" t="s">
        <v>1361</v>
      </c>
      <c r="B3434" s="2" t="s">
        <v>291</v>
      </c>
      <c r="C3434" s="2" t="s">
        <v>1362</v>
      </c>
      <c r="D3434" s="2" t="s">
        <v>1363</v>
      </c>
      <c r="E3434" s="2" t="s">
        <v>71</v>
      </c>
      <c r="F3434" s="3">
        <v>598.11</v>
      </c>
      <c r="G3434" s="4">
        <v>60</v>
      </c>
      <c r="H3434" s="5">
        <v>0</v>
      </c>
    </row>
    <row r="3435" spans="1:8" x14ac:dyDescent="0.35">
      <c r="A3435" s="2" t="s">
        <v>1361</v>
      </c>
      <c r="B3435" s="2" t="s">
        <v>291</v>
      </c>
      <c r="C3435" s="2" t="s">
        <v>515</v>
      </c>
      <c r="D3435" s="2" t="s">
        <v>516</v>
      </c>
      <c r="E3435" s="2" t="s">
        <v>69</v>
      </c>
      <c r="F3435" s="3">
        <v>2900</v>
      </c>
      <c r="G3435" s="4">
        <v>60</v>
      </c>
      <c r="H3435" s="5">
        <v>0</v>
      </c>
    </row>
    <row r="3436" spans="1:8" x14ac:dyDescent="0.35">
      <c r="A3436" s="2" t="s">
        <v>1361</v>
      </c>
      <c r="B3436" s="2" t="s">
        <v>291</v>
      </c>
      <c r="C3436" s="2" t="s">
        <v>513</v>
      </c>
      <c r="D3436" s="2" t="s">
        <v>514</v>
      </c>
      <c r="E3436" s="2" t="s">
        <v>271</v>
      </c>
      <c r="F3436" s="3">
        <v>10999</v>
      </c>
      <c r="G3436" s="4">
        <v>60</v>
      </c>
      <c r="H3436" s="5">
        <v>7.4999999999999997E-3</v>
      </c>
    </row>
    <row r="3437" spans="1:8" x14ac:dyDescent="0.35">
      <c r="A3437" s="2" t="s">
        <v>1361</v>
      </c>
      <c r="B3437" s="2" t="s">
        <v>291</v>
      </c>
      <c r="C3437" s="2" t="s">
        <v>500</v>
      </c>
      <c r="D3437" s="2" t="s">
        <v>501</v>
      </c>
      <c r="E3437" s="2" t="s">
        <v>46</v>
      </c>
      <c r="F3437" s="3">
        <v>4372.3900000000003</v>
      </c>
      <c r="G3437" s="4">
        <v>60</v>
      </c>
      <c r="H3437" s="5">
        <v>0</v>
      </c>
    </row>
    <row r="3438" spans="1:8" x14ac:dyDescent="0.35">
      <c r="A3438" s="2" t="s">
        <v>1361</v>
      </c>
      <c r="B3438" s="2" t="s">
        <v>291</v>
      </c>
      <c r="C3438" s="2" t="s">
        <v>1364</v>
      </c>
      <c r="D3438" s="2" t="s">
        <v>1365</v>
      </c>
      <c r="E3438" s="2" t="s">
        <v>260</v>
      </c>
      <c r="F3438" s="3">
        <v>5210.13</v>
      </c>
      <c r="G3438" s="4">
        <v>1</v>
      </c>
      <c r="H3438" s="5">
        <v>7.4999999999999997E-3</v>
      </c>
    </row>
    <row r="3439" spans="1:8" x14ac:dyDescent="0.35">
      <c r="A3439" s="2" t="s">
        <v>1361</v>
      </c>
      <c r="B3439" s="2" t="s">
        <v>291</v>
      </c>
      <c r="C3439" s="2" t="s">
        <v>549</v>
      </c>
      <c r="D3439" s="2" t="s">
        <v>550</v>
      </c>
      <c r="E3439" s="2" t="s">
        <v>82</v>
      </c>
      <c r="F3439" s="3">
        <v>3200</v>
      </c>
      <c r="G3439" s="4">
        <v>60</v>
      </c>
      <c r="H3439" s="5">
        <v>0</v>
      </c>
    </row>
    <row r="3440" spans="1:8" x14ac:dyDescent="0.35">
      <c r="A3440" s="2" t="s">
        <v>1361</v>
      </c>
      <c r="B3440" s="2" t="s">
        <v>291</v>
      </c>
      <c r="C3440" s="2" t="s">
        <v>526</v>
      </c>
      <c r="D3440" s="2" t="s">
        <v>527</v>
      </c>
      <c r="E3440" s="2" t="s">
        <v>315</v>
      </c>
      <c r="F3440" s="3">
        <v>120</v>
      </c>
      <c r="G3440" s="4">
        <v>36</v>
      </c>
      <c r="H3440" s="5">
        <v>0</v>
      </c>
    </row>
    <row r="3441" spans="1:8" x14ac:dyDescent="0.35">
      <c r="A3441" s="2" t="s">
        <v>1361</v>
      </c>
      <c r="B3441" s="2" t="s">
        <v>291</v>
      </c>
      <c r="C3441" s="2" t="s">
        <v>1366</v>
      </c>
      <c r="D3441" s="2" t="s">
        <v>456</v>
      </c>
      <c r="E3441" s="2" t="s">
        <v>35</v>
      </c>
      <c r="F3441" s="3">
        <v>1350</v>
      </c>
      <c r="G3441" s="4">
        <v>36</v>
      </c>
      <c r="H3441" s="5">
        <v>0</v>
      </c>
    </row>
    <row r="3442" spans="1:8" x14ac:dyDescent="0.35">
      <c r="A3442" s="2" t="s">
        <v>1361</v>
      </c>
      <c r="B3442" s="2" t="s">
        <v>291</v>
      </c>
      <c r="C3442" s="2" t="s">
        <v>540</v>
      </c>
      <c r="D3442" s="2" t="s">
        <v>483</v>
      </c>
      <c r="E3442" s="2" t="s">
        <v>322</v>
      </c>
      <c r="F3442" s="3">
        <v>32</v>
      </c>
      <c r="G3442" s="4">
        <v>60</v>
      </c>
      <c r="H3442" s="5">
        <v>0</v>
      </c>
    </row>
    <row r="3443" spans="1:8" x14ac:dyDescent="0.35">
      <c r="A3443" s="2" t="s">
        <v>1361</v>
      </c>
      <c r="B3443" s="2" t="s">
        <v>291</v>
      </c>
      <c r="C3443" s="2" t="s">
        <v>520</v>
      </c>
      <c r="D3443" s="2" t="s">
        <v>449</v>
      </c>
      <c r="E3443" s="2" t="s">
        <v>300</v>
      </c>
      <c r="F3443" s="3">
        <v>30</v>
      </c>
      <c r="G3443" s="4">
        <v>60</v>
      </c>
      <c r="H3443" s="5">
        <v>0</v>
      </c>
    </row>
    <row r="3444" spans="1:8" x14ac:dyDescent="0.35">
      <c r="A3444" s="2" t="s">
        <v>1361</v>
      </c>
      <c r="B3444" s="2" t="s">
        <v>291</v>
      </c>
      <c r="C3444" s="2" t="s">
        <v>565</v>
      </c>
      <c r="D3444" s="2" t="s">
        <v>566</v>
      </c>
      <c r="E3444" s="2" t="s">
        <v>567</v>
      </c>
      <c r="F3444" s="3">
        <v>22.91</v>
      </c>
      <c r="G3444" s="4">
        <v>1</v>
      </c>
      <c r="H3444" s="5">
        <v>0</v>
      </c>
    </row>
    <row r="3445" spans="1:8" x14ac:dyDescent="0.35">
      <c r="A3445" s="2" t="s">
        <v>1361</v>
      </c>
      <c r="B3445" s="2" t="s">
        <v>291</v>
      </c>
      <c r="C3445" s="2" t="s">
        <v>517</v>
      </c>
      <c r="D3445" s="2" t="s">
        <v>477</v>
      </c>
      <c r="E3445" s="2" t="s">
        <v>92</v>
      </c>
      <c r="F3445" s="3">
        <v>1200</v>
      </c>
      <c r="G3445" s="4">
        <v>36</v>
      </c>
      <c r="H3445" s="5">
        <v>0</v>
      </c>
    </row>
    <row r="3446" spans="1:8" x14ac:dyDescent="0.35">
      <c r="A3446" s="2" t="s">
        <v>1361</v>
      </c>
      <c r="B3446" s="2" t="s">
        <v>291</v>
      </c>
      <c r="C3446" s="2" t="s">
        <v>1367</v>
      </c>
      <c r="D3446" s="2" t="s">
        <v>1368</v>
      </c>
      <c r="E3446" s="2" t="s">
        <v>930</v>
      </c>
      <c r="F3446" s="3">
        <v>20.65</v>
      </c>
      <c r="G3446" s="4">
        <v>36</v>
      </c>
      <c r="H3446" s="5">
        <v>0</v>
      </c>
    </row>
    <row r="3447" spans="1:8" ht="14.5" customHeight="1" x14ac:dyDescent="0.35">
      <c r="A3447" s="2" t="s">
        <v>1361</v>
      </c>
      <c r="B3447" s="2" t="s">
        <v>291</v>
      </c>
      <c r="C3447" s="2" t="s">
        <v>1369</v>
      </c>
      <c r="D3447" s="2" t="s">
        <v>1370</v>
      </c>
      <c r="E3447" s="2" t="s">
        <v>191</v>
      </c>
      <c r="F3447" s="3">
        <v>1850</v>
      </c>
      <c r="G3447" s="4">
        <v>60</v>
      </c>
      <c r="H3447" s="5">
        <v>0</v>
      </c>
    </row>
    <row r="3448" spans="1:8" x14ac:dyDescent="0.35">
      <c r="A3448" s="2" t="s">
        <v>1361</v>
      </c>
      <c r="B3448" s="2" t="s">
        <v>291</v>
      </c>
      <c r="C3448" s="2" t="s">
        <v>498</v>
      </c>
      <c r="D3448" s="2" t="s">
        <v>499</v>
      </c>
      <c r="E3448" s="6" t="s">
        <v>147</v>
      </c>
      <c r="F3448" s="3">
        <v>1625</v>
      </c>
      <c r="G3448" s="4">
        <v>60</v>
      </c>
      <c r="H3448" s="5">
        <v>7.4999999999999997E-3</v>
      </c>
    </row>
    <row r="3449" spans="1:8" x14ac:dyDescent="0.35">
      <c r="A3449" s="2" t="s">
        <v>1361</v>
      </c>
      <c r="B3449" s="2" t="s">
        <v>291</v>
      </c>
      <c r="C3449" s="2" t="s">
        <v>502</v>
      </c>
      <c r="D3449" s="2" t="s">
        <v>503</v>
      </c>
      <c r="E3449" s="2" t="s">
        <v>504</v>
      </c>
      <c r="F3449" s="3">
        <v>36470.160000000003</v>
      </c>
      <c r="G3449" s="4">
        <v>60</v>
      </c>
      <c r="H3449" s="5">
        <v>7.4999999999999997E-3</v>
      </c>
    </row>
    <row r="3450" spans="1:8" x14ac:dyDescent="0.35">
      <c r="A3450" s="2" t="s">
        <v>1361</v>
      </c>
      <c r="B3450" s="2" t="s">
        <v>291</v>
      </c>
      <c r="C3450" s="2" t="s">
        <v>1371</v>
      </c>
      <c r="D3450" s="2" t="s">
        <v>563</v>
      </c>
      <c r="E3450" s="2" t="s">
        <v>564</v>
      </c>
      <c r="F3450" s="3">
        <v>35.28</v>
      </c>
      <c r="G3450" s="4">
        <v>36</v>
      </c>
      <c r="H3450" s="5">
        <v>0</v>
      </c>
    </row>
    <row r="3451" spans="1:8" x14ac:dyDescent="0.35">
      <c r="A3451" s="2" t="s">
        <v>1361</v>
      </c>
      <c r="B3451" s="2" t="s">
        <v>291</v>
      </c>
      <c r="C3451" s="2" t="s">
        <v>538</v>
      </c>
      <c r="D3451" s="2" t="s">
        <v>539</v>
      </c>
      <c r="E3451" s="2" t="s">
        <v>303</v>
      </c>
      <c r="F3451" s="3">
        <v>50</v>
      </c>
      <c r="G3451" s="4">
        <v>12</v>
      </c>
      <c r="H3451" s="5">
        <v>0</v>
      </c>
    </row>
    <row r="3452" spans="1:8" x14ac:dyDescent="0.35">
      <c r="A3452" s="2" t="s">
        <v>1361</v>
      </c>
      <c r="B3452" s="2" t="s">
        <v>291</v>
      </c>
      <c r="C3452" s="2" t="s">
        <v>1372</v>
      </c>
      <c r="D3452" s="2" t="s">
        <v>1373</v>
      </c>
      <c r="E3452" s="2" t="s">
        <v>1374</v>
      </c>
      <c r="F3452" s="3">
        <v>1500</v>
      </c>
      <c r="G3452" s="4">
        <v>60</v>
      </c>
      <c r="H3452" s="5">
        <v>0</v>
      </c>
    </row>
    <row r="3453" spans="1:8" x14ac:dyDescent="0.35">
      <c r="A3453" s="2" t="s">
        <v>1361</v>
      </c>
      <c r="B3453" s="2" t="s">
        <v>291</v>
      </c>
      <c r="C3453" s="2" t="s">
        <v>1375</v>
      </c>
      <c r="D3453" s="2" t="s">
        <v>497</v>
      </c>
      <c r="E3453" s="2" t="s">
        <v>258</v>
      </c>
      <c r="F3453" s="3">
        <v>68610.14</v>
      </c>
      <c r="G3453" s="4">
        <v>12</v>
      </c>
      <c r="H3453" s="5">
        <v>7.4999999999999997E-3</v>
      </c>
    </row>
    <row r="3454" spans="1:8" x14ac:dyDescent="0.35">
      <c r="A3454" s="2" t="s">
        <v>1361</v>
      </c>
      <c r="B3454" s="2" t="s">
        <v>1376</v>
      </c>
      <c r="C3454" s="2" t="s">
        <v>551</v>
      </c>
      <c r="D3454" s="2" t="s">
        <v>552</v>
      </c>
      <c r="E3454" s="2" t="s">
        <v>71</v>
      </c>
      <c r="F3454" s="3">
        <v>961.6</v>
      </c>
      <c r="G3454" s="4">
        <v>30</v>
      </c>
      <c r="H3454" s="5">
        <v>0</v>
      </c>
    </row>
    <row r="3455" spans="1:8" x14ac:dyDescent="0.35">
      <c r="A3455" s="2" t="s">
        <v>1361</v>
      </c>
      <c r="B3455" s="2" t="s">
        <v>1376</v>
      </c>
      <c r="C3455" s="2" t="s">
        <v>490</v>
      </c>
      <c r="D3455" s="2" t="s">
        <v>491</v>
      </c>
      <c r="E3455" s="2" t="s">
        <v>226</v>
      </c>
      <c r="F3455" s="3">
        <v>1500</v>
      </c>
      <c r="G3455" s="4">
        <v>30</v>
      </c>
      <c r="H3455" s="5">
        <v>0</v>
      </c>
    </row>
    <row r="3456" spans="1:8" x14ac:dyDescent="0.35">
      <c r="A3456" s="2" t="s">
        <v>1361</v>
      </c>
      <c r="B3456" s="2" t="s">
        <v>1376</v>
      </c>
      <c r="C3456" s="2" t="s">
        <v>548</v>
      </c>
      <c r="D3456" s="2" t="s">
        <v>465</v>
      </c>
      <c r="E3456" s="6" t="s">
        <v>180</v>
      </c>
      <c r="F3456" s="3">
        <v>172.62</v>
      </c>
      <c r="G3456" s="4">
        <v>24</v>
      </c>
      <c r="H3456" s="5">
        <v>0</v>
      </c>
    </row>
    <row r="3457" spans="1:8" x14ac:dyDescent="0.35">
      <c r="A3457" s="2" t="s">
        <v>1361</v>
      </c>
      <c r="B3457" s="2" t="s">
        <v>1376</v>
      </c>
      <c r="C3457" s="2" t="s">
        <v>536</v>
      </c>
      <c r="D3457" s="2" t="s">
        <v>537</v>
      </c>
      <c r="E3457" s="2" t="s">
        <v>248</v>
      </c>
      <c r="F3457" s="3">
        <v>250</v>
      </c>
      <c r="G3457" s="4">
        <v>24</v>
      </c>
      <c r="H3457" s="5">
        <v>0</v>
      </c>
    </row>
    <row r="3458" spans="1:8" x14ac:dyDescent="0.35">
      <c r="A3458" s="2" t="s">
        <v>1361</v>
      </c>
      <c r="B3458" s="2" t="s">
        <v>1376</v>
      </c>
      <c r="C3458" s="2" t="s">
        <v>555</v>
      </c>
      <c r="D3458" s="2" t="s">
        <v>475</v>
      </c>
      <c r="E3458" s="2" t="s">
        <v>193</v>
      </c>
      <c r="F3458" s="3">
        <v>357.14</v>
      </c>
      <c r="G3458" s="4">
        <v>24</v>
      </c>
      <c r="H3458" s="5">
        <v>0</v>
      </c>
    </row>
    <row r="3459" spans="1:8" x14ac:dyDescent="0.35">
      <c r="A3459" s="2" t="s">
        <v>1361</v>
      </c>
      <c r="B3459" s="2" t="s">
        <v>1376</v>
      </c>
      <c r="C3459" s="2" t="s">
        <v>521</v>
      </c>
      <c r="D3459" s="2" t="s">
        <v>522</v>
      </c>
      <c r="E3459" s="2" t="s">
        <v>59</v>
      </c>
      <c r="F3459" s="3">
        <v>138.9</v>
      </c>
      <c r="G3459" s="4">
        <v>24</v>
      </c>
      <c r="H3459" s="5">
        <v>0</v>
      </c>
    </row>
    <row r="3460" spans="1:8" x14ac:dyDescent="0.35">
      <c r="A3460" s="2" t="s">
        <v>1361</v>
      </c>
      <c r="B3460" s="2" t="s">
        <v>1376</v>
      </c>
      <c r="C3460" s="2" t="s">
        <v>559</v>
      </c>
      <c r="D3460" s="2" t="s">
        <v>560</v>
      </c>
      <c r="E3460" s="2" t="s">
        <v>561</v>
      </c>
      <c r="F3460" s="3">
        <v>305.95</v>
      </c>
      <c r="G3460" s="4">
        <v>24</v>
      </c>
      <c r="H3460" s="5">
        <v>0</v>
      </c>
    </row>
    <row r="3461" spans="1:8" x14ac:dyDescent="0.35">
      <c r="A3461" s="2" t="s">
        <v>1361</v>
      </c>
      <c r="B3461" s="2" t="s">
        <v>1376</v>
      </c>
      <c r="C3461" s="2" t="s">
        <v>512</v>
      </c>
      <c r="D3461" s="2" t="s">
        <v>451</v>
      </c>
      <c r="E3461" s="2" t="s">
        <v>452</v>
      </c>
      <c r="F3461" s="3">
        <v>115</v>
      </c>
      <c r="G3461" s="4">
        <v>1</v>
      </c>
      <c r="H3461" s="5">
        <v>0</v>
      </c>
    </row>
    <row r="3462" spans="1:8" x14ac:dyDescent="0.35">
      <c r="A3462" s="2" t="s">
        <v>1361</v>
      </c>
      <c r="B3462" s="2" t="s">
        <v>1376</v>
      </c>
      <c r="C3462" s="2" t="s">
        <v>1362</v>
      </c>
      <c r="D3462" s="2" t="s">
        <v>1363</v>
      </c>
      <c r="E3462" s="2" t="s">
        <v>71</v>
      </c>
      <c r="F3462" s="3">
        <v>357.14</v>
      </c>
      <c r="G3462" s="4">
        <v>30</v>
      </c>
      <c r="H3462" s="5">
        <v>0</v>
      </c>
    </row>
    <row r="3463" spans="1:8" x14ac:dyDescent="0.35">
      <c r="A3463" s="2" t="s">
        <v>1361</v>
      </c>
      <c r="B3463" s="2" t="s">
        <v>1376</v>
      </c>
      <c r="C3463" s="2" t="s">
        <v>515</v>
      </c>
      <c r="D3463" s="2" t="s">
        <v>516</v>
      </c>
      <c r="E3463" s="2" t="s">
        <v>69</v>
      </c>
      <c r="F3463" s="3">
        <v>486.9</v>
      </c>
      <c r="G3463" s="4">
        <v>24</v>
      </c>
      <c r="H3463" s="5">
        <v>0</v>
      </c>
    </row>
    <row r="3464" spans="1:8" x14ac:dyDescent="0.35">
      <c r="A3464" s="2" t="s">
        <v>1361</v>
      </c>
      <c r="B3464" s="2" t="s">
        <v>1376</v>
      </c>
      <c r="C3464" s="2" t="s">
        <v>513</v>
      </c>
      <c r="D3464" s="2" t="s">
        <v>514</v>
      </c>
      <c r="E3464" s="2" t="s">
        <v>271</v>
      </c>
      <c r="F3464" s="3">
        <v>71428.570000000007</v>
      </c>
      <c r="G3464" s="4">
        <v>48</v>
      </c>
      <c r="H3464" s="5">
        <v>0</v>
      </c>
    </row>
    <row r="3465" spans="1:8" x14ac:dyDescent="0.35">
      <c r="A3465" s="2" t="s">
        <v>1361</v>
      </c>
      <c r="B3465" s="2" t="s">
        <v>1376</v>
      </c>
      <c r="C3465" s="2" t="s">
        <v>500</v>
      </c>
      <c r="D3465" s="2" t="s">
        <v>501</v>
      </c>
      <c r="E3465" s="2" t="s">
        <v>46</v>
      </c>
      <c r="F3465" s="3">
        <v>1282.05</v>
      </c>
      <c r="G3465" s="4">
        <v>30</v>
      </c>
      <c r="H3465" s="5">
        <v>0</v>
      </c>
    </row>
    <row r="3466" spans="1:8" x14ac:dyDescent="0.35">
      <c r="A3466" s="2" t="s">
        <v>1361</v>
      </c>
      <c r="B3466" s="2" t="s">
        <v>1376</v>
      </c>
      <c r="C3466" s="2" t="s">
        <v>1364</v>
      </c>
      <c r="D3466" s="2" t="s">
        <v>1365</v>
      </c>
      <c r="E3466" s="2" t="s">
        <v>260</v>
      </c>
      <c r="F3466" s="3">
        <v>15321.43</v>
      </c>
      <c r="G3466" s="4">
        <v>36</v>
      </c>
      <c r="H3466" s="5">
        <v>0</v>
      </c>
    </row>
    <row r="3467" spans="1:8" x14ac:dyDescent="0.35">
      <c r="A3467" s="2" t="s">
        <v>1361</v>
      </c>
      <c r="B3467" s="2" t="s">
        <v>1376</v>
      </c>
      <c r="C3467" s="2" t="s">
        <v>549</v>
      </c>
      <c r="D3467" s="2" t="s">
        <v>550</v>
      </c>
      <c r="E3467" s="2" t="s">
        <v>82</v>
      </c>
      <c r="F3467" s="3">
        <v>1904.76</v>
      </c>
      <c r="G3467" s="4">
        <v>30</v>
      </c>
      <c r="H3467" s="5">
        <v>0</v>
      </c>
    </row>
    <row r="3468" spans="1:8" x14ac:dyDescent="0.35">
      <c r="A3468" s="2" t="s">
        <v>1361</v>
      </c>
      <c r="B3468" s="2" t="s">
        <v>1376</v>
      </c>
      <c r="C3468" s="2" t="s">
        <v>526</v>
      </c>
      <c r="D3468" s="2" t="s">
        <v>527</v>
      </c>
      <c r="E3468" s="2" t="s">
        <v>315</v>
      </c>
      <c r="F3468" s="3">
        <v>50</v>
      </c>
      <c r="G3468" s="4">
        <v>30</v>
      </c>
      <c r="H3468" s="5">
        <v>0</v>
      </c>
    </row>
    <row r="3469" spans="1:8" x14ac:dyDescent="0.35">
      <c r="A3469" s="2" t="s">
        <v>1361</v>
      </c>
      <c r="B3469" s="2" t="s">
        <v>1376</v>
      </c>
      <c r="C3469" s="2" t="s">
        <v>1366</v>
      </c>
      <c r="D3469" s="2" t="s">
        <v>456</v>
      </c>
      <c r="E3469" s="2" t="s">
        <v>35</v>
      </c>
      <c r="F3469" s="3">
        <v>818.38</v>
      </c>
      <c r="G3469" s="4">
        <v>30</v>
      </c>
      <c r="H3469" s="5">
        <v>0</v>
      </c>
    </row>
    <row r="3470" spans="1:8" x14ac:dyDescent="0.35">
      <c r="A3470" s="2" t="s">
        <v>1361</v>
      </c>
      <c r="B3470" s="2" t="s">
        <v>1376</v>
      </c>
      <c r="C3470" s="2" t="s">
        <v>540</v>
      </c>
      <c r="D3470" s="2" t="s">
        <v>483</v>
      </c>
      <c r="E3470" s="2" t="s">
        <v>322</v>
      </c>
      <c r="F3470" s="3">
        <v>33.33</v>
      </c>
      <c r="G3470" s="4">
        <v>24</v>
      </c>
      <c r="H3470" s="5">
        <v>0</v>
      </c>
    </row>
    <row r="3471" spans="1:8" x14ac:dyDescent="0.35">
      <c r="A3471" s="2" t="s">
        <v>1361</v>
      </c>
      <c r="B3471" s="2" t="s">
        <v>1376</v>
      </c>
      <c r="C3471" s="2" t="s">
        <v>520</v>
      </c>
      <c r="D3471" s="2" t="s">
        <v>449</v>
      </c>
      <c r="E3471" s="2" t="s">
        <v>300</v>
      </c>
      <c r="F3471" s="3">
        <v>0</v>
      </c>
      <c r="G3471" s="4">
        <v>0</v>
      </c>
      <c r="H3471" s="5">
        <v>0</v>
      </c>
    </row>
    <row r="3472" spans="1:8" x14ac:dyDescent="0.35">
      <c r="A3472" s="2" t="s">
        <v>1361</v>
      </c>
      <c r="B3472" s="2" t="s">
        <v>1376</v>
      </c>
      <c r="C3472" s="2" t="s">
        <v>565</v>
      </c>
      <c r="D3472" s="2" t="s">
        <v>566</v>
      </c>
      <c r="E3472" s="2" t="s">
        <v>567</v>
      </c>
      <c r="F3472" s="3">
        <v>136.9</v>
      </c>
      <c r="G3472" s="4">
        <v>24</v>
      </c>
      <c r="H3472" s="5">
        <v>0</v>
      </c>
    </row>
    <row r="3473" spans="1:8" x14ac:dyDescent="0.35">
      <c r="A3473" s="2" t="s">
        <v>1361</v>
      </c>
      <c r="B3473" s="2" t="s">
        <v>1376</v>
      </c>
      <c r="C3473" s="2" t="s">
        <v>517</v>
      </c>
      <c r="D3473" s="2" t="s">
        <v>477</v>
      </c>
      <c r="E3473" s="2" t="s">
        <v>92</v>
      </c>
      <c r="F3473" s="3">
        <v>1321.43</v>
      </c>
      <c r="G3473" s="4">
        <v>30</v>
      </c>
      <c r="H3473" s="5">
        <v>0</v>
      </c>
    </row>
    <row r="3474" spans="1:8" x14ac:dyDescent="0.35">
      <c r="A3474" s="2" t="s">
        <v>1361</v>
      </c>
      <c r="B3474" s="2" t="s">
        <v>1376</v>
      </c>
      <c r="C3474" s="2" t="s">
        <v>1367</v>
      </c>
      <c r="D3474" s="2" t="s">
        <v>1368</v>
      </c>
      <c r="E3474" s="2" t="s">
        <v>930</v>
      </c>
      <c r="F3474" s="3">
        <v>47.62</v>
      </c>
      <c r="G3474" s="4">
        <v>12</v>
      </c>
      <c r="H3474" s="5">
        <v>0</v>
      </c>
    </row>
    <row r="3475" spans="1:8" ht="14.5" customHeight="1" x14ac:dyDescent="0.35">
      <c r="A3475" s="2" t="s">
        <v>1361</v>
      </c>
      <c r="B3475" s="2" t="s">
        <v>1376</v>
      </c>
      <c r="C3475" s="2" t="s">
        <v>1369</v>
      </c>
      <c r="D3475" s="2" t="s">
        <v>1370</v>
      </c>
      <c r="E3475" s="2" t="s">
        <v>191</v>
      </c>
      <c r="F3475" s="3">
        <v>2232.15</v>
      </c>
      <c r="G3475" s="4">
        <v>30</v>
      </c>
      <c r="H3475" s="5">
        <v>0</v>
      </c>
    </row>
    <row r="3476" spans="1:8" x14ac:dyDescent="0.35">
      <c r="A3476" s="2" t="s">
        <v>1361</v>
      </c>
      <c r="B3476" s="2" t="s">
        <v>1376</v>
      </c>
      <c r="C3476" s="2" t="s">
        <v>498</v>
      </c>
      <c r="D3476" s="2" t="s">
        <v>499</v>
      </c>
      <c r="E3476" s="6" t="s">
        <v>147</v>
      </c>
      <c r="F3476" s="3">
        <v>238.08</v>
      </c>
      <c r="G3476" s="4">
        <v>24</v>
      </c>
      <c r="H3476" s="5">
        <v>0</v>
      </c>
    </row>
    <row r="3477" spans="1:8" x14ac:dyDescent="0.35">
      <c r="A3477" s="2" t="s">
        <v>1361</v>
      </c>
      <c r="B3477" s="2" t="s">
        <v>1376</v>
      </c>
      <c r="C3477" s="2" t="s">
        <v>502</v>
      </c>
      <c r="D3477" s="2" t="s">
        <v>503</v>
      </c>
      <c r="E3477" s="2" t="s">
        <v>504</v>
      </c>
      <c r="F3477" s="3">
        <v>0</v>
      </c>
      <c r="G3477" s="4">
        <v>0</v>
      </c>
      <c r="H3477" s="5">
        <v>0</v>
      </c>
    </row>
    <row r="3478" spans="1:8" x14ac:dyDescent="0.35">
      <c r="A3478" s="2" t="s">
        <v>1361</v>
      </c>
      <c r="B3478" s="2" t="s">
        <v>1376</v>
      </c>
      <c r="C3478" s="2" t="s">
        <v>1371</v>
      </c>
      <c r="D3478" s="2" t="s">
        <v>563</v>
      </c>
      <c r="E3478" s="2" t="s">
        <v>564</v>
      </c>
      <c r="F3478" s="3">
        <v>50</v>
      </c>
      <c r="G3478" s="4">
        <v>24</v>
      </c>
      <c r="H3478" s="5">
        <v>0</v>
      </c>
    </row>
    <row r="3479" spans="1:8" x14ac:dyDescent="0.35">
      <c r="A3479" s="2" t="s">
        <v>1361</v>
      </c>
      <c r="B3479" s="2" t="s">
        <v>1376</v>
      </c>
      <c r="C3479" s="2" t="s">
        <v>538</v>
      </c>
      <c r="D3479" s="2" t="s">
        <v>539</v>
      </c>
      <c r="E3479" s="2" t="s">
        <v>303</v>
      </c>
      <c r="F3479" s="3">
        <v>47.62</v>
      </c>
      <c r="G3479" s="4">
        <v>24</v>
      </c>
      <c r="H3479" s="5">
        <v>0</v>
      </c>
    </row>
    <row r="3480" spans="1:8" x14ac:dyDescent="0.35">
      <c r="A3480" s="2" t="s">
        <v>1361</v>
      </c>
      <c r="B3480" s="2" t="s">
        <v>1376</v>
      </c>
      <c r="C3480" s="2" t="s">
        <v>1372</v>
      </c>
      <c r="D3480" s="2" t="s">
        <v>1373</v>
      </c>
      <c r="E3480" s="2" t="s">
        <v>1374</v>
      </c>
      <c r="F3480" s="3">
        <v>713.1</v>
      </c>
      <c r="G3480" s="4">
        <v>24</v>
      </c>
      <c r="H3480" s="5">
        <v>0</v>
      </c>
    </row>
    <row r="3481" spans="1:8" x14ac:dyDescent="0.35">
      <c r="A3481" s="2" t="s">
        <v>1361</v>
      </c>
      <c r="B3481" s="2" t="s">
        <v>1376</v>
      </c>
      <c r="C3481" s="2" t="s">
        <v>1375</v>
      </c>
      <c r="D3481" s="2" t="s">
        <v>497</v>
      </c>
      <c r="E3481" s="2" t="s">
        <v>258</v>
      </c>
      <c r="F3481" s="3">
        <v>0</v>
      </c>
      <c r="G3481" s="4">
        <v>0</v>
      </c>
      <c r="H3481" s="5">
        <v>0</v>
      </c>
    </row>
    <row r="3482" spans="1:8" x14ac:dyDescent="0.35">
      <c r="A3482" s="2" t="s">
        <v>1361</v>
      </c>
      <c r="B3482" s="2" t="s">
        <v>510</v>
      </c>
      <c r="C3482" s="2" t="s">
        <v>551</v>
      </c>
      <c r="D3482" s="2" t="s">
        <v>552</v>
      </c>
      <c r="E3482" s="2" t="s">
        <v>71</v>
      </c>
      <c r="F3482" s="3">
        <v>2100</v>
      </c>
      <c r="G3482" s="4">
        <v>36</v>
      </c>
      <c r="H3482" s="5">
        <v>0</v>
      </c>
    </row>
    <row r="3483" spans="1:8" x14ac:dyDescent="0.35">
      <c r="A3483" s="2" t="s">
        <v>1361</v>
      </c>
      <c r="B3483" s="2" t="s">
        <v>510</v>
      </c>
      <c r="C3483" s="2" t="s">
        <v>490</v>
      </c>
      <c r="D3483" s="2" t="s">
        <v>491</v>
      </c>
      <c r="E3483" s="2" t="s">
        <v>226</v>
      </c>
      <c r="F3483" s="3">
        <v>3150</v>
      </c>
      <c r="G3483" s="4">
        <v>60</v>
      </c>
      <c r="H3483" s="5">
        <v>7.4999999999999997E-3</v>
      </c>
    </row>
    <row r="3484" spans="1:8" x14ac:dyDescent="0.35">
      <c r="A3484" s="2" t="s">
        <v>1361</v>
      </c>
      <c r="B3484" s="2" t="s">
        <v>510</v>
      </c>
      <c r="C3484" s="2" t="s">
        <v>548</v>
      </c>
      <c r="D3484" s="2" t="s">
        <v>465</v>
      </c>
      <c r="E3484" s="6" t="s">
        <v>180</v>
      </c>
      <c r="F3484" s="3">
        <v>127</v>
      </c>
      <c r="G3484" s="4">
        <v>36</v>
      </c>
      <c r="H3484" s="5">
        <v>0</v>
      </c>
    </row>
    <row r="3485" spans="1:8" x14ac:dyDescent="0.35">
      <c r="A3485" s="2" t="s">
        <v>1361</v>
      </c>
      <c r="B3485" s="2" t="s">
        <v>510</v>
      </c>
      <c r="C3485" s="2" t="s">
        <v>536</v>
      </c>
      <c r="D3485" s="2" t="s">
        <v>537</v>
      </c>
      <c r="E3485" s="2" t="s">
        <v>248</v>
      </c>
      <c r="F3485" s="3">
        <v>300</v>
      </c>
      <c r="G3485" s="4">
        <v>60</v>
      </c>
      <c r="H3485" s="5">
        <v>0</v>
      </c>
    </row>
    <row r="3486" spans="1:8" x14ac:dyDescent="0.35">
      <c r="A3486" s="2" t="s">
        <v>1361</v>
      </c>
      <c r="B3486" s="2" t="s">
        <v>510</v>
      </c>
      <c r="C3486" s="2" t="s">
        <v>555</v>
      </c>
      <c r="D3486" s="2" t="s">
        <v>475</v>
      </c>
      <c r="E3486" s="2" t="s">
        <v>193</v>
      </c>
      <c r="F3486" s="3">
        <v>153</v>
      </c>
      <c r="G3486" s="4">
        <v>36</v>
      </c>
      <c r="H3486" s="5">
        <v>0</v>
      </c>
    </row>
    <row r="3487" spans="1:8" x14ac:dyDescent="0.35">
      <c r="A3487" s="2" t="s">
        <v>1361</v>
      </c>
      <c r="B3487" s="2" t="s">
        <v>510</v>
      </c>
      <c r="C3487" s="2" t="s">
        <v>521</v>
      </c>
      <c r="D3487" s="2" t="s">
        <v>522</v>
      </c>
      <c r="E3487" s="2" t="s">
        <v>59</v>
      </c>
      <c r="F3487" s="3">
        <v>22.9</v>
      </c>
      <c r="G3487" s="4">
        <v>36</v>
      </c>
      <c r="H3487" s="5">
        <v>0</v>
      </c>
    </row>
    <row r="3488" spans="1:8" x14ac:dyDescent="0.35">
      <c r="A3488" s="2" t="s">
        <v>1361</v>
      </c>
      <c r="B3488" s="2" t="s">
        <v>510</v>
      </c>
      <c r="C3488" s="2" t="s">
        <v>559</v>
      </c>
      <c r="D3488" s="2" t="s">
        <v>560</v>
      </c>
      <c r="E3488" s="2" t="s">
        <v>561</v>
      </c>
      <c r="F3488" s="3">
        <v>220</v>
      </c>
      <c r="G3488" s="4">
        <v>36</v>
      </c>
      <c r="H3488" s="5">
        <v>0</v>
      </c>
    </row>
    <row r="3489" spans="1:8" x14ac:dyDescent="0.35">
      <c r="A3489" s="2" t="s">
        <v>1361</v>
      </c>
      <c r="B3489" s="2" t="s">
        <v>510</v>
      </c>
      <c r="C3489" s="2" t="s">
        <v>512</v>
      </c>
      <c r="D3489" s="2" t="s">
        <v>451</v>
      </c>
      <c r="E3489" s="2" t="s">
        <v>452</v>
      </c>
      <c r="F3489" s="3">
        <v>50</v>
      </c>
      <c r="G3489" s="4">
        <v>1</v>
      </c>
      <c r="H3489" s="5">
        <v>0</v>
      </c>
    </row>
    <row r="3490" spans="1:8" x14ac:dyDescent="0.35">
      <c r="A3490" s="2" t="s">
        <v>1361</v>
      </c>
      <c r="B3490" s="2" t="s">
        <v>510</v>
      </c>
      <c r="C3490" s="2" t="s">
        <v>1362</v>
      </c>
      <c r="D3490" s="2" t="s">
        <v>1363</v>
      </c>
      <c r="E3490" s="2" t="s">
        <v>71</v>
      </c>
      <c r="F3490" s="3">
        <v>280</v>
      </c>
      <c r="G3490" s="4">
        <v>12</v>
      </c>
      <c r="H3490" s="5">
        <v>0</v>
      </c>
    </row>
    <row r="3491" spans="1:8" x14ac:dyDescent="0.35">
      <c r="A3491" s="2" t="s">
        <v>1361</v>
      </c>
      <c r="B3491" s="2" t="s">
        <v>510</v>
      </c>
      <c r="C3491" s="2" t="s">
        <v>515</v>
      </c>
      <c r="D3491" s="2" t="s">
        <v>516</v>
      </c>
      <c r="E3491" s="2" t="s">
        <v>69</v>
      </c>
      <c r="F3491" s="3">
        <v>1190</v>
      </c>
      <c r="G3491" s="4">
        <v>60</v>
      </c>
      <c r="H3491" s="5">
        <v>0</v>
      </c>
    </row>
    <row r="3492" spans="1:8" x14ac:dyDescent="0.35">
      <c r="A3492" s="2" t="s">
        <v>1361</v>
      </c>
      <c r="B3492" s="2" t="s">
        <v>510</v>
      </c>
      <c r="C3492" s="2" t="s">
        <v>513</v>
      </c>
      <c r="D3492" s="2" t="s">
        <v>514</v>
      </c>
      <c r="E3492" s="2" t="s">
        <v>271</v>
      </c>
      <c r="F3492" s="3">
        <v>10999</v>
      </c>
      <c r="G3492" s="4">
        <v>60</v>
      </c>
      <c r="H3492" s="5">
        <v>7.4999999999999997E-3</v>
      </c>
    </row>
    <row r="3493" spans="1:8" x14ac:dyDescent="0.35">
      <c r="A3493" s="2" t="s">
        <v>1361</v>
      </c>
      <c r="B3493" s="2" t="s">
        <v>510</v>
      </c>
      <c r="C3493" s="2" t="s">
        <v>500</v>
      </c>
      <c r="D3493" s="2" t="s">
        <v>501</v>
      </c>
      <c r="E3493" s="2" t="s">
        <v>46</v>
      </c>
      <c r="F3493" s="3">
        <v>4372.3900000000003</v>
      </c>
      <c r="G3493" s="4">
        <v>60</v>
      </c>
      <c r="H3493" s="5">
        <v>0</v>
      </c>
    </row>
    <row r="3494" spans="1:8" x14ac:dyDescent="0.35">
      <c r="A3494" s="2" t="s">
        <v>1361</v>
      </c>
      <c r="B3494" s="2" t="s">
        <v>510</v>
      </c>
      <c r="C3494" s="2" t="s">
        <v>1364</v>
      </c>
      <c r="D3494" s="2" t="s">
        <v>1365</v>
      </c>
      <c r="E3494" s="2" t="s">
        <v>260</v>
      </c>
      <c r="F3494" s="3">
        <v>10000</v>
      </c>
      <c r="G3494" s="4">
        <v>60</v>
      </c>
      <c r="H3494" s="5">
        <v>7.4999999999999997E-3</v>
      </c>
    </row>
    <row r="3495" spans="1:8" x14ac:dyDescent="0.35">
      <c r="A3495" s="2" t="s">
        <v>1361</v>
      </c>
      <c r="B3495" s="2" t="s">
        <v>510</v>
      </c>
      <c r="C3495" s="2" t="s">
        <v>549</v>
      </c>
      <c r="D3495" s="2" t="s">
        <v>550</v>
      </c>
      <c r="E3495" s="2" t="s">
        <v>82</v>
      </c>
      <c r="F3495" s="3">
        <v>600</v>
      </c>
      <c r="G3495" s="4">
        <v>60</v>
      </c>
      <c r="H3495" s="5">
        <v>0</v>
      </c>
    </row>
    <row r="3496" spans="1:8" x14ac:dyDescent="0.35">
      <c r="A3496" s="2" t="s">
        <v>1361</v>
      </c>
      <c r="B3496" s="2" t="s">
        <v>510</v>
      </c>
      <c r="C3496" s="2" t="s">
        <v>526</v>
      </c>
      <c r="D3496" s="2" t="s">
        <v>527</v>
      </c>
      <c r="E3496" s="2" t="s">
        <v>315</v>
      </c>
      <c r="F3496" s="3">
        <v>120</v>
      </c>
      <c r="G3496" s="4">
        <v>36</v>
      </c>
      <c r="H3496" s="5">
        <v>0</v>
      </c>
    </row>
    <row r="3497" spans="1:8" x14ac:dyDescent="0.35">
      <c r="A3497" s="2" t="s">
        <v>1361</v>
      </c>
      <c r="B3497" s="2" t="s">
        <v>510</v>
      </c>
      <c r="C3497" s="2" t="s">
        <v>1366</v>
      </c>
      <c r="D3497" s="2" t="s">
        <v>456</v>
      </c>
      <c r="E3497" s="2" t="s">
        <v>35</v>
      </c>
      <c r="F3497" s="3">
        <v>804.21</v>
      </c>
      <c r="G3497" s="4">
        <v>36</v>
      </c>
      <c r="H3497" s="5">
        <v>0</v>
      </c>
    </row>
    <row r="3498" spans="1:8" x14ac:dyDescent="0.35">
      <c r="A3498" s="2" t="s">
        <v>1361</v>
      </c>
      <c r="B3498" s="2" t="s">
        <v>510</v>
      </c>
      <c r="C3498" s="2" t="s">
        <v>540</v>
      </c>
      <c r="D3498" s="2" t="s">
        <v>483</v>
      </c>
      <c r="E3498" s="2" t="s">
        <v>322</v>
      </c>
      <c r="F3498" s="3">
        <v>32</v>
      </c>
      <c r="G3498" s="4">
        <v>60</v>
      </c>
      <c r="H3498" s="5">
        <v>0</v>
      </c>
    </row>
    <row r="3499" spans="1:8" x14ac:dyDescent="0.35">
      <c r="A3499" s="2" t="s">
        <v>1361</v>
      </c>
      <c r="B3499" s="2" t="s">
        <v>510</v>
      </c>
      <c r="C3499" s="2" t="s">
        <v>520</v>
      </c>
      <c r="D3499" s="2" t="s">
        <v>449</v>
      </c>
      <c r="E3499" s="2" t="s">
        <v>300</v>
      </c>
      <c r="F3499" s="3">
        <v>30</v>
      </c>
      <c r="G3499" s="4">
        <v>60</v>
      </c>
      <c r="H3499" s="5">
        <v>0</v>
      </c>
    </row>
    <row r="3500" spans="1:8" x14ac:dyDescent="0.35">
      <c r="A3500" s="2" t="s">
        <v>1361</v>
      </c>
      <c r="B3500" s="2" t="s">
        <v>510</v>
      </c>
      <c r="C3500" s="2" t="s">
        <v>565</v>
      </c>
      <c r="D3500" s="2" t="s">
        <v>566</v>
      </c>
      <c r="E3500" s="2" t="s">
        <v>567</v>
      </c>
      <c r="F3500" s="3">
        <v>22.91</v>
      </c>
      <c r="G3500" s="4">
        <v>1</v>
      </c>
      <c r="H3500" s="5">
        <v>0</v>
      </c>
    </row>
    <row r="3501" spans="1:8" x14ac:dyDescent="0.35">
      <c r="A3501" s="2" t="s">
        <v>1361</v>
      </c>
      <c r="B3501" s="2" t="s">
        <v>510</v>
      </c>
      <c r="C3501" s="2" t="s">
        <v>517</v>
      </c>
      <c r="D3501" s="2" t="s">
        <v>477</v>
      </c>
      <c r="E3501" s="2" t="s">
        <v>92</v>
      </c>
      <c r="F3501" s="3">
        <v>1066.05</v>
      </c>
      <c r="G3501" s="4">
        <v>36</v>
      </c>
      <c r="H3501" s="5">
        <v>0</v>
      </c>
    </row>
    <row r="3502" spans="1:8" x14ac:dyDescent="0.35">
      <c r="A3502" s="2" t="s">
        <v>1361</v>
      </c>
      <c r="B3502" s="2" t="s">
        <v>510</v>
      </c>
      <c r="C3502" s="2" t="s">
        <v>1367</v>
      </c>
      <c r="D3502" s="2" t="s">
        <v>1368</v>
      </c>
      <c r="E3502" s="2" t="s">
        <v>930</v>
      </c>
      <c r="F3502" s="3">
        <v>20.65</v>
      </c>
      <c r="G3502" s="4">
        <v>36</v>
      </c>
      <c r="H3502" s="5">
        <v>0</v>
      </c>
    </row>
    <row r="3503" spans="1:8" ht="14.5" customHeight="1" x14ac:dyDescent="0.35">
      <c r="A3503" s="2" t="s">
        <v>1361</v>
      </c>
      <c r="B3503" s="2" t="s">
        <v>510</v>
      </c>
      <c r="C3503" s="2" t="s">
        <v>1369</v>
      </c>
      <c r="D3503" s="2" t="s">
        <v>1370</v>
      </c>
      <c r="E3503" s="2" t="s">
        <v>191</v>
      </c>
      <c r="F3503" s="3">
        <v>1850</v>
      </c>
      <c r="G3503" s="4">
        <v>60</v>
      </c>
      <c r="H3503" s="5">
        <v>0</v>
      </c>
    </row>
    <row r="3504" spans="1:8" x14ac:dyDescent="0.35">
      <c r="A3504" s="2" t="s">
        <v>1361</v>
      </c>
      <c r="B3504" s="2" t="s">
        <v>510</v>
      </c>
      <c r="C3504" s="2" t="s">
        <v>498</v>
      </c>
      <c r="D3504" s="2" t="s">
        <v>499</v>
      </c>
      <c r="E3504" s="6" t="s">
        <v>147</v>
      </c>
      <c r="F3504" s="3">
        <v>1365</v>
      </c>
      <c r="G3504" s="4">
        <v>60</v>
      </c>
      <c r="H3504" s="5">
        <v>7.4999999999999997E-3</v>
      </c>
    </row>
    <row r="3505" spans="1:8" x14ac:dyDescent="0.35">
      <c r="A3505" s="2" t="s">
        <v>1361</v>
      </c>
      <c r="B3505" s="2" t="s">
        <v>510</v>
      </c>
      <c r="C3505" s="2" t="s">
        <v>502</v>
      </c>
      <c r="D3505" s="2" t="s">
        <v>503</v>
      </c>
      <c r="E3505" s="2" t="s">
        <v>504</v>
      </c>
      <c r="F3505" s="3">
        <v>7000</v>
      </c>
      <c r="G3505" s="4">
        <v>60</v>
      </c>
      <c r="H3505" s="5">
        <v>7.4999999999999997E-3</v>
      </c>
    </row>
    <row r="3506" spans="1:8" x14ac:dyDescent="0.35">
      <c r="A3506" s="2" t="s">
        <v>1361</v>
      </c>
      <c r="B3506" s="2" t="s">
        <v>510</v>
      </c>
      <c r="C3506" s="2" t="s">
        <v>1371</v>
      </c>
      <c r="D3506" s="2" t="s">
        <v>563</v>
      </c>
      <c r="E3506" s="2" t="s">
        <v>564</v>
      </c>
      <c r="F3506" s="3">
        <v>35.28</v>
      </c>
      <c r="G3506" s="4">
        <v>36</v>
      </c>
      <c r="H3506" s="5">
        <v>0</v>
      </c>
    </row>
    <row r="3507" spans="1:8" x14ac:dyDescent="0.35">
      <c r="A3507" s="2" t="s">
        <v>1361</v>
      </c>
      <c r="B3507" s="2" t="s">
        <v>510</v>
      </c>
      <c r="C3507" s="2" t="s">
        <v>538</v>
      </c>
      <c r="D3507" s="2" t="s">
        <v>539</v>
      </c>
      <c r="E3507" s="2" t="s">
        <v>303</v>
      </c>
      <c r="F3507" s="3">
        <v>50</v>
      </c>
      <c r="G3507" s="4">
        <v>12</v>
      </c>
      <c r="H3507" s="5">
        <v>0</v>
      </c>
    </row>
    <row r="3508" spans="1:8" x14ac:dyDescent="0.35">
      <c r="A3508" s="2" t="s">
        <v>1361</v>
      </c>
      <c r="B3508" s="2" t="s">
        <v>510</v>
      </c>
      <c r="C3508" s="2" t="s">
        <v>1372</v>
      </c>
      <c r="D3508" s="2" t="s">
        <v>1373</v>
      </c>
      <c r="E3508" s="2" t="s">
        <v>1374</v>
      </c>
      <c r="F3508" s="3">
        <v>1500</v>
      </c>
      <c r="G3508" s="4">
        <v>60</v>
      </c>
      <c r="H3508" s="5">
        <v>0</v>
      </c>
    </row>
    <row r="3509" spans="1:8" x14ac:dyDescent="0.35">
      <c r="A3509" s="2" t="s">
        <v>1361</v>
      </c>
      <c r="B3509" s="2" t="s">
        <v>510</v>
      </c>
      <c r="C3509" s="2" t="s">
        <v>1375</v>
      </c>
      <c r="D3509" s="2" t="s">
        <v>497</v>
      </c>
      <c r="E3509" s="2" t="s">
        <v>258</v>
      </c>
      <c r="F3509" s="3">
        <v>68610.14</v>
      </c>
      <c r="G3509" s="4">
        <v>60</v>
      </c>
      <c r="H3509" s="5">
        <v>7.4999999999999997E-3</v>
      </c>
    </row>
    <row r="3510" spans="1:8" x14ac:dyDescent="0.35">
      <c r="A3510" s="2" t="s">
        <v>1361</v>
      </c>
      <c r="B3510" s="2" t="s">
        <v>509</v>
      </c>
      <c r="C3510" s="2" t="s">
        <v>551</v>
      </c>
      <c r="D3510" s="2" t="s">
        <v>552</v>
      </c>
      <c r="E3510" s="2" t="s">
        <v>71</v>
      </c>
      <c r="F3510" s="3">
        <v>213.82</v>
      </c>
      <c r="G3510" s="4">
        <v>12</v>
      </c>
      <c r="H3510" s="5">
        <v>0.01</v>
      </c>
    </row>
    <row r="3511" spans="1:8" x14ac:dyDescent="0.35">
      <c r="A3511" s="2" t="s">
        <v>1361</v>
      </c>
      <c r="B3511" s="2" t="s">
        <v>509</v>
      </c>
      <c r="C3511" s="2" t="s">
        <v>490</v>
      </c>
      <c r="D3511" s="2" t="s">
        <v>491</v>
      </c>
      <c r="E3511" s="2" t="s">
        <v>226</v>
      </c>
      <c r="F3511" s="3">
        <v>2116.15</v>
      </c>
      <c r="G3511" s="4">
        <v>1</v>
      </c>
      <c r="H3511" s="5">
        <v>0.01</v>
      </c>
    </row>
    <row r="3512" spans="1:8" x14ac:dyDescent="0.35">
      <c r="A3512" s="2" t="s">
        <v>1361</v>
      </c>
      <c r="B3512" s="2" t="s">
        <v>509</v>
      </c>
      <c r="C3512" s="2" t="s">
        <v>548</v>
      </c>
      <c r="D3512" s="2" t="s">
        <v>465</v>
      </c>
      <c r="E3512" s="6" t="s">
        <v>180</v>
      </c>
      <c r="F3512" s="3">
        <v>239.32</v>
      </c>
      <c r="G3512" s="4">
        <v>36</v>
      </c>
      <c r="H3512" s="5">
        <v>0.01</v>
      </c>
    </row>
    <row r="3513" spans="1:8" x14ac:dyDescent="0.35">
      <c r="A3513" s="2" t="s">
        <v>1361</v>
      </c>
      <c r="B3513" s="2" t="s">
        <v>509</v>
      </c>
      <c r="C3513" s="2" t="s">
        <v>536</v>
      </c>
      <c r="D3513" s="2" t="s">
        <v>537</v>
      </c>
      <c r="E3513" s="2" t="s">
        <v>248</v>
      </c>
      <c r="F3513" s="3">
        <v>108.34</v>
      </c>
      <c r="G3513" s="4">
        <v>12</v>
      </c>
      <c r="H3513" s="5">
        <v>0.01</v>
      </c>
    </row>
    <row r="3514" spans="1:8" x14ac:dyDescent="0.35">
      <c r="A3514" s="2" t="s">
        <v>1361</v>
      </c>
      <c r="B3514" s="2" t="s">
        <v>509</v>
      </c>
      <c r="C3514" s="2" t="s">
        <v>555</v>
      </c>
      <c r="D3514" s="2" t="s">
        <v>475</v>
      </c>
      <c r="E3514" s="2" t="s">
        <v>193</v>
      </c>
      <c r="F3514" s="3">
        <v>185</v>
      </c>
      <c r="G3514" s="4">
        <v>12</v>
      </c>
      <c r="H3514" s="5">
        <v>0.01</v>
      </c>
    </row>
    <row r="3515" spans="1:8" x14ac:dyDescent="0.35">
      <c r="A3515" s="2" t="s">
        <v>1361</v>
      </c>
      <c r="B3515" s="2" t="s">
        <v>509</v>
      </c>
      <c r="C3515" s="2" t="s">
        <v>521</v>
      </c>
      <c r="D3515" s="2" t="s">
        <v>522</v>
      </c>
      <c r="E3515" s="2" t="s">
        <v>59</v>
      </c>
      <c r="F3515" s="3">
        <v>242.26</v>
      </c>
      <c r="G3515" s="4">
        <v>36</v>
      </c>
      <c r="H3515" s="5">
        <v>0.01</v>
      </c>
    </row>
    <row r="3516" spans="1:8" x14ac:dyDescent="0.35">
      <c r="A3516" s="2" t="s">
        <v>1361</v>
      </c>
      <c r="B3516" s="2" t="s">
        <v>509</v>
      </c>
      <c r="C3516" s="2" t="s">
        <v>559</v>
      </c>
      <c r="D3516" s="2" t="s">
        <v>560</v>
      </c>
      <c r="E3516" s="2" t="s">
        <v>561</v>
      </c>
      <c r="F3516" s="3">
        <v>2000</v>
      </c>
      <c r="G3516" s="4">
        <v>36</v>
      </c>
      <c r="H3516" s="5">
        <v>0.01</v>
      </c>
    </row>
    <row r="3517" spans="1:8" x14ac:dyDescent="0.35">
      <c r="A3517" s="2" t="s">
        <v>1361</v>
      </c>
      <c r="B3517" s="2" t="s">
        <v>509</v>
      </c>
      <c r="C3517" s="2" t="s">
        <v>512</v>
      </c>
      <c r="D3517" s="2" t="s">
        <v>451</v>
      </c>
      <c r="E3517" s="2" t="s">
        <v>452</v>
      </c>
      <c r="F3517" s="3">
        <v>56.17</v>
      </c>
      <c r="G3517" s="4">
        <v>1</v>
      </c>
      <c r="H3517" s="5">
        <v>0</v>
      </c>
    </row>
    <row r="3518" spans="1:8" x14ac:dyDescent="0.35">
      <c r="A3518" s="2" t="s">
        <v>1361</v>
      </c>
      <c r="B3518" s="2" t="s">
        <v>509</v>
      </c>
      <c r="C3518" s="2" t="s">
        <v>1362</v>
      </c>
      <c r="D3518" s="2" t="s">
        <v>1363</v>
      </c>
      <c r="E3518" s="2" t="s">
        <v>71</v>
      </c>
      <c r="F3518" s="3">
        <v>213.82</v>
      </c>
      <c r="G3518" s="4">
        <v>12</v>
      </c>
      <c r="H3518" s="5">
        <v>0.01</v>
      </c>
    </row>
    <row r="3519" spans="1:8" x14ac:dyDescent="0.35">
      <c r="A3519" s="2" t="s">
        <v>1361</v>
      </c>
      <c r="B3519" s="2" t="s">
        <v>509</v>
      </c>
      <c r="C3519" s="2" t="s">
        <v>515</v>
      </c>
      <c r="D3519" s="2" t="s">
        <v>516</v>
      </c>
      <c r="E3519" s="2" t="s">
        <v>69</v>
      </c>
      <c r="F3519" s="3">
        <v>729.03</v>
      </c>
      <c r="G3519" s="4">
        <v>1</v>
      </c>
      <c r="H3519" s="5">
        <v>0</v>
      </c>
    </row>
    <row r="3520" spans="1:8" x14ac:dyDescent="0.35">
      <c r="A3520" s="2" t="s">
        <v>1361</v>
      </c>
      <c r="B3520" s="2" t="s">
        <v>509</v>
      </c>
      <c r="C3520" s="2" t="s">
        <v>513</v>
      </c>
      <c r="D3520" s="2" t="s">
        <v>514</v>
      </c>
      <c r="E3520" s="2" t="s">
        <v>271</v>
      </c>
      <c r="F3520" s="3">
        <v>3182.71</v>
      </c>
      <c r="G3520" s="4">
        <v>1</v>
      </c>
      <c r="H3520" s="5">
        <v>0</v>
      </c>
    </row>
    <row r="3521" spans="1:8" x14ac:dyDescent="0.35">
      <c r="A3521" s="2" t="s">
        <v>1361</v>
      </c>
      <c r="B3521" s="2" t="s">
        <v>509</v>
      </c>
      <c r="C3521" s="2" t="s">
        <v>500</v>
      </c>
      <c r="D3521" s="2" t="s">
        <v>501</v>
      </c>
      <c r="E3521" s="2" t="s">
        <v>46</v>
      </c>
      <c r="F3521" s="3">
        <v>4214</v>
      </c>
      <c r="G3521" s="4">
        <v>36</v>
      </c>
      <c r="H3521" s="5">
        <v>0.01</v>
      </c>
    </row>
    <row r="3522" spans="1:8" x14ac:dyDescent="0.35">
      <c r="A3522" s="2" t="s">
        <v>1361</v>
      </c>
      <c r="B3522" s="2" t="s">
        <v>509</v>
      </c>
      <c r="C3522" s="2" t="s">
        <v>1364</v>
      </c>
      <c r="D3522" s="2" t="s">
        <v>1365</v>
      </c>
      <c r="E3522" s="2" t="s">
        <v>260</v>
      </c>
      <c r="F3522" s="3">
        <v>821.45</v>
      </c>
      <c r="G3522" s="4">
        <v>1</v>
      </c>
      <c r="H3522" s="5">
        <v>0</v>
      </c>
    </row>
    <row r="3523" spans="1:8" x14ac:dyDescent="0.35">
      <c r="A3523" s="2" t="s">
        <v>1361</v>
      </c>
      <c r="B3523" s="2" t="s">
        <v>509</v>
      </c>
      <c r="C3523" s="2" t="s">
        <v>549</v>
      </c>
      <c r="D3523" s="2" t="s">
        <v>550</v>
      </c>
      <c r="E3523" s="2" t="s">
        <v>82</v>
      </c>
      <c r="F3523" s="3">
        <v>1295.6600000000001</v>
      </c>
      <c r="G3523" s="4">
        <v>12</v>
      </c>
      <c r="H3523" s="5">
        <v>0.01</v>
      </c>
    </row>
    <row r="3524" spans="1:8" x14ac:dyDescent="0.35">
      <c r="A3524" s="2" t="s">
        <v>1361</v>
      </c>
      <c r="B3524" s="2" t="s">
        <v>509</v>
      </c>
      <c r="C3524" s="2" t="s">
        <v>526</v>
      </c>
      <c r="D3524" s="2" t="s">
        <v>527</v>
      </c>
      <c r="E3524" s="2" t="s">
        <v>315</v>
      </c>
      <c r="F3524" s="3">
        <v>137.44999999999999</v>
      </c>
      <c r="G3524" s="4">
        <v>6</v>
      </c>
      <c r="H3524" s="5">
        <v>0.01</v>
      </c>
    </row>
    <row r="3525" spans="1:8" x14ac:dyDescent="0.35">
      <c r="A3525" s="2" t="s">
        <v>1361</v>
      </c>
      <c r="B3525" s="2" t="s">
        <v>509</v>
      </c>
      <c r="C3525" s="2" t="s">
        <v>1366</v>
      </c>
      <c r="D3525" s="2" t="s">
        <v>456</v>
      </c>
      <c r="E3525" s="2" t="s">
        <v>35</v>
      </c>
      <c r="F3525" s="3">
        <v>1066</v>
      </c>
      <c r="G3525" s="4">
        <v>36</v>
      </c>
      <c r="H3525" s="5">
        <v>0.01</v>
      </c>
    </row>
    <row r="3526" spans="1:8" x14ac:dyDescent="0.35">
      <c r="A3526" s="2" t="s">
        <v>1361</v>
      </c>
      <c r="B3526" s="2" t="s">
        <v>509</v>
      </c>
      <c r="C3526" s="2" t="s">
        <v>540</v>
      </c>
      <c r="D3526" s="2" t="s">
        <v>483</v>
      </c>
      <c r="E3526" s="2" t="s">
        <v>322</v>
      </c>
      <c r="F3526" s="3">
        <v>44.07</v>
      </c>
      <c r="G3526" s="4">
        <v>10</v>
      </c>
      <c r="H3526" s="5">
        <v>0.01</v>
      </c>
    </row>
    <row r="3527" spans="1:8" x14ac:dyDescent="0.35">
      <c r="A3527" s="2" t="s">
        <v>1361</v>
      </c>
      <c r="B3527" s="2" t="s">
        <v>509</v>
      </c>
      <c r="C3527" s="2" t="s">
        <v>520</v>
      </c>
      <c r="D3527" s="2" t="s">
        <v>449</v>
      </c>
      <c r="E3527" s="2" t="s">
        <v>300</v>
      </c>
      <c r="F3527" s="3">
        <v>21.75</v>
      </c>
      <c r="G3527" s="4">
        <v>10</v>
      </c>
      <c r="H3527" s="5">
        <v>0.01</v>
      </c>
    </row>
    <row r="3528" spans="1:8" x14ac:dyDescent="0.35">
      <c r="A3528" s="2" t="s">
        <v>1361</v>
      </c>
      <c r="B3528" s="2" t="s">
        <v>509</v>
      </c>
      <c r="C3528" s="2" t="s">
        <v>565</v>
      </c>
      <c r="D3528" s="2" t="s">
        <v>566</v>
      </c>
      <c r="E3528" s="2" t="s">
        <v>567</v>
      </c>
      <c r="F3528" s="3">
        <v>22.91</v>
      </c>
      <c r="G3528" s="4">
        <v>1</v>
      </c>
      <c r="H3528" s="5">
        <v>0</v>
      </c>
    </row>
    <row r="3529" spans="1:8" x14ac:dyDescent="0.35">
      <c r="A3529" s="2" t="s">
        <v>1361</v>
      </c>
      <c r="B3529" s="2" t="s">
        <v>509</v>
      </c>
      <c r="C3529" s="2" t="s">
        <v>517</v>
      </c>
      <c r="D3529" s="2" t="s">
        <v>477</v>
      </c>
      <c r="E3529" s="2" t="s">
        <v>92</v>
      </c>
      <c r="F3529" s="3">
        <v>1261.74</v>
      </c>
      <c r="G3529" s="4">
        <v>36</v>
      </c>
      <c r="H3529" s="5">
        <v>0.01</v>
      </c>
    </row>
    <row r="3530" spans="1:8" x14ac:dyDescent="0.35">
      <c r="A3530" s="2" t="s">
        <v>1361</v>
      </c>
      <c r="B3530" s="2" t="s">
        <v>509</v>
      </c>
      <c r="C3530" s="2" t="s">
        <v>1367</v>
      </c>
      <c r="D3530" s="2" t="s">
        <v>1368</v>
      </c>
      <c r="E3530" s="2" t="s">
        <v>930</v>
      </c>
      <c r="F3530" s="3">
        <v>80</v>
      </c>
      <c r="G3530" s="4">
        <v>10</v>
      </c>
      <c r="H3530" s="5">
        <v>0.01</v>
      </c>
    </row>
    <row r="3531" spans="1:8" ht="14.5" customHeight="1" x14ac:dyDescent="0.35">
      <c r="A3531" s="2" t="s">
        <v>1361</v>
      </c>
      <c r="B3531" s="2" t="s">
        <v>509</v>
      </c>
      <c r="C3531" s="2" t="s">
        <v>1369</v>
      </c>
      <c r="D3531" s="2" t="s">
        <v>1370</v>
      </c>
      <c r="E3531" s="2" t="s">
        <v>191</v>
      </c>
      <c r="F3531" s="3">
        <v>5000</v>
      </c>
      <c r="G3531" s="4">
        <v>36</v>
      </c>
      <c r="H3531" s="5">
        <v>0.01</v>
      </c>
    </row>
    <row r="3532" spans="1:8" x14ac:dyDescent="0.35">
      <c r="A3532" s="2" t="s">
        <v>1361</v>
      </c>
      <c r="B3532" s="2" t="s">
        <v>509</v>
      </c>
      <c r="C3532" s="2" t="s">
        <v>498</v>
      </c>
      <c r="D3532" s="2" t="s">
        <v>499</v>
      </c>
      <c r="E3532" s="6" t="s">
        <v>147</v>
      </c>
      <c r="F3532" s="3">
        <v>2487.77</v>
      </c>
      <c r="G3532" s="4">
        <v>36</v>
      </c>
      <c r="H3532" s="5">
        <v>0.01</v>
      </c>
    </row>
    <row r="3533" spans="1:8" x14ac:dyDescent="0.35">
      <c r="A3533" s="2" t="s">
        <v>1361</v>
      </c>
      <c r="B3533" s="2" t="s">
        <v>509</v>
      </c>
      <c r="C3533" s="2" t="s">
        <v>502</v>
      </c>
      <c r="D3533" s="2" t="s">
        <v>503</v>
      </c>
      <c r="E3533" s="2" t="s">
        <v>504</v>
      </c>
      <c r="F3533" s="3">
        <v>8500</v>
      </c>
      <c r="G3533" s="4">
        <v>36</v>
      </c>
      <c r="H3533" s="5">
        <v>0.01</v>
      </c>
    </row>
    <row r="3534" spans="1:8" x14ac:dyDescent="0.35">
      <c r="A3534" s="2" t="s">
        <v>1361</v>
      </c>
      <c r="B3534" s="2" t="s">
        <v>509</v>
      </c>
      <c r="C3534" s="2" t="s">
        <v>1371</v>
      </c>
      <c r="D3534" s="2" t="s">
        <v>563</v>
      </c>
      <c r="E3534" s="2" t="s">
        <v>564</v>
      </c>
      <c r="F3534" s="3">
        <v>56.8</v>
      </c>
      <c r="G3534" s="4">
        <v>10</v>
      </c>
      <c r="H3534" s="5">
        <v>0.01</v>
      </c>
    </row>
    <row r="3535" spans="1:8" x14ac:dyDescent="0.35">
      <c r="A3535" s="2" t="s">
        <v>1361</v>
      </c>
      <c r="B3535" s="2" t="s">
        <v>509</v>
      </c>
      <c r="C3535" s="2" t="s">
        <v>538</v>
      </c>
      <c r="D3535" s="2" t="s">
        <v>539</v>
      </c>
      <c r="E3535" s="2" t="s">
        <v>303</v>
      </c>
      <c r="F3535" s="3">
        <v>34.049999999999997</v>
      </c>
      <c r="G3535" s="4">
        <v>10</v>
      </c>
      <c r="H3535" s="5">
        <v>0.01</v>
      </c>
    </row>
    <row r="3536" spans="1:8" x14ac:dyDescent="0.35">
      <c r="A3536" s="2" t="s">
        <v>1361</v>
      </c>
      <c r="B3536" s="2" t="s">
        <v>509</v>
      </c>
      <c r="C3536" s="2" t="s">
        <v>1372</v>
      </c>
      <c r="D3536" s="2" t="s">
        <v>1373</v>
      </c>
      <c r="E3536" s="2" t="s">
        <v>1374</v>
      </c>
      <c r="F3536" s="3">
        <v>2451</v>
      </c>
      <c r="G3536" s="4">
        <v>12</v>
      </c>
      <c r="H3536" s="5">
        <v>0.01</v>
      </c>
    </row>
    <row r="3537" spans="1:8" x14ac:dyDescent="0.35">
      <c r="A3537" s="2" t="s">
        <v>1361</v>
      </c>
      <c r="B3537" s="2" t="s">
        <v>509</v>
      </c>
      <c r="C3537" s="2" t="s">
        <v>1375</v>
      </c>
      <c r="D3537" s="2" t="s">
        <v>497</v>
      </c>
      <c r="E3537" s="2" t="s">
        <v>258</v>
      </c>
      <c r="F3537" s="3">
        <v>5764.56</v>
      </c>
      <c r="G3537" s="4">
        <v>1</v>
      </c>
      <c r="H3537" s="5">
        <v>0</v>
      </c>
    </row>
    <row r="3538" spans="1:8" x14ac:dyDescent="0.35">
      <c r="A3538" s="2" t="s">
        <v>1042</v>
      </c>
      <c r="B3538" s="2" t="s">
        <v>291</v>
      </c>
      <c r="C3538" s="2" t="s">
        <v>1377</v>
      </c>
      <c r="D3538" s="2" t="s">
        <v>1378</v>
      </c>
      <c r="E3538" s="2" t="s">
        <v>907</v>
      </c>
      <c r="F3538" s="3">
        <v>49</v>
      </c>
      <c r="G3538" s="4">
        <v>36</v>
      </c>
      <c r="H3538" s="5">
        <v>0</v>
      </c>
    </row>
    <row r="3539" spans="1:8" x14ac:dyDescent="0.35">
      <c r="A3539" s="2" t="s">
        <v>1042</v>
      </c>
      <c r="B3539" s="2" t="s">
        <v>291</v>
      </c>
      <c r="C3539" s="2" t="s">
        <v>1379</v>
      </c>
      <c r="D3539" s="2" t="s">
        <v>1380</v>
      </c>
      <c r="E3539" s="2" t="s">
        <v>398</v>
      </c>
      <c r="F3539" s="3">
        <v>20</v>
      </c>
      <c r="G3539" s="4">
        <v>12</v>
      </c>
      <c r="H3539" s="5">
        <v>0</v>
      </c>
    </row>
    <row r="3540" spans="1:8" x14ac:dyDescent="0.35">
      <c r="A3540" s="2" t="s">
        <v>1042</v>
      </c>
      <c r="B3540" s="2" t="s">
        <v>291</v>
      </c>
      <c r="C3540" s="2" t="s">
        <v>1381</v>
      </c>
      <c r="D3540" s="2" t="s">
        <v>1382</v>
      </c>
      <c r="E3540" s="2" t="s">
        <v>530</v>
      </c>
      <c r="F3540" s="3">
        <v>35</v>
      </c>
      <c r="G3540" s="4">
        <v>12</v>
      </c>
      <c r="H3540" s="5">
        <v>0</v>
      </c>
    </row>
    <row r="3541" spans="1:8" x14ac:dyDescent="0.35">
      <c r="A3541" s="2" t="s">
        <v>1042</v>
      </c>
      <c r="B3541" s="2" t="s">
        <v>291</v>
      </c>
      <c r="C3541" s="2" t="s">
        <v>1383</v>
      </c>
      <c r="D3541" s="2" t="s">
        <v>1384</v>
      </c>
      <c r="E3541" s="2" t="s">
        <v>294</v>
      </c>
      <c r="F3541" s="3">
        <v>20</v>
      </c>
      <c r="G3541" s="4">
        <v>6</v>
      </c>
      <c r="H3541" s="5">
        <v>0</v>
      </c>
    </row>
    <row r="3542" spans="1:8" x14ac:dyDescent="0.35">
      <c r="A3542" s="2" t="s">
        <v>1042</v>
      </c>
      <c r="B3542" s="2" t="s">
        <v>291</v>
      </c>
      <c r="C3542" s="2" t="s">
        <v>1385</v>
      </c>
      <c r="D3542" s="2" t="s">
        <v>1386</v>
      </c>
      <c r="E3542" s="6" t="s">
        <v>285</v>
      </c>
      <c r="F3542" s="3">
        <v>172.78</v>
      </c>
      <c r="G3542" s="4">
        <v>36</v>
      </c>
      <c r="H3542" s="5">
        <v>0</v>
      </c>
    </row>
    <row r="3543" spans="1:8" x14ac:dyDescent="0.35">
      <c r="A3543" s="2" t="s">
        <v>1042</v>
      </c>
      <c r="B3543" s="2" t="s">
        <v>291</v>
      </c>
      <c r="C3543" s="2" t="s">
        <v>1387</v>
      </c>
      <c r="D3543" s="2" t="s">
        <v>1388</v>
      </c>
      <c r="E3543" s="6" t="s">
        <v>180</v>
      </c>
      <c r="F3543" s="3">
        <v>319.37</v>
      </c>
      <c r="G3543" s="4">
        <v>36</v>
      </c>
      <c r="H3543" s="5">
        <v>0</v>
      </c>
    </row>
    <row r="3544" spans="1:8" x14ac:dyDescent="0.35">
      <c r="A3544" s="2" t="s">
        <v>1042</v>
      </c>
      <c r="B3544" s="2" t="s">
        <v>291</v>
      </c>
      <c r="C3544" s="2" t="s">
        <v>1389</v>
      </c>
      <c r="D3544" s="2" t="s">
        <v>1390</v>
      </c>
      <c r="E3544" s="2" t="s">
        <v>322</v>
      </c>
      <c r="F3544" s="3">
        <v>25</v>
      </c>
      <c r="G3544" s="4">
        <v>36</v>
      </c>
      <c r="H3544" s="5">
        <v>0</v>
      </c>
    </row>
    <row r="3545" spans="1:8" x14ac:dyDescent="0.35">
      <c r="A3545" s="2" t="s">
        <v>1042</v>
      </c>
      <c r="B3545" s="2" t="s">
        <v>291</v>
      </c>
      <c r="C3545" s="2" t="s">
        <v>1391</v>
      </c>
      <c r="D3545" s="2" t="s">
        <v>1392</v>
      </c>
      <c r="E3545" s="2" t="s">
        <v>353</v>
      </c>
      <c r="F3545" s="3">
        <v>750</v>
      </c>
      <c r="G3545" s="4">
        <v>36</v>
      </c>
      <c r="H3545" s="5">
        <v>0</v>
      </c>
    </row>
    <row r="3546" spans="1:8" x14ac:dyDescent="0.35">
      <c r="A3546" s="2" t="s">
        <v>1042</v>
      </c>
      <c r="B3546" s="2" t="s">
        <v>291</v>
      </c>
      <c r="C3546" s="2" t="s">
        <v>1393</v>
      </c>
      <c r="D3546" s="2" t="s">
        <v>1394</v>
      </c>
      <c r="E3546" s="2" t="s">
        <v>356</v>
      </c>
      <c r="F3546" s="3">
        <v>300</v>
      </c>
      <c r="G3546" s="4">
        <v>36</v>
      </c>
      <c r="H3546" s="5">
        <v>0</v>
      </c>
    </row>
    <row r="3547" spans="1:8" ht="26" x14ac:dyDescent="0.35">
      <c r="A3547" s="2" t="s">
        <v>1042</v>
      </c>
      <c r="B3547" s="2" t="s">
        <v>291</v>
      </c>
      <c r="C3547" s="2" t="s">
        <v>1395</v>
      </c>
      <c r="D3547" s="2" t="s">
        <v>1396</v>
      </c>
      <c r="E3547" s="2" t="s">
        <v>1397</v>
      </c>
      <c r="F3547" s="3">
        <v>800</v>
      </c>
      <c r="G3547" s="4">
        <v>36</v>
      </c>
      <c r="H3547" s="5">
        <v>0</v>
      </c>
    </row>
    <row r="3548" spans="1:8" x14ac:dyDescent="0.35">
      <c r="A3548" s="2" t="s">
        <v>1042</v>
      </c>
      <c r="B3548" s="2" t="s">
        <v>291</v>
      </c>
      <c r="C3548" s="2" t="s">
        <v>1177</v>
      </c>
      <c r="D3548" s="2" t="s">
        <v>1065</v>
      </c>
      <c r="E3548" s="2" t="s">
        <v>443</v>
      </c>
      <c r="F3548" s="3">
        <v>1800</v>
      </c>
      <c r="G3548" s="4">
        <v>36</v>
      </c>
      <c r="H3548" s="5">
        <v>0</v>
      </c>
    </row>
    <row r="3549" spans="1:8" x14ac:dyDescent="0.35">
      <c r="A3549" s="2" t="s">
        <v>1042</v>
      </c>
      <c r="B3549" s="2" t="s">
        <v>291</v>
      </c>
      <c r="C3549" s="2" t="s">
        <v>1398</v>
      </c>
      <c r="D3549" s="2" t="s">
        <v>1399</v>
      </c>
      <c r="E3549" s="2" t="s">
        <v>1400</v>
      </c>
      <c r="F3549" s="3">
        <v>3000</v>
      </c>
      <c r="G3549" s="4">
        <v>36</v>
      </c>
      <c r="H3549" s="5">
        <v>0</v>
      </c>
    </row>
    <row r="3550" spans="1:8" x14ac:dyDescent="0.35">
      <c r="A3550" s="2" t="s">
        <v>1042</v>
      </c>
      <c r="B3550" s="2" t="s">
        <v>291</v>
      </c>
      <c r="C3550" s="2" t="s">
        <v>1068</v>
      </c>
      <c r="D3550" s="2" t="s">
        <v>1069</v>
      </c>
      <c r="E3550" s="2" t="s">
        <v>1070</v>
      </c>
      <c r="F3550" s="3">
        <v>699</v>
      </c>
      <c r="G3550" s="4">
        <v>36</v>
      </c>
      <c r="H3550" s="5">
        <v>0</v>
      </c>
    </row>
    <row r="3551" spans="1:8" x14ac:dyDescent="0.35">
      <c r="A3551" s="2" t="s">
        <v>1042</v>
      </c>
      <c r="B3551" s="2" t="s">
        <v>291</v>
      </c>
      <c r="C3551" s="2" t="s">
        <v>1401</v>
      </c>
      <c r="D3551" s="2" t="s">
        <v>1402</v>
      </c>
      <c r="E3551" s="2" t="s">
        <v>204</v>
      </c>
      <c r="F3551" s="3">
        <v>201.39</v>
      </c>
      <c r="G3551" s="4">
        <v>36</v>
      </c>
      <c r="H3551" s="5">
        <v>0</v>
      </c>
    </row>
    <row r="3552" spans="1:8" x14ac:dyDescent="0.35">
      <c r="A3552" s="2" t="s">
        <v>1042</v>
      </c>
      <c r="B3552" s="2" t="s">
        <v>291</v>
      </c>
      <c r="C3552" s="2" t="s">
        <v>1403</v>
      </c>
      <c r="D3552" s="2" t="s">
        <v>456</v>
      </c>
      <c r="E3552" s="2" t="s">
        <v>35</v>
      </c>
      <c r="F3552" s="3">
        <v>1040</v>
      </c>
      <c r="G3552" s="4">
        <v>36</v>
      </c>
      <c r="H3552" s="5">
        <v>0</v>
      </c>
    </row>
    <row r="3553" spans="1:8" x14ac:dyDescent="0.35">
      <c r="A3553" s="2" t="s">
        <v>1042</v>
      </c>
      <c r="B3553" s="2" t="s">
        <v>291</v>
      </c>
      <c r="C3553" s="2" t="s">
        <v>1071</v>
      </c>
      <c r="D3553" s="2" t="s">
        <v>1072</v>
      </c>
      <c r="E3553" s="2" t="s">
        <v>300</v>
      </c>
      <c r="F3553" s="3">
        <v>53.66</v>
      </c>
      <c r="G3553" s="4">
        <v>36</v>
      </c>
      <c r="H3553" s="5">
        <v>0</v>
      </c>
    </row>
    <row r="3554" spans="1:8" x14ac:dyDescent="0.35">
      <c r="A3554" s="2" t="s">
        <v>1042</v>
      </c>
      <c r="B3554" s="2" t="s">
        <v>291</v>
      </c>
      <c r="C3554" s="2" t="s">
        <v>1404</v>
      </c>
      <c r="D3554" s="2" t="s">
        <v>1405</v>
      </c>
      <c r="E3554" s="2" t="s">
        <v>59</v>
      </c>
      <c r="F3554" s="3">
        <v>253.12</v>
      </c>
      <c r="G3554" s="4">
        <v>36</v>
      </c>
      <c r="H3554" s="5">
        <v>0</v>
      </c>
    </row>
    <row r="3555" spans="1:8" x14ac:dyDescent="0.35">
      <c r="A3555" s="2" t="s">
        <v>1042</v>
      </c>
      <c r="B3555" s="2" t="s">
        <v>291</v>
      </c>
      <c r="C3555" s="2" t="s">
        <v>620</v>
      </c>
      <c r="D3555" s="2" t="s">
        <v>621</v>
      </c>
      <c r="E3555" s="2" t="s">
        <v>92</v>
      </c>
      <c r="F3555" s="3">
        <v>650</v>
      </c>
      <c r="G3555" s="4">
        <v>36</v>
      </c>
      <c r="H3555" s="5">
        <v>0</v>
      </c>
    </row>
    <row r="3556" spans="1:8" x14ac:dyDescent="0.35">
      <c r="A3556" s="2" t="s">
        <v>1042</v>
      </c>
      <c r="B3556" s="2" t="s">
        <v>291</v>
      </c>
      <c r="C3556" s="2" t="s">
        <v>1406</v>
      </c>
      <c r="D3556" s="2" t="s">
        <v>1407</v>
      </c>
      <c r="E3556" s="2" t="s">
        <v>82</v>
      </c>
      <c r="F3556" s="3">
        <v>2830.11</v>
      </c>
      <c r="G3556" s="4">
        <v>36</v>
      </c>
      <c r="H3556" s="5">
        <v>0</v>
      </c>
    </row>
    <row r="3557" spans="1:8" x14ac:dyDescent="0.35">
      <c r="A3557" s="2" t="s">
        <v>1042</v>
      </c>
      <c r="B3557" s="2" t="s">
        <v>291</v>
      </c>
      <c r="C3557" s="2" t="s">
        <v>1408</v>
      </c>
      <c r="D3557" s="2" t="s">
        <v>838</v>
      </c>
      <c r="E3557" s="2" t="s">
        <v>452</v>
      </c>
      <c r="F3557" s="3">
        <v>55</v>
      </c>
      <c r="G3557" s="4">
        <v>1</v>
      </c>
      <c r="H3557" s="5">
        <v>0</v>
      </c>
    </row>
    <row r="3558" spans="1:8" x14ac:dyDescent="0.35">
      <c r="A3558" s="2" t="s">
        <v>1042</v>
      </c>
      <c r="B3558" s="2" t="s">
        <v>291</v>
      </c>
      <c r="C3558" s="2" t="s">
        <v>1409</v>
      </c>
      <c r="D3558" s="2" t="s">
        <v>1048</v>
      </c>
      <c r="E3558" s="2" t="s">
        <v>215</v>
      </c>
      <c r="F3558" s="3">
        <v>80</v>
      </c>
      <c r="G3558" s="4">
        <v>6</v>
      </c>
      <c r="H3558" s="5">
        <v>0</v>
      </c>
    </row>
    <row r="3559" spans="1:8" x14ac:dyDescent="0.35">
      <c r="A3559" s="2" t="s">
        <v>1042</v>
      </c>
      <c r="B3559" s="2" t="s">
        <v>291</v>
      </c>
      <c r="C3559" s="2" t="s">
        <v>1052</v>
      </c>
      <c r="D3559" s="2" t="s">
        <v>1053</v>
      </c>
      <c r="E3559" s="2" t="s">
        <v>260</v>
      </c>
      <c r="F3559" s="3">
        <v>25454</v>
      </c>
      <c r="G3559" s="4">
        <v>36</v>
      </c>
      <c r="H3559" s="5">
        <v>7.4999999999999997E-3</v>
      </c>
    </row>
    <row r="3560" spans="1:8" x14ac:dyDescent="0.35">
      <c r="A3560" s="2" t="s">
        <v>1042</v>
      </c>
      <c r="B3560" s="2" t="s">
        <v>291</v>
      </c>
      <c r="C3560" s="2" t="s">
        <v>1410</v>
      </c>
      <c r="D3560" s="2" t="s">
        <v>1411</v>
      </c>
      <c r="E3560" s="2" t="s">
        <v>415</v>
      </c>
      <c r="F3560" s="3">
        <v>2363.83</v>
      </c>
      <c r="G3560" s="4">
        <v>36</v>
      </c>
      <c r="H3560" s="5">
        <v>7.4999999999999997E-3</v>
      </c>
    </row>
    <row r="3561" spans="1:8" x14ac:dyDescent="0.35">
      <c r="A3561" s="2" t="s">
        <v>1042</v>
      </c>
      <c r="B3561" s="2" t="s">
        <v>291</v>
      </c>
      <c r="C3561" s="2" t="s">
        <v>1412</v>
      </c>
      <c r="D3561" s="2" t="s">
        <v>1413</v>
      </c>
      <c r="E3561" s="2" t="s">
        <v>158</v>
      </c>
      <c r="F3561" s="3">
        <v>3261.62</v>
      </c>
      <c r="G3561" s="4">
        <v>36</v>
      </c>
      <c r="H3561" s="5">
        <v>7.4999999999999997E-3</v>
      </c>
    </row>
    <row r="3562" spans="1:8" x14ac:dyDescent="0.35">
      <c r="A3562" s="2" t="s">
        <v>1042</v>
      </c>
      <c r="B3562" s="2" t="s">
        <v>291</v>
      </c>
      <c r="C3562" s="2" t="s">
        <v>1414</v>
      </c>
      <c r="D3562" s="2" t="s">
        <v>1415</v>
      </c>
      <c r="E3562" s="2" t="s">
        <v>1058</v>
      </c>
      <c r="F3562" s="3">
        <v>3151</v>
      </c>
      <c r="G3562" s="4">
        <v>36</v>
      </c>
      <c r="H3562" s="5">
        <v>7.4999999999999997E-3</v>
      </c>
    </row>
    <row r="3563" spans="1:8" x14ac:dyDescent="0.35">
      <c r="A3563" s="2" t="s">
        <v>1042</v>
      </c>
      <c r="B3563" s="2" t="s">
        <v>291</v>
      </c>
      <c r="C3563" s="2" t="s">
        <v>1416</v>
      </c>
      <c r="D3563" s="2" t="s">
        <v>1417</v>
      </c>
      <c r="E3563" s="2" t="s">
        <v>226</v>
      </c>
      <c r="F3563" s="3">
        <v>2550</v>
      </c>
      <c r="G3563" s="4">
        <v>36</v>
      </c>
      <c r="H3563" s="5">
        <v>7.4999999999999997E-3</v>
      </c>
    </row>
    <row r="3564" spans="1:8" x14ac:dyDescent="0.35">
      <c r="A3564" s="2" t="s">
        <v>1042</v>
      </c>
      <c r="B3564" s="2" t="s">
        <v>291</v>
      </c>
      <c r="C3564" s="2" t="s">
        <v>1418</v>
      </c>
      <c r="D3564" s="2" t="s">
        <v>1419</v>
      </c>
      <c r="E3564" s="2" t="s">
        <v>489</v>
      </c>
      <c r="F3564" s="3">
        <v>2184.14</v>
      </c>
      <c r="G3564" s="4">
        <v>36</v>
      </c>
      <c r="H3564" s="5">
        <v>0</v>
      </c>
    </row>
    <row r="3565" spans="1:8" x14ac:dyDescent="0.35">
      <c r="A3565" s="2" t="s">
        <v>1042</v>
      </c>
      <c r="B3565" s="2" t="s">
        <v>291</v>
      </c>
      <c r="C3565" s="2" t="s">
        <v>1420</v>
      </c>
      <c r="D3565" s="2" t="s">
        <v>1421</v>
      </c>
      <c r="E3565" s="2" t="s">
        <v>1422</v>
      </c>
      <c r="F3565" s="3">
        <v>2279.15</v>
      </c>
      <c r="G3565" s="4">
        <v>36</v>
      </c>
      <c r="H3565" s="5">
        <v>0</v>
      </c>
    </row>
    <row r="3566" spans="1:8" x14ac:dyDescent="0.35">
      <c r="A3566" s="2" t="s">
        <v>1042</v>
      </c>
      <c r="B3566" s="2" t="s">
        <v>339</v>
      </c>
      <c r="C3566" s="2" t="s">
        <v>1377</v>
      </c>
      <c r="D3566" s="2" t="s">
        <v>1378</v>
      </c>
      <c r="E3566" s="2" t="s">
        <v>907</v>
      </c>
      <c r="F3566" s="3">
        <v>0</v>
      </c>
      <c r="G3566" s="4">
        <v>48</v>
      </c>
      <c r="H3566" s="5">
        <v>0</v>
      </c>
    </row>
    <row r="3567" spans="1:8" x14ac:dyDescent="0.35">
      <c r="A3567" s="2" t="s">
        <v>1042</v>
      </c>
      <c r="B3567" s="2" t="s">
        <v>339</v>
      </c>
      <c r="C3567" s="2" t="s">
        <v>1379</v>
      </c>
      <c r="D3567" s="2" t="s">
        <v>1380</v>
      </c>
      <c r="E3567" s="2" t="s">
        <v>398</v>
      </c>
      <c r="F3567" s="3">
        <v>0</v>
      </c>
      <c r="G3567" s="4">
        <v>12</v>
      </c>
      <c r="H3567" s="5">
        <v>0</v>
      </c>
    </row>
    <row r="3568" spans="1:8" x14ac:dyDescent="0.35">
      <c r="A3568" s="2" t="s">
        <v>1042</v>
      </c>
      <c r="B3568" s="2" t="s">
        <v>339</v>
      </c>
      <c r="C3568" s="2" t="s">
        <v>1381</v>
      </c>
      <c r="D3568" s="2" t="s">
        <v>1382</v>
      </c>
      <c r="E3568" s="2" t="s">
        <v>530</v>
      </c>
      <c r="F3568" s="3">
        <v>24.1</v>
      </c>
      <c r="G3568" s="4">
        <v>60</v>
      </c>
      <c r="H3568" s="5">
        <v>1.67E-2</v>
      </c>
    </row>
    <row r="3569" spans="1:8" x14ac:dyDescent="0.35">
      <c r="A3569" s="2" t="s">
        <v>1042</v>
      </c>
      <c r="B3569" s="2" t="s">
        <v>339</v>
      </c>
      <c r="C3569" s="2" t="s">
        <v>1383</v>
      </c>
      <c r="D3569" s="2" t="s">
        <v>1384</v>
      </c>
      <c r="E3569" s="2" t="s">
        <v>294</v>
      </c>
      <c r="F3569" s="3">
        <v>0</v>
      </c>
      <c r="G3569" s="4">
        <v>6</v>
      </c>
      <c r="H3569" s="5">
        <v>0</v>
      </c>
    </row>
    <row r="3570" spans="1:8" x14ac:dyDescent="0.35">
      <c r="A3570" s="2" t="s">
        <v>1042</v>
      </c>
      <c r="B3570" s="2" t="s">
        <v>339</v>
      </c>
      <c r="C3570" s="2" t="s">
        <v>1385</v>
      </c>
      <c r="D3570" s="2" t="s">
        <v>1386</v>
      </c>
      <c r="E3570" s="6" t="s">
        <v>285</v>
      </c>
      <c r="F3570" s="3">
        <v>148.34</v>
      </c>
      <c r="G3570" s="4">
        <v>60</v>
      </c>
      <c r="H3570" s="5">
        <v>1.67E-2</v>
      </c>
    </row>
    <row r="3571" spans="1:8" x14ac:dyDescent="0.35">
      <c r="A3571" s="2" t="s">
        <v>1042</v>
      </c>
      <c r="B3571" s="2" t="s">
        <v>339</v>
      </c>
      <c r="C3571" s="2" t="s">
        <v>1387</v>
      </c>
      <c r="D3571" s="2" t="s">
        <v>1388</v>
      </c>
      <c r="E3571" s="6" t="s">
        <v>180</v>
      </c>
      <c r="F3571" s="3">
        <v>252</v>
      </c>
      <c r="G3571" s="4">
        <v>60</v>
      </c>
      <c r="H3571" s="5">
        <v>1.67E-2</v>
      </c>
    </row>
    <row r="3572" spans="1:8" x14ac:dyDescent="0.35">
      <c r="A3572" s="2" t="s">
        <v>1042</v>
      </c>
      <c r="B3572" s="2" t="s">
        <v>339</v>
      </c>
      <c r="C3572" s="2" t="s">
        <v>1389</v>
      </c>
      <c r="D3572" s="2" t="s">
        <v>1390</v>
      </c>
      <c r="E3572" s="2" t="s">
        <v>322</v>
      </c>
      <c r="F3572" s="3">
        <v>25</v>
      </c>
      <c r="G3572" s="4">
        <v>60</v>
      </c>
      <c r="H3572" s="5">
        <v>0</v>
      </c>
    </row>
    <row r="3573" spans="1:8" x14ac:dyDescent="0.35">
      <c r="A3573" s="2" t="s">
        <v>1042</v>
      </c>
      <c r="B3573" s="2" t="s">
        <v>339</v>
      </c>
      <c r="C3573" s="2" t="s">
        <v>1391</v>
      </c>
      <c r="D3573" s="2" t="s">
        <v>1392</v>
      </c>
      <c r="E3573" s="2" t="s">
        <v>353</v>
      </c>
      <c r="F3573" s="3">
        <v>531</v>
      </c>
      <c r="G3573" s="4">
        <v>60</v>
      </c>
      <c r="H3573" s="5">
        <v>1.67E-2</v>
      </c>
    </row>
    <row r="3574" spans="1:8" x14ac:dyDescent="0.35">
      <c r="A3574" s="2" t="s">
        <v>1042</v>
      </c>
      <c r="B3574" s="2" t="s">
        <v>339</v>
      </c>
      <c r="C3574" s="2" t="s">
        <v>1393</v>
      </c>
      <c r="D3574" s="2" t="s">
        <v>1394</v>
      </c>
      <c r="E3574" s="2" t="s">
        <v>356</v>
      </c>
      <c r="F3574" s="3">
        <v>224</v>
      </c>
      <c r="G3574" s="4">
        <v>60</v>
      </c>
      <c r="H3574" s="5">
        <v>1.67E-2</v>
      </c>
    </row>
    <row r="3575" spans="1:8" ht="26" x14ac:dyDescent="0.35">
      <c r="A3575" s="2" t="s">
        <v>1042</v>
      </c>
      <c r="B3575" s="2" t="s">
        <v>339</v>
      </c>
      <c r="C3575" s="2" t="s">
        <v>1395</v>
      </c>
      <c r="D3575" s="2" t="s">
        <v>1396</v>
      </c>
      <c r="E3575" s="2" t="s">
        <v>1397</v>
      </c>
      <c r="F3575" s="3">
        <v>2600</v>
      </c>
      <c r="G3575" s="4">
        <v>60</v>
      </c>
      <c r="H3575" s="5">
        <v>1.67E-2</v>
      </c>
    </row>
    <row r="3576" spans="1:8" x14ac:dyDescent="0.35">
      <c r="A3576" s="2" t="s">
        <v>1042</v>
      </c>
      <c r="B3576" s="2" t="s">
        <v>339</v>
      </c>
      <c r="C3576" s="2" t="s">
        <v>1177</v>
      </c>
      <c r="D3576" s="2" t="s">
        <v>1065</v>
      </c>
      <c r="E3576" s="2" t="s">
        <v>443</v>
      </c>
      <c r="F3576" s="3">
        <v>1318.9</v>
      </c>
      <c r="G3576" s="4">
        <v>60</v>
      </c>
      <c r="H3576" s="5">
        <v>1.67E-2</v>
      </c>
    </row>
    <row r="3577" spans="1:8" x14ac:dyDescent="0.35">
      <c r="A3577" s="2" t="s">
        <v>1042</v>
      </c>
      <c r="B3577" s="2" t="s">
        <v>339</v>
      </c>
      <c r="C3577" s="2" t="s">
        <v>1398</v>
      </c>
      <c r="D3577" s="2" t="s">
        <v>1399</v>
      </c>
      <c r="E3577" s="2" t="s">
        <v>1400</v>
      </c>
      <c r="F3577" s="3">
        <v>1200</v>
      </c>
      <c r="G3577" s="4">
        <v>60</v>
      </c>
      <c r="H3577" s="5">
        <v>0</v>
      </c>
    </row>
    <row r="3578" spans="1:8" x14ac:dyDescent="0.35">
      <c r="A3578" s="2" t="s">
        <v>1042</v>
      </c>
      <c r="B3578" s="2" t="s">
        <v>339</v>
      </c>
      <c r="C3578" s="2" t="s">
        <v>1068</v>
      </c>
      <c r="D3578" s="2" t="s">
        <v>1069</v>
      </c>
      <c r="E3578" s="2" t="s">
        <v>1070</v>
      </c>
      <c r="F3578" s="3">
        <v>1100</v>
      </c>
      <c r="G3578" s="4">
        <v>60</v>
      </c>
      <c r="H3578" s="5">
        <v>1.67E-2</v>
      </c>
    </row>
    <row r="3579" spans="1:8" x14ac:dyDescent="0.35">
      <c r="A3579" s="2" t="s">
        <v>1042</v>
      </c>
      <c r="B3579" s="2" t="s">
        <v>339</v>
      </c>
      <c r="C3579" s="2" t="s">
        <v>1401</v>
      </c>
      <c r="D3579" s="2" t="s">
        <v>1402</v>
      </c>
      <c r="E3579" s="2" t="s">
        <v>204</v>
      </c>
      <c r="F3579" s="3">
        <v>235.2</v>
      </c>
      <c r="G3579" s="4">
        <v>60</v>
      </c>
      <c r="H3579" s="5">
        <v>1.67E-2</v>
      </c>
    </row>
    <row r="3580" spans="1:8" x14ac:dyDescent="0.35">
      <c r="A3580" s="2" t="s">
        <v>1042</v>
      </c>
      <c r="B3580" s="2" t="s">
        <v>339</v>
      </c>
      <c r="C3580" s="2" t="s">
        <v>1403</v>
      </c>
      <c r="D3580" s="2" t="s">
        <v>456</v>
      </c>
      <c r="E3580" s="2" t="s">
        <v>35</v>
      </c>
      <c r="F3580" s="3">
        <v>1413</v>
      </c>
      <c r="G3580" s="4">
        <v>60</v>
      </c>
      <c r="H3580" s="5">
        <v>1.67E-2</v>
      </c>
    </row>
    <row r="3581" spans="1:8" x14ac:dyDescent="0.35">
      <c r="A3581" s="2" t="s">
        <v>1042</v>
      </c>
      <c r="B3581" s="2" t="s">
        <v>339</v>
      </c>
      <c r="C3581" s="2" t="s">
        <v>1071</v>
      </c>
      <c r="D3581" s="2" t="s">
        <v>1072</v>
      </c>
      <c r="E3581" s="2" t="s">
        <v>300</v>
      </c>
      <c r="F3581" s="3">
        <v>21.5</v>
      </c>
      <c r="G3581" s="4">
        <v>60</v>
      </c>
      <c r="H3581" s="5">
        <v>1.67E-2</v>
      </c>
    </row>
    <row r="3582" spans="1:8" x14ac:dyDescent="0.35">
      <c r="A3582" s="2" t="s">
        <v>1042</v>
      </c>
      <c r="B3582" s="2" t="s">
        <v>339</v>
      </c>
      <c r="C3582" s="2" t="s">
        <v>1404</v>
      </c>
      <c r="D3582" s="2" t="s">
        <v>1405</v>
      </c>
      <c r="E3582" s="2" t="s">
        <v>59</v>
      </c>
      <c r="F3582" s="3">
        <v>99.8</v>
      </c>
      <c r="G3582" s="4">
        <v>60</v>
      </c>
      <c r="H3582" s="5">
        <v>1.67E-2</v>
      </c>
    </row>
    <row r="3583" spans="1:8" x14ac:dyDescent="0.35">
      <c r="A3583" s="2" t="s">
        <v>1042</v>
      </c>
      <c r="B3583" s="2" t="s">
        <v>339</v>
      </c>
      <c r="C3583" s="2" t="s">
        <v>620</v>
      </c>
      <c r="D3583" s="2" t="s">
        <v>621</v>
      </c>
      <c r="E3583" s="2" t="s">
        <v>92</v>
      </c>
      <c r="F3583" s="3">
        <v>1394.04</v>
      </c>
      <c r="G3583" s="4">
        <v>36</v>
      </c>
      <c r="H3583" s="5">
        <v>0</v>
      </c>
    </row>
    <row r="3584" spans="1:8" x14ac:dyDescent="0.35">
      <c r="A3584" s="2" t="s">
        <v>1042</v>
      </c>
      <c r="B3584" s="2" t="s">
        <v>339</v>
      </c>
      <c r="C3584" s="2" t="s">
        <v>1406</v>
      </c>
      <c r="D3584" s="2" t="s">
        <v>1407</v>
      </c>
      <c r="E3584" s="2" t="s">
        <v>82</v>
      </c>
      <c r="F3584" s="3">
        <v>1710</v>
      </c>
      <c r="G3584" s="4">
        <v>60</v>
      </c>
      <c r="H3584" s="5">
        <v>1.67E-2</v>
      </c>
    </row>
    <row r="3585" spans="1:8" x14ac:dyDescent="0.35">
      <c r="A3585" s="2" t="s">
        <v>1042</v>
      </c>
      <c r="B3585" s="2" t="s">
        <v>339</v>
      </c>
      <c r="C3585" s="2" t="s">
        <v>1408</v>
      </c>
      <c r="D3585" s="2" t="s">
        <v>838</v>
      </c>
      <c r="E3585" s="2" t="s">
        <v>452</v>
      </c>
      <c r="F3585" s="3">
        <v>48</v>
      </c>
      <c r="G3585" s="4">
        <v>1</v>
      </c>
      <c r="H3585" s="5">
        <v>0</v>
      </c>
    </row>
    <row r="3586" spans="1:8" x14ac:dyDescent="0.35">
      <c r="A3586" s="2" t="s">
        <v>1042</v>
      </c>
      <c r="B3586" s="2" t="s">
        <v>339</v>
      </c>
      <c r="C3586" s="2" t="s">
        <v>1409</v>
      </c>
      <c r="D3586" s="2" t="s">
        <v>1048</v>
      </c>
      <c r="E3586" s="2" t="s">
        <v>215</v>
      </c>
      <c r="F3586" s="3">
        <v>0</v>
      </c>
      <c r="G3586" s="4">
        <v>6</v>
      </c>
      <c r="H3586" s="5">
        <v>0</v>
      </c>
    </row>
    <row r="3587" spans="1:8" x14ac:dyDescent="0.35">
      <c r="A3587" s="2" t="s">
        <v>1042</v>
      </c>
      <c r="B3587" s="2" t="s">
        <v>339</v>
      </c>
      <c r="C3587" s="2" t="s">
        <v>1052</v>
      </c>
      <c r="D3587" s="2" t="s">
        <v>1053</v>
      </c>
      <c r="E3587" s="2" t="s">
        <v>260</v>
      </c>
      <c r="F3587" s="3">
        <v>758.34</v>
      </c>
      <c r="G3587" s="4">
        <v>1</v>
      </c>
      <c r="H3587" s="5">
        <v>0</v>
      </c>
    </row>
    <row r="3588" spans="1:8" x14ac:dyDescent="0.35">
      <c r="A3588" s="2" t="s">
        <v>1042</v>
      </c>
      <c r="B3588" s="2" t="s">
        <v>339</v>
      </c>
      <c r="C3588" s="2" t="s">
        <v>1410</v>
      </c>
      <c r="D3588" s="2" t="s">
        <v>1411</v>
      </c>
      <c r="E3588" s="2" t="s">
        <v>415</v>
      </c>
      <c r="F3588" s="3">
        <v>11000</v>
      </c>
      <c r="G3588" s="4">
        <v>60</v>
      </c>
      <c r="H3588" s="5">
        <v>1.67E-2</v>
      </c>
    </row>
    <row r="3589" spans="1:8" x14ac:dyDescent="0.35">
      <c r="A3589" s="2" t="s">
        <v>1042</v>
      </c>
      <c r="B3589" s="2" t="s">
        <v>339</v>
      </c>
      <c r="C3589" s="2" t="s">
        <v>1412</v>
      </c>
      <c r="D3589" s="2" t="s">
        <v>1413</v>
      </c>
      <c r="E3589" s="2" t="s">
        <v>158</v>
      </c>
      <c r="F3589" s="3">
        <v>2456.7199999999998</v>
      </c>
      <c r="G3589" s="4">
        <v>60</v>
      </c>
      <c r="H3589" s="5">
        <v>1.67E-2</v>
      </c>
    </row>
    <row r="3590" spans="1:8" x14ac:dyDescent="0.35">
      <c r="A3590" s="2" t="s">
        <v>1042</v>
      </c>
      <c r="B3590" s="2" t="s">
        <v>339</v>
      </c>
      <c r="C3590" s="2" t="s">
        <v>1414</v>
      </c>
      <c r="D3590" s="2" t="s">
        <v>1415</v>
      </c>
      <c r="E3590" s="2" t="s">
        <v>1058</v>
      </c>
      <c r="F3590" s="3">
        <v>1774.81</v>
      </c>
      <c r="G3590" s="4">
        <v>60</v>
      </c>
      <c r="H3590" s="5">
        <v>1.67E-2</v>
      </c>
    </row>
    <row r="3591" spans="1:8" x14ac:dyDescent="0.35">
      <c r="A3591" s="2" t="s">
        <v>1042</v>
      </c>
      <c r="B3591" s="2" t="s">
        <v>339</v>
      </c>
      <c r="C3591" s="2" t="s">
        <v>1416</v>
      </c>
      <c r="D3591" s="2" t="s">
        <v>1417</v>
      </c>
      <c r="E3591" s="2" t="s">
        <v>226</v>
      </c>
      <c r="F3591" s="3">
        <v>4320</v>
      </c>
      <c r="G3591" s="4">
        <v>60</v>
      </c>
      <c r="H3591" s="5">
        <v>1.67E-2</v>
      </c>
    </row>
    <row r="3592" spans="1:8" x14ac:dyDescent="0.35">
      <c r="A3592" s="2" t="s">
        <v>1042</v>
      </c>
      <c r="B3592" s="2" t="s">
        <v>339</v>
      </c>
      <c r="C3592" s="2" t="s">
        <v>1418</v>
      </c>
      <c r="D3592" s="2" t="s">
        <v>1419</v>
      </c>
      <c r="E3592" s="2" t="s">
        <v>489</v>
      </c>
      <c r="F3592" s="3">
        <v>2500</v>
      </c>
      <c r="G3592" s="4">
        <v>60</v>
      </c>
      <c r="H3592" s="5">
        <v>1.67E-2</v>
      </c>
    </row>
    <row r="3593" spans="1:8" x14ac:dyDescent="0.35">
      <c r="A3593" s="2" t="s">
        <v>1042</v>
      </c>
      <c r="B3593" s="2" t="s">
        <v>339</v>
      </c>
      <c r="C3593" s="2" t="s">
        <v>1420</v>
      </c>
      <c r="D3593" s="2" t="s">
        <v>1421</v>
      </c>
      <c r="E3593" s="2" t="s">
        <v>1422</v>
      </c>
      <c r="F3593" s="3">
        <v>2700</v>
      </c>
      <c r="G3593" s="4">
        <v>60</v>
      </c>
      <c r="H3593" s="5">
        <v>1.67E-2</v>
      </c>
    </row>
    <row r="3594" spans="1:8" x14ac:dyDescent="0.35">
      <c r="A3594" s="2" t="s">
        <v>1042</v>
      </c>
      <c r="B3594" s="2" t="s">
        <v>510</v>
      </c>
      <c r="C3594" s="2" t="s">
        <v>1377</v>
      </c>
      <c r="D3594" s="2" t="s">
        <v>1378</v>
      </c>
      <c r="E3594" s="2" t="s">
        <v>907</v>
      </c>
      <c r="F3594" s="3">
        <v>100</v>
      </c>
      <c r="G3594" s="4">
        <v>48</v>
      </c>
      <c r="H3594" s="5">
        <v>0</v>
      </c>
    </row>
    <row r="3595" spans="1:8" x14ac:dyDescent="0.35">
      <c r="A3595" s="2" t="s">
        <v>1042</v>
      </c>
      <c r="B3595" s="2" t="s">
        <v>510</v>
      </c>
      <c r="C3595" s="2" t="s">
        <v>1379</v>
      </c>
      <c r="D3595" s="2" t="s">
        <v>1380</v>
      </c>
      <c r="E3595" s="2" t="s">
        <v>398</v>
      </c>
      <c r="F3595" s="3">
        <v>56</v>
      </c>
      <c r="G3595" s="4">
        <v>12</v>
      </c>
      <c r="H3595" s="5">
        <v>0</v>
      </c>
    </row>
    <row r="3596" spans="1:8" x14ac:dyDescent="0.35">
      <c r="A3596" s="2" t="s">
        <v>1042</v>
      </c>
      <c r="B3596" s="2" t="s">
        <v>510</v>
      </c>
      <c r="C3596" s="2" t="s">
        <v>1381</v>
      </c>
      <c r="D3596" s="2" t="s">
        <v>1382</v>
      </c>
      <c r="E3596" s="2" t="s">
        <v>530</v>
      </c>
      <c r="F3596" s="3">
        <v>80</v>
      </c>
      <c r="G3596" s="4">
        <v>12</v>
      </c>
      <c r="H3596" s="5">
        <v>0</v>
      </c>
    </row>
    <row r="3597" spans="1:8" x14ac:dyDescent="0.35">
      <c r="A3597" s="2" t="s">
        <v>1042</v>
      </c>
      <c r="B3597" s="2" t="s">
        <v>510</v>
      </c>
      <c r="C3597" s="2" t="s">
        <v>1383</v>
      </c>
      <c r="D3597" s="2" t="s">
        <v>1384</v>
      </c>
      <c r="E3597" s="2" t="s">
        <v>294</v>
      </c>
      <c r="F3597" s="3">
        <v>90</v>
      </c>
      <c r="G3597" s="4">
        <v>6</v>
      </c>
      <c r="H3597" s="5">
        <v>0</v>
      </c>
    </row>
    <row r="3598" spans="1:8" x14ac:dyDescent="0.35">
      <c r="A3598" s="2" t="s">
        <v>1042</v>
      </c>
      <c r="B3598" s="2" t="s">
        <v>510</v>
      </c>
      <c r="C3598" s="2" t="s">
        <v>1385</v>
      </c>
      <c r="D3598" s="2" t="s">
        <v>1386</v>
      </c>
      <c r="E3598" s="6" t="s">
        <v>285</v>
      </c>
      <c r="F3598" s="3">
        <v>200</v>
      </c>
      <c r="G3598" s="4">
        <v>60</v>
      </c>
      <c r="H3598" s="5">
        <v>0</v>
      </c>
    </row>
    <row r="3599" spans="1:8" x14ac:dyDescent="0.35">
      <c r="A3599" s="2" t="s">
        <v>1042</v>
      </c>
      <c r="B3599" s="2" t="s">
        <v>510</v>
      </c>
      <c r="C3599" s="2" t="s">
        <v>1387</v>
      </c>
      <c r="D3599" s="2" t="s">
        <v>1388</v>
      </c>
      <c r="E3599" s="6" t="s">
        <v>180</v>
      </c>
      <c r="F3599" s="3">
        <v>405</v>
      </c>
      <c r="G3599" s="4">
        <v>60</v>
      </c>
      <c r="H3599" s="5">
        <v>0</v>
      </c>
    </row>
    <row r="3600" spans="1:8" x14ac:dyDescent="0.35">
      <c r="A3600" s="2" t="s">
        <v>1042</v>
      </c>
      <c r="B3600" s="2" t="s">
        <v>510</v>
      </c>
      <c r="C3600" s="2" t="s">
        <v>1389</v>
      </c>
      <c r="D3600" s="2" t="s">
        <v>1390</v>
      </c>
      <c r="E3600" s="2" t="s">
        <v>322</v>
      </c>
      <c r="F3600" s="3">
        <v>42</v>
      </c>
      <c r="G3600" s="4">
        <v>60</v>
      </c>
      <c r="H3600" s="5">
        <v>0</v>
      </c>
    </row>
    <row r="3601" spans="1:8" x14ac:dyDescent="0.35">
      <c r="A3601" s="2" t="s">
        <v>1042</v>
      </c>
      <c r="B3601" s="2" t="s">
        <v>510</v>
      </c>
      <c r="C3601" s="2" t="s">
        <v>1391</v>
      </c>
      <c r="D3601" s="2" t="s">
        <v>1392</v>
      </c>
      <c r="E3601" s="2" t="s">
        <v>353</v>
      </c>
      <c r="F3601" s="3">
        <v>300</v>
      </c>
      <c r="G3601" s="4">
        <v>60</v>
      </c>
      <c r="H3601" s="5">
        <v>0</v>
      </c>
    </row>
    <row r="3602" spans="1:8" x14ac:dyDescent="0.35">
      <c r="A3602" s="2" t="s">
        <v>1042</v>
      </c>
      <c r="B3602" s="2" t="s">
        <v>510</v>
      </c>
      <c r="C3602" s="2" t="s">
        <v>1393</v>
      </c>
      <c r="D3602" s="2" t="s">
        <v>1394</v>
      </c>
      <c r="E3602" s="2" t="s">
        <v>356</v>
      </c>
      <c r="F3602" s="3">
        <v>120</v>
      </c>
      <c r="G3602" s="4">
        <v>60</v>
      </c>
      <c r="H3602" s="5">
        <v>0</v>
      </c>
    </row>
    <row r="3603" spans="1:8" ht="26" x14ac:dyDescent="0.35">
      <c r="A3603" s="2" t="s">
        <v>1042</v>
      </c>
      <c r="B3603" s="2" t="s">
        <v>510</v>
      </c>
      <c r="C3603" s="2" t="s">
        <v>1395</v>
      </c>
      <c r="D3603" s="2" t="s">
        <v>1396</v>
      </c>
      <c r="E3603" s="2" t="s">
        <v>1397</v>
      </c>
      <c r="F3603" s="3">
        <v>950</v>
      </c>
      <c r="G3603" s="4">
        <v>60</v>
      </c>
      <c r="H3603" s="5">
        <v>0</v>
      </c>
    </row>
    <row r="3604" spans="1:8" x14ac:dyDescent="0.35">
      <c r="A3604" s="2" t="s">
        <v>1042</v>
      </c>
      <c r="B3604" s="2" t="s">
        <v>510</v>
      </c>
      <c r="C3604" s="2" t="s">
        <v>1177</v>
      </c>
      <c r="D3604" s="2" t="s">
        <v>1065</v>
      </c>
      <c r="E3604" s="2" t="s">
        <v>443</v>
      </c>
      <c r="F3604" s="3">
        <v>1500</v>
      </c>
      <c r="G3604" s="4">
        <v>60</v>
      </c>
      <c r="H3604" s="5">
        <v>0</v>
      </c>
    </row>
    <row r="3605" spans="1:8" x14ac:dyDescent="0.35">
      <c r="A3605" s="2" t="s">
        <v>1042</v>
      </c>
      <c r="B3605" s="2" t="s">
        <v>510</v>
      </c>
      <c r="C3605" s="2" t="s">
        <v>1398</v>
      </c>
      <c r="D3605" s="2" t="s">
        <v>1399</v>
      </c>
      <c r="E3605" s="2" t="s">
        <v>1400</v>
      </c>
      <c r="F3605" s="3">
        <v>1500</v>
      </c>
      <c r="G3605" s="4">
        <v>60</v>
      </c>
      <c r="H3605" s="5">
        <v>0</v>
      </c>
    </row>
    <row r="3606" spans="1:8" x14ac:dyDescent="0.35">
      <c r="A3606" s="2" t="s">
        <v>1042</v>
      </c>
      <c r="B3606" s="2" t="s">
        <v>510</v>
      </c>
      <c r="C3606" s="2" t="s">
        <v>1068</v>
      </c>
      <c r="D3606" s="2" t="s">
        <v>1069</v>
      </c>
      <c r="E3606" s="2" t="s">
        <v>1070</v>
      </c>
      <c r="F3606" s="3">
        <v>800</v>
      </c>
      <c r="G3606" s="4">
        <v>60</v>
      </c>
      <c r="H3606" s="5">
        <v>0</v>
      </c>
    </row>
    <row r="3607" spans="1:8" x14ac:dyDescent="0.35">
      <c r="A3607" s="2" t="s">
        <v>1042</v>
      </c>
      <c r="B3607" s="2" t="s">
        <v>510</v>
      </c>
      <c r="C3607" s="2" t="s">
        <v>1401</v>
      </c>
      <c r="D3607" s="2" t="s">
        <v>1402</v>
      </c>
      <c r="E3607" s="2" t="s">
        <v>204</v>
      </c>
      <c r="F3607" s="3">
        <v>90</v>
      </c>
      <c r="G3607" s="4">
        <v>48</v>
      </c>
      <c r="H3607" s="5">
        <v>0</v>
      </c>
    </row>
    <row r="3608" spans="1:8" x14ac:dyDescent="0.35">
      <c r="A3608" s="2" t="s">
        <v>1042</v>
      </c>
      <c r="B3608" s="2" t="s">
        <v>510</v>
      </c>
      <c r="C3608" s="2" t="s">
        <v>1403</v>
      </c>
      <c r="D3608" s="2" t="s">
        <v>456</v>
      </c>
      <c r="E3608" s="2" t="s">
        <v>35</v>
      </c>
      <c r="F3608" s="3">
        <v>850</v>
      </c>
      <c r="G3608" s="4">
        <v>36</v>
      </c>
      <c r="H3608" s="5">
        <v>0</v>
      </c>
    </row>
    <row r="3609" spans="1:8" x14ac:dyDescent="0.35">
      <c r="A3609" s="2" t="s">
        <v>1042</v>
      </c>
      <c r="B3609" s="2" t="s">
        <v>510</v>
      </c>
      <c r="C3609" s="2" t="s">
        <v>1071</v>
      </c>
      <c r="D3609" s="2" t="s">
        <v>1072</v>
      </c>
      <c r="E3609" s="2" t="s">
        <v>300</v>
      </c>
      <c r="F3609" s="3">
        <v>120</v>
      </c>
      <c r="G3609" s="4">
        <v>36</v>
      </c>
      <c r="H3609" s="5">
        <v>0</v>
      </c>
    </row>
    <row r="3610" spans="1:8" x14ac:dyDescent="0.35">
      <c r="A3610" s="2" t="s">
        <v>1042</v>
      </c>
      <c r="B3610" s="2" t="s">
        <v>510</v>
      </c>
      <c r="C3610" s="2" t="s">
        <v>1404</v>
      </c>
      <c r="D3610" s="2" t="s">
        <v>1405</v>
      </c>
      <c r="E3610" s="2" t="s">
        <v>59</v>
      </c>
      <c r="F3610" s="3">
        <v>90</v>
      </c>
      <c r="G3610" s="4">
        <v>36</v>
      </c>
      <c r="H3610" s="5">
        <v>0</v>
      </c>
    </row>
    <row r="3611" spans="1:8" x14ac:dyDescent="0.35">
      <c r="A3611" s="2" t="s">
        <v>1042</v>
      </c>
      <c r="B3611" s="2" t="s">
        <v>510</v>
      </c>
      <c r="C3611" s="2" t="s">
        <v>620</v>
      </c>
      <c r="D3611" s="2" t="s">
        <v>621</v>
      </c>
      <c r="E3611" s="2" t="s">
        <v>92</v>
      </c>
      <c r="F3611" s="3">
        <v>1100</v>
      </c>
      <c r="G3611" s="4">
        <v>24</v>
      </c>
      <c r="H3611" s="5">
        <v>0</v>
      </c>
    </row>
    <row r="3612" spans="1:8" x14ac:dyDescent="0.35">
      <c r="A3612" s="2" t="s">
        <v>1042</v>
      </c>
      <c r="B3612" s="2" t="s">
        <v>510</v>
      </c>
      <c r="C3612" s="2" t="s">
        <v>1406</v>
      </c>
      <c r="D3612" s="2" t="s">
        <v>1407</v>
      </c>
      <c r="E3612" s="2" t="s">
        <v>82</v>
      </c>
      <c r="F3612" s="3">
        <v>2500</v>
      </c>
      <c r="G3612" s="4">
        <v>60</v>
      </c>
      <c r="H3612" s="5">
        <v>0</v>
      </c>
    </row>
    <row r="3613" spans="1:8" x14ac:dyDescent="0.35">
      <c r="A3613" s="2" t="s">
        <v>1042</v>
      </c>
      <c r="B3613" s="2" t="s">
        <v>510</v>
      </c>
      <c r="C3613" s="2" t="s">
        <v>1408</v>
      </c>
      <c r="D3613" s="2" t="s">
        <v>838</v>
      </c>
      <c r="E3613" s="2" t="s">
        <v>452</v>
      </c>
      <c r="F3613" s="3">
        <v>50</v>
      </c>
      <c r="G3613" s="4">
        <v>1</v>
      </c>
      <c r="H3613" s="5">
        <v>0</v>
      </c>
    </row>
    <row r="3614" spans="1:8" x14ac:dyDescent="0.35">
      <c r="A3614" s="2" t="s">
        <v>1042</v>
      </c>
      <c r="B3614" s="2" t="s">
        <v>510</v>
      </c>
      <c r="C3614" s="2" t="s">
        <v>1409</v>
      </c>
      <c r="D3614" s="2" t="s">
        <v>1048</v>
      </c>
      <c r="E3614" s="2" t="s">
        <v>215</v>
      </c>
      <c r="F3614" s="3">
        <v>150</v>
      </c>
      <c r="G3614" s="4">
        <v>6</v>
      </c>
      <c r="H3614" s="5">
        <v>0</v>
      </c>
    </row>
    <row r="3615" spans="1:8" x14ac:dyDescent="0.35">
      <c r="A3615" s="2" t="s">
        <v>1042</v>
      </c>
      <c r="B3615" s="2" t="s">
        <v>510</v>
      </c>
      <c r="C3615" s="2" t="s">
        <v>1052</v>
      </c>
      <c r="D3615" s="2" t="s">
        <v>1053</v>
      </c>
      <c r="E3615" s="2" t="s">
        <v>260</v>
      </c>
      <c r="F3615" s="3">
        <v>35000</v>
      </c>
      <c r="G3615" s="4">
        <v>48</v>
      </c>
      <c r="H3615" s="5">
        <v>0.03</v>
      </c>
    </row>
    <row r="3616" spans="1:8" x14ac:dyDescent="0.35">
      <c r="A3616" s="2" t="s">
        <v>1042</v>
      </c>
      <c r="B3616" s="2" t="s">
        <v>510</v>
      </c>
      <c r="C3616" s="2" t="s">
        <v>1410</v>
      </c>
      <c r="D3616" s="2" t="s">
        <v>1411</v>
      </c>
      <c r="E3616" s="2" t="s">
        <v>415</v>
      </c>
      <c r="F3616" s="3">
        <v>28000</v>
      </c>
      <c r="G3616" s="4">
        <v>48</v>
      </c>
      <c r="H3616" s="5">
        <v>0.03</v>
      </c>
    </row>
    <row r="3617" spans="1:8" x14ac:dyDescent="0.35">
      <c r="A3617" s="2" t="s">
        <v>1042</v>
      </c>
      <c r="B3617" s="2" t="s">
        <v>510</v>
      </c>
      <c r="C3617" s="2" t="s">
        <v>1412</v>
      </c>
      <c r="D3617" s="2" t="s">
        <v>1413</v>
      </c>
      <c r="E3617" s="2" t="s">
        <v>158</v>
      </c>
      <c r="F3617" s="3">
        <v>2500</v>
      </c>
      <c r="G3617" s="4">
        <v>48</v>
      </c>
      <c r="H3617" s="5">
        <v>7.4999999999999997E-3</v>
      </c>
    </row>
    <row r="3618" spans="1:8" x14ac:dyDescent="0.35">
      <c r="A3618" s="2" t="s">
        <v>1042</v>
      </c>
      <c r="B3618" s="2" t="s">
        <v>510</v>
      </c>
      <c r="C3618" s="2" t="s">
        <v>1414</v>
      </c>
      <c r="D3618" s="2" t="s">
        <v>1415</v>
      </c>
      <c r="E3618" s="2" t="s">
        <v>1058</v>
      </c>
      <c r="F3618" s="3">
        <v>2350</v>
      </c>
      <c r="G3618" s="4">
        <v>48</v>
      </c>
      <c r="H3618" s="5">
        <v>7.4999999999999997E-3</v>
      </c>
    </row>
    <row r="3619" spans="1:8" x14ac:dyDescent="0.35">
      <c r="A3619" s="2" t="s">
        <v>1042</v>
      </c>
      <c r="B3619" s="2" t="s">
        <v>510</v>
      </c>
      <c r="C3619" s="2" t="s">
        <v>1416</v>
      </c>
      <c r="D3619" s="2" t="s">
        <v>1417</v>
      </c>
      <c r="E3619" s="2" t="s">
        <v>226</v>
      </c>
      <c r="F3619" s="3">
        <v>5300</v>
      </c>
      <c r="G3619" s="4">
        <v>36</v>
      </c>
      <c r="H3619" s="5">
        <v>7.4999999999999997E-3</v>
      </c>
    </row>
    <row r="3620" spans="1:8" x14ac:dyDescent="0.35">
      <c r="A3620" s="2" t="s">
        <v>1042</v>
      </c>
      <c r="B3620" s="2" t="s">
        <v>510</v>
      </c>
      <c r="C3620" s="2" t="s">
        <v>1418</v>
      </c>
      <c r="D3620" s="2" t="s">
        <v>1419</v>
      </c>
      <c r="E3620" s="2" t="s">
        <v>489</v>
      </c>
      <c r="F3620" s="3">
        <v>3000</v>
      </c>
      <c r="G3620" s="4">
        <v>48</v>
      </c>
      <c r="H3620" s="5">
        <v>1.4999999999999999E-2</v>
      </c>
    </row>
    <row r="3621" spans="1:8" x14ac:dyDescent="0.35">
      <c r="A3621" s="2" t="s">
        <v>1042</v>
      </c>
      <c r="B3621" s="2" t="s">
        <v>510</v>
      </c>
      <c r="C3621" s="2" t="s">
        <v>1420</v>
      </c>
      <c r="D3621" s="2" t="s">
        <v>1421</v>
      </c>
      <c r="E3621" s="2" t="s">
        <v>1422</v>
      </c>
      <c r="F3621" s="3">
        <v>3000</v>
      </c>
      <c r="G3621" s="4">
        <v>48</v>
      </c>
      <c r="H3621" s="5">
        <v>1.4999999999999999E-2</v>
      </c>
    </row>
    <row r="3622" spans="1:8" x14ac:dyDescent="0.35">
      <c r="A3622" s="2" t="s">
        <v>1423</v>
      </c>
      <c r="B3622" s="2" t="s">
        <v>1424</v>
      </c>
      <c r="C3622" s="2" t="s">
        <v>1425</v>
      </c>
      <c r="D3622" s="2" t="s">
        <v>1426</v>
      </c>
      <c r="E3622" s="2" t="s">
        <v>741</v>
      </c>
      <c r="F3622" s="3">
        <v>280</v>
      </c>
      <c r="G3622" s="4">
        <v>1</v>
      </c>
      <c r="H3622" s="5">
        <v>0</v>
      </c>
    </row>
    <row r="3623" spans="1:8" x14ac:dyDescent="0.35">
      <c r="A3623" s="2" t="s">
        <v>1423</v>
      </c>
      <c r="B3623" s="2" t="s">
        <v>1424</v>
      </c>
      <c r="C3623" s="2" t="s">
        <v>523</v>
      </c>
      <c r="D3623" s="2" t="s">
        <v>524</v>
      </c>
      <c r="E3623" s="2" t="s">
        <v>525</v>
      </c>
      <c r="F3623" s="3">
        <v>250</v>
      </c>
      <c r="G3623" s="4">
        <v>1</v>
      </c>
      <c r="H3623" s="5">
        <v>0</v>
      </c>
    </row>
    <row r="3624" spans="1:8" x14ac:dyDescent="0.35">
      <c r="A3624" s="2" t="s">
        <v>1423</v>
      </c>
      <c r="B3624" s="2" t="s">
        <v>1424</v>
      </c>
      <c r="C3624" s="2" t="s">
        <v>1427</v>
      </c>
      <c r="D3624" s="2" t="s">
        <v>1428</v>
      </c>
      <c r="E3624" s="2" t="s">
        <v>180</v>
      </c>
      <c r="F3624" s="3">
        <v>127</v>
      </c>
      <c r="G3624" s="4">
        <v>1</v>
      </c>
      <c r="H3624" s="5">
        <v>0</v>
      </c>
    </row>
    <row r="3625" spans="1:8" x14ac:dyDescent="0.35">
      <c r="A3625" s="2" t="s">
        <v>1423</v>
      </c>
      <c r="B3625" s="2" t="s">
        <v>1424</v>
      </c>
      <c r="C3625" s="2" t="s">
        <v>538</v>
      </c>
      <c r="D3625" s="2" t="s">
        <v>539</v>
      </c>
      <c r="E3625" s="2" t="s">
        <v>303</v>
      </c>
      <c r="F3625" s="3">
        <v>23</v>
      </c>
      <c r="G3625" s="4">
        <v>1</v>
      </c>
      <c r="H3625" s="5">
        <v>0</v>
      </c>
    </row>
    <row r="3626" spans="1:8" ht="14.5" customHeight="1" x14ac:dyDescent="0.35">
      <c r="A3626" s="2" t="s">
        <v>1423</v>
      </c>
      <c r="B3626" s="2" t="s">
        <v>1424</v>
      </c>
      <c r="C3626" s="2" t="s">
        <v>1429</v>
      </c>
      <c r="D3626" s="2" t="s">
        <v>1430</v>
      </c>
      <c r="E3626" s="2" t="s">
        <v>226</v>
      </c>
      <c r="F3626" s="3">
        <v>3150</v>
      </c>
      <c r="G3626" s="4">
        <v>1</v>
      </c>
      <c r="H3626" s="5">
        <v>7.4999999999999997E-3</v>
      </c>
    </row>
    <row r="3627" spans="1:8" x14ac:dyDescent="0.35">
      <c r="A3627" s="2" t="s">
        <v>1423</v>
      </c>
      <c r="B3627" s="2" t="s">
        <v>1424</v>
      </c>
      <c r="C3627" s="2" t="s">
        <v>512</v>
      </c>
      <c r="D3627" s="2" t="s">
        <v>451</v>
      </c>
      <c r="E3627" s="2" t="s">
        <v>452</v>
      </c>
      <c r="F3627" s="3">
        <v>50</v>
      </c>
      <c r="G3627" s="4">
        <v>1</v>
      </c>
      <c r="H3627" s="5">
        <v>0</v>
      </c>
    </row>
    <row r="3628" spans="1:8" x14ac:dyDescent="0.35">
      <c r="A3628" s="2" t="s">
        <v>1423</v>
      </c>
      <c r="B3628" s="2" t="s">
        <v>1424</v>
      </c>
      <c r="C3628" s="2" t="s">
        <v>1431</v>
      </c>
      <c r="D3628" s="2" t="s">
        <v>1432</v>
      </c>
      <c r="E3628" s="2" t="s">
        <v>46</v>
      </c>
      <c r="F3628" s="3">
        <v>4372.3900000000003</v>
      </c>
      <c r="G3628" s="4">
        <v>12</v>
      </c>
      <c r="H3628" s="5">
        <v>7.4999999999999997E-3</v>
      </c>
    </row>
    <row r="3629" spans="1:8" x14ac:dyDescent="0.35">
      <c r="A3629" s="2" t="s">
        <v>1423</v>
      </c>
      <c r="B3629" s="2" t="s">
        <v>1424</v>
      </c>
      <c r="C3629" s="2" t="s">
        <v>1433</v>
      </c>
      <c r="D3629" s="2" t="s">
        <v>1434</v>
      </c>
      <c r="E3629" s="2" t="s">
        <v>248</v>
      </c>
      <c r="F3629" s="3">
        <v>300</v>
      </c>
      <c r="G3629" s="4">
        <v>1</v>
      </c>
      <c r="H3629" s="5">
        <v>0</v>
      </c>
    </row>
    <row r="3630" spans="1:8" x14ac:dyDescent="0.35">
      <c r="A3630" s="2" t="s">
        <v>1423</v>
      </c>
      <c r="B3630" s="2" t="s">
        <v>1424</v>
      </c>
      <c r="C3630" s="2" t="s">
        <v>1362</v>
      </c>
      <c r="D3630" s="2" t="s">
        <v>1363</v>
      </c>
      <c r="E3630" s="2" t="s">
        <v>71</v>
      </c>
      <c r="F3630" s="3">
        <v>280</v>
      </c>
      <c r="G3630" s="4">
        <v>1</v>
      </c>
      <c r="H3630" s="5">
        <v>0</v>
      </c>
    </row>
    <row r="3631" spans="1:8" x14ac:dyDescent="0.35">
      <c r="A3631" s="2" t="s">
        <v>1423</v>
      </c>
      <c r="B3631" s="2" t="s">
        <v>1424</v>
      </c>
      <c r="C3631" s="2" t="s">
        <v>1435</v>
      </c>
      <c r="D3631" s="2" t="s">
        <v>1436</v>
      </c>
      <c r="E3631" s="2" t="s">
        <v>415</v>
      </c>
      <c r="F3631" s="3">
        <v>5300</v>
      </c>
      <c r="G3631" s="4">
        <v>12</v>
      </c>
      <c r="H3631" s="5">
        <v>5.0000000000000001E-3</v>
      </c>
    </row>
    <row r="3632" spans="1:8" x14ac:dyDescent="0.35">
      <c r="A3632" s="2" t="s">
        <v>1423</v>
      </c>
      <c r="B3632" s="2" t="s">
        <v>1424</v>
      </c>
      <c r="C3632" s="2" t="s">
        <v>548</v>
      </c>
      <c r="D3632" s="2" t="s">
        <v>465</v>
      </c>
      <c r="E3632" s="6" t="s">
        <v>180</v>
      </c>
      <c r="F3632" s="3">
        <v>127</v>
      </c>
      <c r="G3632" s="4">
        <v>1</v>
      </c>
      <c r="H3632" s="5">
        <v>0</v>
      </c>
    </row>
    <row r="3633" spans="1:8" x14ac:dyDescent="0.35">
      <c r="A3633" s="2" t="s">
        <v>1423</v>
      </c>
      <c r="B3633" s="2" t="s">
        <v>1424</v>
      </c>
      <c r="C3633" s="2" t="s">
        <v>1437</v>
      </c>
      <c r="D3633" s="2" t="s">
        <v>1438</v>
      </c>
      <c r="E3633" s="2" t="s">
        <v>158</v>
      </c>
      <c r="F3633" s="3">
        <v>1365</v>
      </c>
      <c r="G3633" s="4">
        <v>6</v>
      </c>
      <c r="H3633" s="5">
        <v>7.4999999999999997E-3</v>
      </c>
    </row>
    <row r="3634" spans="1:8" ht="14.5" customHeight="1" x14ac:dyDescent="0.35">
      <c r="A3634" s="2" t="s">
        <v>1423</v>
      </c>
      <c r="B3634" s="2" t="s">
        <v>1424</v>
      </c>
      <c r="C3634" s="2" t="s">
        <v>1439</v>
      </c>
      <c r="D3634" s="2" t="s">
        <v>1440</v>
      </c>
      <c r="E3634" s="2" t="s">
        <v>271</v>
      </c>
      <c r="F3634" s="3">
        <v>10999</v>
      </c>
      <c r="G3634" s="4">
        <v>6</v>
      </c>
      <c r="H3634" s="5">
        <v>7.4999999999999997E-3</v>
      </c>
    </row>
    <row r="3635" spans="1:8" x14ac:dyDescent="0.35">
      <c r="A3635" s="2" t="s">
        <v>1423</v>
      </c>
      <c r="B3635" s="2" t="s">
        <v>1424</v>
      </c>
      <c r="C3635" s="2" t="s">
        <v>1441</v>
      </c>
      <c r="D3635" s="2" t="s">
        <v>1442</v>
      </c>
      <c r="E3635" s="2" t="s">
        <v>415</v>
      </c>
      <c r="F3635" s="3">
        <v>5300</v>
      </c>
      <c r="G3635" s="4">
        <v>6</v>
      </c>
      <c r="H3635" s="5">
        <v>5.0000000000000001E-3</v>
      </c>
    </row>
    <row r="3636" spans="1:8" x14ac:dyDescent="0.35">
      <c r="A3636" s="2" t="s">
        <v>1423</v>
      </c>
      <c r="B3636" s="2" t="s">
        <v>1424</v>
      </c>
      <c r="C3636" s="2" t="s">
        <v>487</v>
      </c>
      <c r="D3636" s="2" t="s">
        <v>488</v>
      </c>
      <c r="E3636" s="2" t="s">
        <v>489</v>
      </c>
      <c r="F3636" s="3">
        <v>1500</v>
      </c>
      <c r="G3636" s="4">
        <v>6</v>
      </c>
      <c r="H3636" s="5">
        <v>7.4999999999999997E-3</v>
      </c>
    </row>
    <row r="3637" spans="1:8" x14ac:dyDescent="0.35">
      <c r="A3637" s="2" t="s">
        <v>1423</v>
      </c>
      <c r="B3637" s="2" t="s">
        <v>1424</v>
      </c>
      <c r="C3637" s="2" t="s">
        <v>540</v>
      </c>
      <c r="D3637" s="2" t="s">
        <v>483</v>
      </c>
      <c r="E3637" s="2" t="s">
        <v>322</v>
      </c>
      <c r="F3637" s="3">
        <v>32</v>
      </c>
      <c r="G3637" s="4">
        <v>1</v>
      </c>
      <c r="H3637" s="5">
        <v>0</v>
      </c>
    </row>
    <row r="3638" spans="1:8" x14ac:dyDescent="0.35">
      <c r="A3638" s="2" t="s">
        <v>1423</v>
      </c>
      <c r="B3638" s="2" t="s">
        <v>1424</v>
      </c>
      <c r="C3638" s="2" t="s">
        <v>1443</v>
      </c>
      <c r="D3638" s="2" t="s">
        <v>1444</v>
      </c>
      <c r="E3638" s="2" t="s">
        <v>1445</v>
      </c>
      <c r="F3638" s="3">
        <v>600</v>
      </c>
      <c r="G3638" s="4">
        <v>6</v>
      </c>
      <c r="H3638" s="5">
        <v>0</v>
      </c>
    </row>
    <row r="3639" spans="1:8" x14ac:dyDescent="0.35">
      <c r="A3639" s="2" t="s">
        <v>1423</v>
      </c>
      <c r="B3639" s="2" t="s">
        <v>1424</v>
      </c>
      <c r="C3639" s="2" t="s">
        <v>1446</v>
      </c>
      <c r="D3639" s="2" t="s">
        <v>1447</v>
      </c>
      <c r="E3639" s="2" t="s">
        <v>82</v>
      </c>
      <c r="F3639" s="3">
        <v>600</v>
      </c>
      <c r="G3639" s="4">
        <v>6</v>
      </c>
      <c r="H3639" s="5">
        <v>0</v>
      </c>
    </row>
    <row r="3640" spans="1:8" ht="14.5" customHeight="1" x14ac:dyDescent="0.35">
      <c r="A3640" s="2" t="s">
        <v>1423</v>
      </c>
      <c r="B3640" s="2" t="s">
        <v>1424</v>
      </c>
      <c r="C3640" s="2" t="s">
        <v>1448</v>
      </c>
      <c r="D3640" s="2" t="s">
        <v>1449</v>
      </c>
      <c r="E3640" s="2" t="s">
        <v>260</v>
      </c>
      <c r="F3640" s="3">
        <v>10000</v>
      </c>
      <c r="G3640" s="4">
        <v>6</v>
      </c>
      <c r="H3640" s="5">
        <v>7.4999999999999997E-3</v>
      </c>
    </row>
    <row r="3641" spans="1:8" x14ac:dyDescent="0.35">
      <c r="A3641" s="2" t="s">
        <v>1423</v>
      </c>
      <c r="B3641" s="2" t="s">
        <v>1424</v>
      </c>
      <c r="C3641" s="2" t="s">
        <v>526</v>
      </c>
      <c r="D3641" s="2" t="s">
        <v>527</v>
      </c>
      <c r="E3641" s="2" t="s">
        <v>315</v>
      </c>
      <c r="F3641" s="3">
        <v>70</v>
      </c>
      <c r="G3641" s="4">
        <v>6</v>
      </c>
      <c r="H3641" s="5">
        <v>0</v>
      </c>
    </row>
    <row r="3642" spans="1:8" ht="14.5" customHeight="1" x14ac:dyDescent="0.35">
      <c r="A3642" s="2" t="s">
        <v>1423</v>
      </c>
      <c r="B3642" s="2" t="s">
        <v>1424</v>
      </c>
      <c r="C3642" s="2" t="s">
        <v>1369</v>
      </c>
      <c r="D3642" s="2" t="s">
        <v>1370</v>
      </c>
      <c r="E3642" s="2" t="s">
        <v>191</v>
      </c>
      <c r="F3642" s="3">
        <v>1850</v>
      </c>
      <c r="G3642" s="4">
        <v>6</v>
      </c>
      <c r="H3642" s="5">
        <v>0</v>
      </c>
    </row>
    <row r="3643" spans="1:8" x14ac:dyDescent="0.35">
      <c r="A3643" s="2" t="s">
        <v>1423</v>
      </c>
      <c r="B3643" s="2" t="s">
        <v>1424</v>
      </c>
      <c r="C3643" s="2" t="s">
        <v>538</v>
      </c>
      <c r="D3643" s="2" t="s">
        <v>539</v>
      </c>
      <c r="E3643" s="2" t="s">
        <v>303</v>
      </c>
      <c r="F3643" s="3">
        <v>23</v>
      </c>
      <c r="G3643" s="4">
        <v>12</v>
      </c>
      <c r="H3643" s="5">
        <v>0</v>
      </c>
    </row>
    <row r="3644" spans="1:8" x14ac:dyDescent="0.35">
      <c r="A3644" s="2" t="s">
        <v>1423</v>
      </c>
      <c r="B3644" s="2" t="s">
        <v>1424</v>
      </c>
      <c r="C3644" s="2" t="s">
        <v>1450</v>
      </c>
      <c r="D3644" s="2" t="s">
        <v>1451</v>
      </c>
      <c r="E3644" s="2" t="s">
        <v>92</v>
      </c>
      <c r="F3644" s="3">
        <v>1066.05</v>
      </c>
      <c r="G3644" s="4">
        <v>6</v>
      </c>
      <c r="H3644" s="5">
        <v>0</v>
      </c>
    </row>
    <row r="3645" spans="1:8" ht="14.5" customHeight="1" x14ac:dyDescent="0.35">
      <c r="A3645" s="2" t="s">
        <v>1423</v>
      </c>
      <c r="B3645" s="2" t="s">
        <v>1424</v>
      </c>
      <c r="C3645" s="2" t="s">
        <v>1452</v>
      </c>
      <c r="D3645" s="2" t="s">
        <v>1453</v>
      </c>
      <c r="E3645" s="2" t="s">
        <v>424</v>
      </c>
      <c r="F3645" s="3">
        <v>5300</v>
      </c>
      <c r="G3645" s="4">
        <v>6</v>
      </c>
      <c r="H3645" s="5">
        <v>0</v>
      </c>
    </row>
    <row r="3646" spans="1:8" x14ac:dyDescent="0.35">
      <c r="A3646" s="2" t="s">
        <v>1423</v>
      </c>
      <c r="B3646" s="2" t="s">
        <v>1424</v>
      </c>
      <c r="C3646" s="2" t="s">
        <v>1454</v>
      </c>
      <c r="D3646" s="2" t="s">
        <v>1455</v>
      </c>
      <c r="E3646" s="2" t="s">
        <v>470</v>
      </c>
      <c r="F3646" s="3">
        <v>135</v>
      </c>
      <c r="G3646" s="4">
        <v>6</v>
      </c>
      <c r="H3646" s="5">
        <v>0</v>
      </c>
    </row>
    <row r="3647" spans="1:8" x14ac:dyDescent="0.35">
      <c r="A3647" s="2" t="s">
        <v>1423</v>
      </c>
      <c r="B3647" s="2" t="s">
        <v>1424</v>
      </c>
      <c r="C3647" s="2" t="s">
        <v>1456</v>
      </c>
      <c r="D3647" s="2" t="s">
        <v>1457</v>
      </c>
      <c r="E3647" s="2" t="s">
        <v>1340</v>
      </c>
      <c r="F3647" s="3">
        <v>600</v>
      </c>
      <c r="G3647" s="4">
        <v>6</v>
      </c>
      <c r="H3647" s="5">
        <v>0</v>
      </c>
    </row>
    <row r="3648" spans="1:8" x14ac:dyDescent="0.35">
      <c r="A3648" s="2" t="s">
        <v>1423</v>
      </c>
      <c r="B3648" s="2" t="s">
        <v>1424</v>
      </c>
      <c r="C3648" s="2" t="s">
        <v>1366</v>
      </c>
      <c r="D3648" s="2" t="s">
        <v>456</v>
      </c>
      <c r="E3648" s="2" t="s">
        <v>35</v>
      </c>
      <c r="F3648" s="3">
        <v>804.21</v>
      </c>
      <c r="G3648" s="4">
        <v>12</v>
      </c>
      <c r="H3648" s="5">
        <v>0</v>
      </c>
    </row>
    <row r="3649" spans="1:8" x14ac:dyDescent="0.35">
      <c r="A3649" s="2" t="s">
        <v>1423</v>
      </c>
      <c r="B3649" s="2" t="s">
        <v>1424</v>
      </c>
      <c r="C3649" s="2" t="s">
        <v>521</v>
      </c>
      <c r="D3649" s="2" t="s">
        <v>522</v>
      </c>
      <c r="E3649" s="2" t="s">
        <v>59</v>
      </c>
      <c r="F3649" s="3">
        <v>22.9</v>
      </c>
      <c r="G3649" s="4">
        <v>12</v>
      </c>
      <c r="H3649" s="5">
        <v>0</v>
      </c>
    </row>
    <row r="3650" spans="1:8" ht="14.5" customHeight="1" x14ac:dyDescent="0.35">
      <c r="A3650" s="2" t="s">
        <v>1423</v>
      </c>
      <c r="B3650" s="2" t="s">
        <v>1424</v>
      </c>
      <c r="C3650" s="2" t="s">
        <v>1458</v>
      </c>
      <c r="D3650" s="2" t="s">
        <v>1459</v>
      </c>
      <c r="E3650" s="2" t="s">
        <v>158</v>
      </c>
      <c r="F3650" s="3">
        <v>1365</v>
      </c>
      <c r="G3650" s="4">
        <v>6</v>
      </c>
      <c r="H3650" s="5">
        <v>7.4999999999999997E-3</v>
      </c>
    </row>
    <row r="3651" spans="1:8" x14ac:dyDescent="0.35">
      <c r="A3651" s="2" t="s">
        <v>1423</v>
      </c>
      <c r="B3651" s="2" t="s">
        <v>1424</v>
      </c>
      <c r="C3651" s="2" t="s">
        <v>1460</v>
      </c>
      <c r="D3651" s="2" t="s">
        <v>1461</v>
      </c>
      <c r="E3651" s="6" t="s">
        <v>180</v>
      </c>
      <c r="F3651" s="3">
        <v>264.45999999999998</v>
      </c>
      <c r="G3651" s="4">
        <v>6</v>
      </c>
      <c r="H3651" s="5">
        <v>0</v>
      </c>
    </row>
    <row r="3652" spans="1:8" x14ac:dyDescent="0.35">
      <c r="A3652" s="2" t="s">
        <v>1423</v>
      </c>
      <c r="B3652" s="2" t="s">
        <v>1424</v>
      </c>
      <c r="C3652" s="2" t="s">
        <v>1462</v>
      </c>
      <c r="D3652" s="2" t="s">
        <v>1463</v>
      </c>
      <c r="E3652" s="2" t="s">
        <v>950</v>
      </c>
      <c r="F3652" s="3">
        <v>60</v>
      </c>
      <c r="G3652" s="4">
        <v>6</v>
      </c>
      <c r="H3652" s="5">
        <v>0</v>
      </c>
    </row>
    <row r="3653" spans="1:8" ht="14.5" customHeight="1" x14ac:dyDescent="0.35">
      <c r="A3653" s="2" t="s">
        <v>1423</v>
      </c>
      <c r="B3653" s="2" t="s">
        <v>1424</v>
      </c>
      <c r="C3653" s="2" t="s">
        <v>1464</v>
      </c>
      <c r="D3653" s="2" t="s">
        <v>1465</v>
      </c>
      <c r="E3653" s="2" t="s">
        <v>434</v>
      </c>
      <c r="F3653" s="3">
        <v>2430</v>
      </c>
      <c r="G3653" s="4">
        <v>6</v>
      </c>
      <c r="H3653" s="5">
        <v>7.4999999999999997E-3</v>
      </c>
    </row>
    <row r="3654" spans="1:8" x14ac:dyDescent="0.35">
      <c r="A3654" s="2" t="s">
        <v>1423</v>
      </c>
      <c r="B3654" s="2" t="s">
        <v>1424</v>
      </c>
      <c r="C3654" s="2" t="s">
        <v>974</v>
      </c>
      <c r="D3654" s="2" t="s">
        <v>975</v>
      </c>
      <c r="E3654" s="2" t="s">
        <v>603</v>
      </c>
      <c r="F3654" s="3">
        <v>1544.45</v>
      </c>
      <c r="G3654" s="4">
        <v>6</v>
      </c>
      <c r="H3654" s="5">
        <v>7.4999999999999997E-3</v>
      </c>
    </row>
    <row r="3655" spans="1:8" x14ac:dyDescent="0.35">
      <c r="A3655" s="2" t="s">
        <v>1423</v>
      </c>
      <c r="B3655" s="2" t="s">
        <v>509</v>
      </c>
      <c r="C3655" s="2" t="s">
        <v>1425</v>
      </c>
      <c r="D3655" s="2" t="s">
        <v>1426</v>
      </c>
      <c r="E3655" s="2" t="s">
        <v>741</v>
      </c>
      <c r="F3655" s="3">
        <v>250</v>
      </c>
      <c r="G3655" s="4">
        <v>36</v>
      </c>
      <c r="H3655" s="5">
        <v>0.01</v>
      </c>
    </row>
    <row r="3656" spans="1:8" x14ac:dyDescent="0.35">
      <c r="A3656" s="2" t="s">
        <v>1423</v>
      </c>
      <c r="B3656" s="2" t="s">
        <v>509</v>
      </c>
      <c r="C3656" s="2" t="s">
        <v>523</v>
      </c>
      <c r="D3656" s="2" t="s">
        <v>524</v>
      </c>
      <c r="E3656" s="2" t="s">
        <v>525</v>
      </c>
      <c r="F3656" s="3">
        <v>576.47</v>
      </c>
      <c r="G3656" s="4">
        <v>20</v>
      </c>
      <c r="H3656" s="5">
        <v>0.01</v>
      </c>
    </row>
    <row r="3657" spans="1:8" x14ac:dyDescent="0.35">
      <c r="A3657" s="2" t="s">
        <v>1423</v>
      </c>
      <c r="B3657" s="2" t="s">
        <v>509</v>
      </c>
      <c r="C3657" s="2" t="s">
        <v>1427</v>
      </c>
      <c r="D3657" s="2" t="s">
        <v>1428</v>
      </c>
      <c r="E3657" s="2" t="s">
        <v>180</v>
      </c>
      <c r="F3657" s="3">
        <v>239.32</v>
      </c>
      <c r="G3657" s="4">
        <v>36</v>
      </c>
      <c r="H3657" s="5">
        <v>0.01</v>
      </c>
    </row>
    <row r="3658" spans="1:8" x14ac:dyDescent="0.35">
      <c r="A3658" s="2" t="s">
        <v>1423</v>
      </c>
      <c r="B3658" s="2" t="s">
        <v>509</v>
      </c>
      <c r="C3658" s="2" t="s">
        <v>538</v>
      </c>
      <c r="D3658" s="2" t="s">
        <v>539</v>
      </c>
      <c r="E3658" s="2" t="s">
        <v>303</v>
      </c>
      <c r="F3658" s="3">
        <v>84.4</v>
      </c>
      <c r="G3658" s="4">
        <v>12</v>
      </c>
      <c r="H3658" s="5">
        <v>0.01</v>
      </c>
    </row>
    <row r="3659" spans="1:8" ht="14.5" customHeight="1" x14ac:dyDescent="0.35">
      <c r="A3659" s="2" t="s">
        <v>1423</v>
      </c>
      <c r="B3659" s="2" t="s">
        <v>509</v>
      </c>
      <c r="C3659" s="2" t="s">
        <v>1429</v>
      </c>
      <c r="D3659" s="2" t="s">
        <v>1430</v>
      </c>
      <c r="E3659" s="2" t="s">
        <v>226</v>
      </c>
      <c r="F3659" s="3">
        <v>2038.68</v>
      </c>
      <c r="G3659" s="4">
        <v>36</v>
      </c>
      <c r="H3659" s="5">
        <v>0.01</v>
      </c>
    </row>
    <row r="3660" spans="1:8" x14ac:dyDescent="0.35">
      <c r="A3660" s="2" t="s">
        <v>1423</v>
      </c>
      <c r="B3660" s="2" t="s">
        <v>509</v>
      </c>
      <c r="C3660" s="2" t="s">
        <v>512</v>
      </c>
      <c r="D3660" s="2" t="s">
        <v>451</v>
      </c>
      <c r="E3660" s="2" t="s">
        <v>452</v>
      </c>
      <c r="F3660" s="3">
        <v>54.99</v>
      </c>
      <c r="G3660" s="4">
        <v>1</v>
      </c>
      <c r="H3660" s="5">
        <v>0</v>
      </c>
    </row>
    <row r="3661" spans="1:8" x14ac:dyDescent="0.35">
      <c r="A3661" s="2" t="s">
        <v>1423</v>
      </c>
      <c r="B3661" s="2" t="s">
        <v>509</v>
      </c>
      <c r="C3661" s="2" t="s">
        <v>1431</v>
      </c>
      <c r="D3661" s="2" t="s">
        <v>1432</v>
      </c>
      <c r="E3661" s="2" t="s">
        <v>46</v>
      </c>
      <c r="F3661" s="3">
        <v>299.52</v>
      </c>
      <c r="G3661" s="4">
        <v>1</v>
      </c>
      <c r="H3661" s="5">
        <v>0</v>
      </c>
    </row>
    <row r="3662" spans="1:8" x14ac:dyDescent="0.35">
      <c r="A3662" s="2" t="s">
        <v>1423</v>
      </c>
      <c r="B3662" s="2" t="s">
        <v>509</v>
      </c>
      <c r="C3662" s="2" t="s">
        <v>1433</v>
      </c>
      <c r="D3662" s="2" t="s">
        <v>1434</v>
      </c>
      <c r="E3662" s="2" t="s">
        <v>248</v>
      </c>
      <c r="F3662" s="3">
        <v>101.24</v>
      </c>
      <c r="G3662" s="4">
        <v>36</v>
      </c>
      <c r="H3662" s="5">
        <v>0.01</v>
      </c>
    </row>
    <row r="3663" spans="1:8" x14ac:dyDescent="0.35">
      <c r="A3663" s="2" t="s">
        <v>1423</v>
      </c>
      <c r="B3663" s="2" t="s">
        <v>509</v>
      </c>
      <c r="C3663" s="2" t="s">
        <v>1362</v>
      </c>
      <c r="D3663" s="2" t="s">
        <v>1363</v>
      </c>
      <c r="E3663" s="2" t="s">
        <v>71</v>
      </c>
      <c r="F3663" s="3">
        <v>250</v>
      </c>
      <c r="G3663" s="4">
        <v>12</v>
      </c>
      <c r="H3663" s="5">
        <v>0.01</v>
      </c>
    </row>
    <row r="3664" spans="1:8" x14ac:dyDescent="0.35">
      <c r="A3664" s="2" t="s">
        <v>1423</v>
      </c>
      <c r="B3664" s="2" t="s">
        <v>509</v>
      </c>
      <c r="C3664" s="2" t="s">
        <v>1435</v>
      </c>
      <c r="D3664" s="2" t="s">
        <v>1436</v>
      </c>
      <c r="E3664" s="2" t="s">
        <v>415</v>
      </c>
      <c r="F3664" s="3">
        <v>375.08</v>
      </c>
      <c r="G3664" s="4">
        <v>1</v>
      </c>
      <c r="H3664" s="5">
        <v>0</v>
      </c>
    </row>
    <row r="3665" spans="1:8" x14ac:dyDescent="0.35">
      <c r="A3665" s="2" t="s">
        <v>1423</v>
      </c>
      <c r="B3665" s="2" t="s">
        <v>509</v>
      </c>
      <c r="C3665" s="2" t="s">
        <v>548</v>
      </c>
      <c r="D3665" s="2" t="s">
        <v>465</v>
      </c>
      <c r="E3665" s="6" t="s">
        <v>180</v>
      </c>
      <c r="F3665" s="3">
        <v>361.23</v>
      </c>
      <c r="G3665" s="4">
        <v>36</v>
      </c>
      <c r="H3665" s="5">
        <v>0.01</v>
      </c>
    </row>
    <row r="3666" spans="1:8" x14ac:dyDescent="0.35">
      <c r="A3666" s="2" t="s">
        <v>1423</v>
      </c>
      <c r="B3666" s="2" t="s">
        <v>509</v>
      </c>
      <c r="C3666" s="2" t="s">
        <v>1437</v>
      </c>
      <c r="D3666" s="2" t="s">
        <v>1438</v>
      </c>
      <c r="E3666" s="2" t="s">
        <v>158</v>
      </c>
      <c r="F3666" s="3">
        <v>2468.3200000000002</v>
      </c>
      <c r="G3666" s="4">
        <v>36</v>
      </c>
      <c r="H3666" s="5">
        <v>0.01</v>
      </c>
    </row>
    <row r="3667" spans="1:8" ht="14.5" customHeight="1" x14ac:dyDescent="0.35">
      <c r="A3667" s="2" t="s">
        <v>1423</v>
      </c>
      <c r="B3667" s="2" t="s">
        <v>509</v>
      </c>
      <c r="C3667" s="2" t="s">
        <v>1439</v>
      </c>
      <c r="D3667" s="2" t="s">
        <v>1440</v>
      </c>
      <c r="E3667" s="2" t="s">
        <v>271</v>
      </c>
      <c r="F3667" s="3">
        <v>3182.71</v>
      </c>
      <c r="G3667" s="4">
        <v>1</v>
      </c>
      <c r="H3667" s="5">
        <v>0</v>
      </c>
    </row>
    <row r="3668" spans="1:8" x14ac:dyDescent="0.35">
      <c r="A3668" s="2" t="s">
        <v>1423</v>
      </c>
      <c r="B3668" s="2" t="s">
        <v>509</v>
      </c>
      <c r="C3668" s="2" t="s">
        <v>1441</v>
      </c>
      <c r="D3668" s="2" t="s">
        <v>1442</v>
      </c>
      <c r="E3668" s="2" t="s">
        <v>415</v>
      </c>
      <c r="F3668" s="3">
        <v>375.08</v>
      </c>
      <c r="G3668" s="4">
        <v>1</v>
      </c>
      <c r="H3668" s="5">
        <v>0</v>
      </c>
    </row>
    <row r="3669" spans="1:8" x14ac:dyDescent="0.35">
      <c r="A3669" s="2" t="s">
        <v>1423</v>
      </c>
      <c r="B3669" s="2" t="s">
        <v>509</v>
      </c>
      <c r="C3669" s="2" t="s">
        <v>487</v>
      </c>
      <c r="D3669" s="2" t="s">
        <v>488</v>
      </c>
      <c r="E3669" s="2" t="s">
        <v>489</v>
      </c>
      <c r="F3669" s="3">
        <v>5939</v>
      </c>
      <c r="G3669" s="4">
        <v>36</v>
      </c>
      <c r="H3669" s="5">
        <v>0.01</v>
      </c>
    </row>
    <row r="3670" spans="1:8" x14ac:dyDescent="0.35">
      <c r="A3670" s="2" t="s">
        <v>1423</v>
      </c>
      <c r="B3670" s="2" t="s">
        <v>509</v>
      </c>
      <c r="C3670" s="2" t="s">
        <v>540</v>
      </c>
      <c r="D3670" s="2" t="s">
        <v>483</v>
      </c>
      <c r="E3670" s="2" t="s">
        <v>322</v>
      </c>
      <c r="F3670" s="3">
        <v>44.07</v>
      </c>
      <c r="G3670" s="4">
        <v>10</v>
      </c>
      <c r="H3670" s="5">
        <v>0.01</v>
      </c>
    </row>
    <row r="3671" spans="1:8" x14ac:dyDescent="0.35">
      <c r="A3671" s="2" t="s">
        <v>1423</v>
      </c>
      <c r="B3671" s="2" t="s">
        <v>509</v>
      </c>
      <c r="C3671" s="2" t="s">
        <v>1443</v>
      </c>
      <c r="D3671" s="2" t="s">
        <v>1444</v>
      </c>
      <c r="E3671" s="2" t="s">
        <v>1445</v>
      </c>
      <c r="F3671" s="3">
        <v>2331.0100000000002</v>
      </c>
      <c r="G3671" s="4">
        <v>36</v>
      </c>
      <c r="H3671" s="5">
        <v>0.01</v>
      </c>
    </row>
    <row r="3672" spans="1:8" x14ac:dyDescent="0.35">
      <c r="A3672" s="2" t="s">
        <v>1423</v>
      </c>
      <c r="B3672" s="2" t="s">
        <v>509</v>
      </c>
      <c r="C3672" s="2" t="s">
        <v>1446</v>
      </c>
      <c r="D3672" s="2" t="s">
        <v>1447</v>
      </c>
      <c r="E3672" s="2" t="s">
        <v>82</v>
      </c>
      <c r="F3672" s="3">
        <v>2899.51</v>
      </c>
      <c r="G3672" s="4">
        <v>36</v>
      </c>
      <c r="H3672" s="5">
        <v>0.01</v>
      </c>
    </row>
    <row r="3673" spans="1:8" ht="14.5" customHeight="1" x14ac:dyDescent="0.35">
      <c r="A3673" s="2" t="s">
        <v>1423</v>
      </c>
      <c r="B3673" s="2" t="s">
        <v>509</v>
      </c>
      <c r="C3673" s="2" t="s">
        <v>1448</v>
      </c>
      <c r="D3673" s="2" t="s">
        <v>1449</v>
      </c>
      <c r="E3673" s="2" t="s">
        <v>260</v>
      </c>
      <c r="F3673" s="3">
        <v>755.65</v>
      </c>
      <c r="G3673" s="4">
        <v>1</v>
      </c>
      <c r="H3673" s="5">
        <v>0</v>
      </c>
    </row>
    <row r="3674" spans="1:8" x14ac:dyDescent="0.35">
      <c r="A3674" s="2" t="s">
        <v>1423</v>
      </c>
      <c r="B3674" s="2" t="s">
        <v>509</v>
      </c>
      <c r="C3674" s="2" t="s">
        <v>526</v>
      </c>
      <c r="D3674" s="2" t="s">
        <v>527</v>
      </c>
      <c r="E3674" s="2" t="s">
        <v>315</v>
      </c>
      <c r="F3674" s="3">
        <v>52.75</v>
      </c>
      <c r="G3674" s="4">
        <v>7</v>
      </c>
      <c r="H3674" s="5">
        <v>0.01</v>
      </c>
    </row>
    <row r="3675" spans="1:8" ht="14.5" customHeight="1" x14ac:dyDescent="0.35">
      <c r="A3675" s="2" t="s">
        <v>1423</v>
      </c>
      <c r="B3675" s="2" t="s">
        <v>509</v>
      </c>
      <c r="C3675" s="2" t="s">
        <v>1369</v>
      </c>
      <c r="D3675" s="2" t="s">
        <v>1370</v>
      </c>
      <c r="E3675" s="2" t="s">
        <v>191</v>
      </c>
      <c r="F3675" s="3">
        <v>559</v>
      </c>
      <c r="G3675" s="4">
        <v>1</v>
      </c>
      <c r="H3675" s="5">
        <v>0</v>
      </c>
    </row>
    <row r="3676" spans="1:8" x14ac:dyDescent="0.35">
      <c r="A3676" s="2" t="s">
        <v>1423</v>
      </c>
      <c r="B3676" s="2" t="s">
        <v>509</v>
      </c>
      <c r="C3676" s="2" t="s">
        <v>538</v>
      </c>
      <c r="D3676" s="2" t="s">
        <v>539</v>
      </c>
      <c r="E3676" s="2" t="s">
        <v>303</v>
      </c>
      <c r="F3676" s="3">
        <v>84.4</v>
      </c>
      <c r="G3676" s="4">
        <v>12</v>
      </c>
      <c r="H3676" s="5">
        <v>0.01</v>
      </c>
    </row>
    <row r="3677" spans="1:8" x14ac:dyDescent="0.35">
      <c r="A3677" s="2" t="s">
        <v>1423</v>
      </c>
      <c r="B3677" s="2" t="s">
        <v>509</v>
      </c>
      <c r="C3677" s="2" t="s">
        <v>1450</v>
      </c>
      <c r="D3677" s="2" t="s">
        <v>1451</v>
      </c>
      <c r="E3677" s="2" t="s">
        <v>92</v>
      </c>
      <c r="F3677" s="3">
        <v>2825.23</v>
      </c>
      <c r="G3677" s="4">
        <v>60</v>
      </c>
      <c r="H3677" s="5">
        <v>0.01</v>
      </c>
    </row>
    <row r="3678" spans="1:8" ht="14.5" customHeight="1" x14ac:dyDescent="0.35">
      <c r="A3678" s="2" t="s">
        <v>1423</v>
      </c>
      <c r="B3678" s="2" t="s">
        <v>509</v>
      </c>
      <c r="C3678" s="2" t="s">
        <v>1452</v>
      </c>
      <c r="D3678" s="2" t="s">
        <v>1453</v>
      </c>
      <c r="E3678" s="2" t="s">
        <v>424</v>
      </c>
      <c r="F3678" s="3">
        <v>2300</v>
      </c>
      <c r="G3678" s="4">
        <v>36</v>
      </c>
      <c r="H3678" s="5">
        <v>0.01</v>
      </c>
    </row>
    <row r="3679" spans="1:8" x14ac:dyDescent="0.35">
      <c r="A3679" s="2" t="s">
        <v>1423</v>
      </c>
      <c r="B3679" s="2" t="s">
        <v>509</v>
      </c>
      <c r="C3679" s="2" t="s">
        <v>1454</v>
      </c>
      <c r="D3679" s="2" t="s">
        <v>1455</v>
      </c>
      <c r="E3679" s="2" t="s">
        <v>470</v>
      </c>
      <c r="F3679" s="3">
        <v>250</v>
      </c>
      <c r="G3679" s="4">
        <v>12</v>
      </c>
      <c r="H3679" s="5">
        <v>0.01</v>
      </c>
    </row>
    <row r="3680" spans="1:8" x14ac:dyDescent="0.35">
      <c r="A3680" s="2" t="s">
        <v>1423</v>
      </c>
      <c r="B3680" s="2" t="s">
        <v>509</v>
      </c>
      <c r="C3680" s="2" t="s">
        <v>1456</v>
      </c>
      <c r="D3680" s="2" t="s">
        <v>1457</v>
      </c>
      <c r="E3680" s="2" t="s">
        <v>1340</v>
      </c>
      <c r="F3680" s="3">
        <v>4500</v>
      </c>
      <c r="G3680" s="4">
        <v>36</v>
      </c>
      <c r="H3680" s="5">
        <v>0.01</v>
      </c>
    </row>
    <row r="3681" spans="1:8" x14ac:dyDescent="0.35">
      <c r="A3681" s="2" t="s">
        <v>1423</v>
      </c>
      <c r="B3681" s="2" t="s">
        <v>509</v>
      </c>
      <c r="C3681" s="2" t="s">
        <v>1366</v>
      </c>
      <c r="D3681" s="2" t="s">
        <v>456</v>
      </c>
      <c r="E3681" s="2" t="s">
        <v>35</v>
      </c>
      <c r="F3681" s="3">
        <v>6201</v>
      </c>
      <c r="G3681" s="4">
        <v>36</v>
      </c>
      <c r="H3681" s="5">
        <v>0.01</v>
      </c>
    </row>
    <row r="3682" spans="1:8" x14ac:dyDescent="0.35">
      <c r="A3682" s="2" t="s">
        <v>1423</v>
      </c>
      <c r="B3682" s="2" t="s">
        <v>509</v>
      </c>
      <c r="C3682" s="2" t="s">
        <v>521</v>
      </c>
      <c r="D3682" s="2" t="s">
        <v>522</v>
      </c>
      <c r="E3682" s="2" t="s">
        <v>59</v>
      </c>
      <c r="F3682" s="3">
        <v>229.23</v>
      </c>
      <c r="G3682" s="4">
        <v>36</v>
      </c>
      <c r="H3682" s="5">
        <v>0.01</v>
      </c>
    </row>
    <row r="3683" spans="1:8" x14ac:dyDescent="0.35">
      <c r="A3683" s="2" t="s">
        <v>1423</v>
      </c>
      <c r="B3683" s="2" t="s">
        <v>509</v>
      </c>
      <c r="C3683" s="2" t="s">
        <v>1458</v>
      </c>
      <c r="D3683" s="2" t="s">
        <v>1459</v>
      </c>
      <c r="E3683" s="2" t="s">
        <v>158</v>
      </c>
      <c r="F3683" s="3">
        <v>2468.3200000000002</v>
      </c>
      <c r="G3683" s="4">
        <v>36</v>
      </c>
      <c r="H3683" s="5">
        <v>0.01</v>
      </c>
    </row>
    <row r="3684" spans="1:8" x14ac:dyDescent="0.35">
      <c r="A3684" s="2" t="s">
        <v>1423</v>
      </c>
      <c r="B3684" s="2" t="s">
        <v>509</v>
      </c>
      <c r="C3684" s="2" t="s">
        <v>1460</v>
      </c>
      <c r="D3684" s="2" t="s">
        <v>1461</v>
      </c>
      <c r="E3684" s="6" t="s">
        <v>180</v>
      </c>
      <c r="F3684" s="3">
        <v>1198.8599999999999</v>
      </c>
      <c r="G3684" s="4">
        <v>36</v>
      </c>
      <c r="H3684" s="5">
        <v>0.01</v>
      </c>
    </row>
    <row r="3685" spans="1:8" x14ac:dyDescent="0.35">
      <c r="A3685" s="2" t="s">
        <v>1423</v>
      </c>
      <c r="B3685" s="2" t="s">
        <v>509</v>
      </c>
      <c r="C3685" s="2" t="s">
        <v>1462</v>
      </c>
      <c r="D3685" s="2" t="s">
        <v>1463</v>
      </c>
      <c r="E3685" s="2" t="s">
        <v>950</v>
      </c>
      <c r="F3685" s="3">
        <v>60</v>
      </c>
      <c r="G3685" s="4">
        <v>12</v>
      </c>
      <c r="H3685" s="5">
        <v>0.01</v>
      </c>
    </row>
    <row r="3686" spans="1:8" x14ac:dyDescent="0.35">
      <c r="A3686" s="2" t="s">
        <v>1423</v>
      </c>
      <c r="B3686" s="2" t="s">
        <v>509</v>
      </c>
      <c r="C3686" s="2" t="s">
        <v>1464</v>
      </c>
      <c r="D3686" s="2" t="s">
        <v>1465</v>
      </c>
      <c r="E3686" s="2" t="s">
        <v>434</v>
      </c>
      <c r="F3686" s="3">
        <v>3507.87</v>
      </c>
      <c r="G3686" s="4">
        <v>36</v>
      </c>
      <c r="H3686" s="5">
        <v>0.01</v>
      </c>
    </row>
    <row r="3687" spans="1:8" x14ac:dyDescent="0.35">
      <c r="A3687" s="2" t="s">
        <v>1423</v>
      </c>
      <c r="B3687" s="2" t="s">
        <v>509</v>
      </c>
      <c r="C3687" s="2" t="s">
        <v>974</v>
      </c>
      <c r="D3687" s="2" t="s">
        <v>975</v>
      </c>
      <c r="E3687" s="2" t="s">
        <v>603</v>
      </c>
      <c r="F3687" s="3">
        <v>13800</v>
      </c>
      <c r="G3687" s="4">
        <v>36</v>
      </c>
      <c r="H3687" s="5">
        <v>0.01</v>
      </c>
    </row>
    <row r="3688" spans="1:8" x14ac:dyDescent="0.35">
      <c r="A3688" s="2" t="s">
        <v>1423</v>
      </c>
      <c r="B3688" s="2" t="s">
        <v>291</v>
      </c>
      <c r="C3688" s="2" t="s">
        <v>1425</v>
      </c>
      <c r="D3688" s="2" t="s">
        <v>1426</v>
      </c>
      <c r="E3688" s="2" t="s">
        <v>741</v>
      </c>
      <c r="F3688" s="3">
        <v>280</v>
      </c>
      <c r="G3688" s="4">
        <v>12</v>
      </c>
      <c r="H3688" s="5">
        <v>0</v>
      </c>
    </row>
    <row r="3689" spans="1:8" x14ac:dyDescent="0.35">
      <c r="A3689" s="2" t="s">
        <v>1423</v>
      </c>
      <c r="B3689" s="2" t="s">
        <v>291</v>
      </c>
      <c r="C3689" s="2" t="s">
        <v>523</v>
      </c>
      <c r="D3689" s="2" t="s">
        <v>524</v>
      </c>
      <c r="E3689" s="2" t="s">
        <v>525</v>
      </c>
      <c r="F3689" s="3">
        <v>250</v>
      </c>
      <c r="G3689" s="4">
        <v>36</v>
      </c>
      <c r="H3689" s="5">
        <v>0</v>
      </c>
    </row>
    <row r="3690" spans="1:8" x14ac:dyDescent="0.35">
      <c r="A3690" s="2" t="s">
        <v>1423</v>
      </c>
      <c r="B3690" s="2" t="s">
        <v>291</v>
      </c>
      <c r="C3690" s="2" t="s">
        <v>1427</v>
      </c>
      <c r="D3690" s="2" t="s">
        <v>1428</v>
      </c>
      <c r="E3690" s="2" t="s">
        <v>180</v>
      </c>
      <c r="F3690" s="3">
        <v>127</v>
      </c>
      <c r="G3690" s="4">
        <v>36</v>
      </c>
      <c r="H3690" s="5">
        <v>0</v>
      </c>
    </row>
    <row r="3691" spans="1:8" x14ac:dyDescent="0.35">
      <c r="A3691" s="2" t="s">
        <v>1423</v>
      </c>
      <c r="B3691" s="2" t="s">
        <v>291</v>
      </c>
      <c r="C3691" s="2" t="s">
        <v>538</v>
      </c>
      <c r="D3691" s="2" t="s">
        <v>539</v>
      </c>
      <c r="E3691" s="2" t="s">
        <v>303</v>
      </c>
      <c r="F3691" s="3">
        <v>23</v>
      </c>
      <c r="G3691" s="4">
        <v>60</v>
      </c>
      <c r="H3691" s="5">
        <v>0</v>
      </c>
    </row>
    <row r="3692" spans="1:8" ht="14.5" customHeight="1" x14ac:dyDescent="0.35">
      <c r="A3692" s="2" t="s">
        <v>1423</v>
      </c>
      <c r="B3692" s="2" t="s">
        <v>291</v>
      </c>
      <c r="C3692" s="2" t="s">
        <v>1429</v>
      </c>
      <c r="D3692" s="2" t="s">
        <v>1430</v>
      </c>
      <c r="E3692" s="2" t="s">
        <v>226</v>
      </c>
      <c r="F3692" s="3">
        <v>3150</v>
      </c>
      <c r="G3692" s="4">
        <v>60</v>
      </c>
      <c r="H3692" s="5">
        <v>7.4999999999999997E-3</v>
      </c>
    </row>
    <row r="3693" spans="1:8" x14ac:dyDescent="0.35">
      <c r="A3693" s="2" t="s">
        <v>1423</v>
      </c>
      <c r="B3693" s="2" t="s">
        <v>291</v>
      </c>
      <c r="C3693" s="2" t="s">
        <v>512</v>
      </c>
      <c r="D3693" s="2" t="s">
        <v>451</v>
      </c>
      <c r="E3693" s="2" t="s">
        <v>452</v>
      </c>
      <c r="F3693" s="3">
        <v>50</v>
      </c>
      <c r="G3693" s="4">
        <v>1</v>
      </c>
      <c r="H3693" s="5">
        <v>0</v>
      </c>
    </row>
    <row r="3694" spans="1:8" x14ac:dyDescent="0.35">
      <c r="A3694" s="2" t="s">
        <v>1423</v>
      </c>
      <c r="B3694" s="2" t="s">
        <v>291</v>
      </c>
      <c r="C3694" s="2" t="s">
        <v>1431</v>
      </c>
      <c r="D3694" s="2" t="s">
        <v>1432</v>
      </c>
      <c r="E3694" s="2" t="s">
        <v>46</v>
      </c>
      <c r="F3694" s="3">
        <v>4372.3900000000003</v>
      </c>
      <c r="G3694" s="4">
        <v>60</v>
      </c>
      <c r="H3694" s="5">
        <v>7.4999999999999997E-3</v>
      </c>
    </row>
    <row r="3695" spans="1:8" x14ac:dyDescent="0.35">
      <c r="A3695" s="2" t="s">
        <v>1423</v>
      </c>
      <c r="B3695" s="2" t="s">
        <v>291</v>
      </c>
      <c r="C3695" s="2" t="s">
        <v>1433</v>
      </c>
      <c r="D3695" s="2" t="s">
        <v>1434</v>
      </c>
      <c r="E3695" s="2" t="s">
        <v>248</v>
      </c>
      <c r="F3695" s="3">
        <v>300</v>
      </c>
      <c r="G3695" s="4">
        <v>60</v>
      </c>
      <c r="H3695" s="5">
        <v>0</v>
      </c>
    </row>
    <row r="3696" spans="1:8" x14ac:dyDescent="0.35">
      <c r="A3696" s="2" t="s">
        <v>1423</v>
      </c>
      <c r="B3696" s="2" t="s">
        <v>291</v>
      </c>
      <c r="C3696" s="2" t="s">
        <v>1362</v>
      </c>
      <c r="D3696" s="2" t="s">
        <v>1363</v>
      </c>
      <c r="E3696" s="2" t="s">
        <v>71</v>
      </c>
      <c r="F3696" s="3">
        <v>280</v>
      </c>
      <c r="G3696" s="4">
        <v>12</v>
      </c>
      <c r="H3696" s="5">
        <v>0</v>
      </c>
    </row>
    <row r="3697" spans="1:8" x14ac:dyDescent="0.35">
      <c r="A3697" s="2" t="s">
        <v>1423</v>
      </c>
      <c r="B3697" s="2" t="s">
        <v>291</v>
      </c>
      <c r="C3697" s="2" t="s">
        <v>1435</v>
      </c>
      <c r="D3697" s="2" t="s">
        <v>1436</v>
      </c>
      <c r="E3697" s="2" t="s">
        <v>415</v>
      </c>
      <c r="F3697" s="3">
        <v>5300</v>
      </c>
      <c r="G3697" s="4">
        <v>60</v>
      </c>
      <c r="H3697" s="5">
        <v>5.0000000000000001E-3</v>
      </c>
    </row>
    <row r="3698" spans="1:8" x14ac:dyDescent="0.35">
      <c r="A3698" s="2" t="s">
        <v>1423</v>
      </c>
      <c r="B3698" s="2" t="s">
        <v>291</v>
      </c>
      <c r="C3698" s="2" t="s">
        <v>548</v>
      </c>
      <c r="D3698" s="2" t="s">
        <v>465</v>
      </c>
      <c r="E3698" s="6" t="s">
        <v>180</v>
      </c>
      <c r="F3698" s="3">
        <v>127</v>
      </c>
      <c r="G3698" s="4">
        <v>36</v>
      </c>
      <c r="H3698" s="5">
        <v>0</v>
      </c>
    </row>
    <row r="3699" spans="1:8" x14ac:dyDescent="0.35">
      <c r="A3699" s="2" t="s">
        <v>1423</v>
      </c>
      <c r="B3699" s="2" t="s">
        <v>291</v>
      </c>
      <c r="C3699" s="2" t="s">
        <v>1437</v>
      </c>
      <c r="D3699" s="2" t="s">
        <v>1438</v>
      </c>
      <c r="E3699" s="2" t="s">
        <v>158</v>
      </c>
      <c r="F3699" s="3">
        <v>1365</v>
      </c>
      <c r="G3699" s="4">
        <v>60</v>
      </c>
      <c r="H3699" s="5">
        <v>7.4999999999999997E-3</v>
      </c>
    </row>
    <row r="3700" spans="1:8" ht="14.5" customHeight="1" x14ac:dyDescent="0.35">
      <c r="A3700" s="2" t="s">
        <v>1423</v>
      </c>
      <c r="B3700" s="2" t="s">
        <v>291</v>
      </c>
      <c r="C3700" s="2" t="s">
        <v>1439</v>
      </c>
      <c r="D3700" s="2" t="s">
        <v>1440</v>
      </c>
      <c r="E3700" s="2" t="s">
        <v>271</v>
      </c>
      <c r="F3700" s="3">
        <v>130000</v>
      </c>
      <c r="G3700" s="4">
        <v>60</v>
      </c>
      <c r="H3700" s="5">
        <v>7.4999999999999997E-3</v>
      </c>
    </row>
    <row r="3701" spans="1:8" x14ac:dyDescent="0.35">
      <c r="A3701" s="2" t="s">
        <v>1423</v>
      </c>
      <c r="B3701" s="2" t="s">
        <v>291</v>
      </c>
      <c r="C3701" s="2" t="s">
        <v>1441</v>
      </c>
      <c r="D3701" s="2" t="s">
        <v>1442</v>
      </c>
      <c r="E3701" s="2" t="s">
        <v>415</v>
      </c>
      <c r="F3701" s="3">
        <v>5300</v>
      </c>
      <c r="G3701" s="4">
        <v>60</v>
      </c>
      <c r="H3701" s="5">
        <v>5.0000000000000001E-3</v>
      </c>
    </row>
    <row r="3702" spans="1:8" x14ac:dyDescent="0.35">
      <c r="A3702" s="2" t="s">
        <v>1423</v>
      </c>
      <c r="B3702" s="2" t="s">
        <v>291</v>
      </c>
      <c r="C3702" s="2" t="s">
        <v>487</v>
      </c>
      <c r="D3702" s="2" t="s">
        <v>488</v>
      </c>
      <c r="E3702" s="2" t="s">
        <v>489</v>
      </c>
      <c r="F3702" s="3">
        <v>2000</v>
      </c>
      <c r="G3702" s="4">
        <v>60</v>
      </c>
      <c r="H3702" s="5">
        <v>7.4999999999999997E-3</v>
      </c>
    </row>
    <row r="3703" spans="1:8" x14ac:dyDescent="0.35">
      <c r="A3703" s="2" t="s">
        <v>1423</v>
      </c>
      <c r="B3703" s="2" t="s">
        <v>291</v>
      </c>
      <c r="C3703" s="2" t="s">
        <v>540</v>
      </c>
      <c r="D3703" s="2" t="s">
        <v>483</v>
      </c>
      <c r="E3703" s="2" t="s">
        <v>322</v>
      </c>
      <c r="F3703" s="3">
        <v>32</v>
      </c>
      <c r="G3703" s="4">
        <v>60</v>
      </c>
      <c r="H3703" s="5">
        <v>0</v>
      </c>
    </row>
    <row r="3704" spans="1:8" x14ac:dyDescent="0.35">
      <c r="A3704" s="2" t="s">
        <v>1423</v>
      </c>
      <c r="B3704" s="2" t="s">
        <v>291</v>
      </c>
      <c r="C3704" s="2" t="s">
        <v>1443</v>
      </c>
      <c r="D3704" s="2" t="s">
        <v>1444</v>
      </c>
      <c r="E3704" s="2" t="s">
        <v>1445</v>
      </c>
      <c r="F3704" s="3">
        <v>600</v>
      </c>
      <c r="G3704" s="4">
        <v>60</v>
      </c>
      <c r="H3704" s="5">
        <v>0</v>
      </c>
    </row>
    <row r="3705" spans="1:8" x14ac:dyDescent="0.35">
      <c r="A3705" s="2" t="s">
        <v>1423</v>
      </c>
      <c r="B3705" s="2" t="s">
        <v>291</v>
      </c>
      <c r="C3705" s="2" t="s">
        <v>1446</v>
      </c>
      <c r="D3705" s="2" t="s">
        <v>1447</v>
      </c>
      <c r="E3705" s="2" t="s">
        <v>82</v>
      </c>
      <c r="F3705" s="3">
        <v>600</v>
      </c>
      <c r="G3705" s="4">
        <v>60</v>
      </c>
      <c r="H3705" s="5">
        <v>0</v>
      </c>
    </row>
    <row r="3706" spans="1:8" ht="14.5" customHeight="1" x14ac:dyDescent="0.35">
      <c r="A3706" s="2" t="s">
        <v>1423</v>
      </c>
      <c r="B3706" s="2" t="s">
        <v>291</v>
      </c>
      <c r="C3706" s="2" t="s">
        <v>1448</v>
      </c>
      <c r="D3706" s="2" t="s">
        <v>1449</v>
      </c>
      <c r="E3706" s="2" t="s">
        <v>260</v>
      </c>
      <c r="F3706" s="3">
        <v>23863.1</v>
      </c>
      <c r="G3706" s="4">
        <v>60</v>
      </c>
      <c r="H3706" s="5">
        <v>7.4999999999999997E-3</v>
      </c>
    </row>
    <row r="3707" spans="1:8" x14ac:dyDescent="0.35">
      <c r="A3707" s="2" t="s">
        <v>1423</v>
      </c>
      <c r="B3707" s="2" t="s">
        <v>291</v>
      </c>
      <c r="C3707" s="2" t="s">
        <v>526</v>
      </c>
      <c r="D3707" s="2" t="s">
        <v>527</v>
      </c>
      <c r="E3707" s="2" t="s">
        <v>315</v>
      </c>
      <c r="F3707" s="3">
        <v>70</v>
      </c>
      <c r="G3707" s="4">
        <v>60</v>
      </c>
      <c r="H3707" s="5">
        <v>0</v>
      </c>
    </row>
    <row r="3708" spans="1:8" ht="14.5" customHeight="1" x14ac:dyDescent="0.35">
      <c r="A3708" s="2" t="s">
        <v>1423</v>
      </c>
      <c r="B3708" s="2" t="s">
        <v>291</v>
      </c>
      <c r="C3708" s="2" t="s">
        <v>1369</v>
      </c>
      <c r="D3708" s="2" t="s">
        <v>1370</v>
      </c>
      <c r="E3708" s="2" t="s">
        <v>191</v>
      </c>
      <c r="F3708" s="3">
        <v>1850</v>
      </c>
      <c r="G3708" s="4">
        <v>60</v>
      </c>
      <c r="H3708" s="5">
        <v>0</v>
      </c>
    </row>
    <row r="3709" spans="1:8" x14ac:dyDescent="0.35">
      <c r="A3709" s="2" t="s">
        <v>1423</v>
      </c>
      <c r="B3709" s="2" t="s">
        <v>291</v>
      </c>
      <c r="C3709" s="2" t="s">
        <v>538</v>
      </c>
      <c r="D3709" s="2" t="s">
        <v>539</v>
      </c>
      <c r="E3709" s="2" t="s">
        <v>303</v>
      </c>
      <c r="F3709" s="3">
        <v>23</v>
      </c>
      <c r="G3709" s="4">
        <v>60</v>
      </c>
      <c r="H3709" s="5">
        <v>0</v>
      </c>
    </row>
    <row r="3710" spans="1:8" x14ac:dyDescent="0.35">
      <c r="A3710" s="2" t="s">
        <v>1423</v>
      </c>
      <c r="B3710" s="2" t="s">
        <v>291</v>
      </c>
      <c r="C3710" s="2" t="s">
        <v>1450</v>
      </c>
      <c r="D3710" s="2" t="s">
        <v>1451</v>
      </c>
      <c r="E3710" s="2" t="s">
        <v>92</v>
      </c>
      <c r="F3710" s="3">
        <v>1066.05</v>
      </c>
      <c r="G3710" s="4">
        <v>36</v>
      </c>
      <c r="H3710" s="5">
        <v>0</v>
      </c>
    </row>
    <row r="3711" spans="1:8" ht="14.5" customHeight="1" x14ac:dyDescent="0.35">
      <c r="A3711" s="2" t="s">
        <v>1423</v>
      </c>
      <c r="B3711" s="2" t="s">
        <v>291</v>
      </c>
      <c r="C3711" s="2" t="s">
        <v>1452</v>
      </c>
      <c r="D3711" s="2" t="s">
        <v>1453</v>
      </c>
      <c r="E3711" s="2" t="s">
        <v>424</v>
      </c>
      <c r="F3711" s="3">
        <v>5300</v>
      </c>
      <c r="G3711" s="4">
        <v>60</v>
      </c>
      <c r="H3711" s="5">
        <v>0</v>
      </c>
    </row>
    <row r="3712" spans="1:8" x14ac:dyDescent="0.35">
      <c r="A3712" s="2" t="s">
        <v>1423</v>
      </c>
      <c r="B3712" s="2" t="s">
        <v>291</v>
      </c>
      <c r="C3712" s="2" t="s">
        <v>1454</v>
      </c>
      <c r="D3712" s="2" t="s">
        <v>1455</v>
      </c>
      <c r="E3712" s="2" t="s">
        <v>470</v>
      </c>
      <c r="F3712" s="3">
        <v>135</v>
      </c>
      <c r="G3712" s="4">
        <v>6</v>
      </c>
      <c r="H3712" s="5">
        <v>0</v>
      </c>
    </row>
    <row r="3713" spans="1:8" x14ac:dyDescent="0.35">
      <c r="A3713" s="2" t="s">
        <v>1423</v>
      </c>
      <c r="B3713" s="2" t="s">
        <v>291</v>
      </c>
      <c r="C3713" s="2" t="s">
        <v>1456</v>
      </c>
      <c r="D3713" s="2" t="s">
        <v>1457</v>
      </c>
      <c r="E3713" s="2" t="s">
        <v>1340</v>
      </c>
      <c r="F3713" s="3">
        <v>600</v>
      </c>
      <c r="G3713" s="4">
        <v>60</v>
      </c>
      <c r="H3713" s="5">
        <v>0</v>
      </c>
    </row>
    <row r="3714" spans="1:8" x14ac:dyDescent="0.35">
      <c r="A3714" s="2" t="s">
        <v>1423</v>
      </c>
      <c r="B3714" s="2" t="s">
        <v>291</v>
      </c>
      <c r="C3714" s="2" t="s">
        <v>1366</v>
      </c>
      <c r="D3714" s="2" t="s">
        <v>456</v>
      </c>
      <c r="E3714" s="2" t="s">
        <v>35</v>
      </c>
      <c r="F3714" s="3">
        <v>804.21</v>
      </c>
      <c r="G3714" s="4">
        <v>36</v>
      </c>
      <c r="H3714" s="5">
        <v>0</v>
      </c>
    </row>
    <row r="3715" spans="1:8" x14ac:dyDescent="0.35">
      <c r="A3715" s="2" t="s">
        <v>1423</v>
      </c>
      <c r="B3715" s="2" t="s">
        <v>291</v>
      </c>
      <c r="C3715" s="2" t="s">
        <v>521</v>
      </c>
      <c r="D3715" s="2" t="s">
        <v>522</v>
      </c>
      <c r="E3715" s="2" t="s">
        <v>59</v>
      </c>
      <c r="F3715" s="3">
        <v>22.9</v>
      </c>
      <c r="G3715" s="4">
        <v>36</v>
      </c>
      <c r="H3715" s="5">
        <v>0</v>
      </c>
    </row>
    <row r="3716" spans="1:8" ht="14.5" customHeight="1" x14ac:dyDescent="0.35">
      <c r="A3716" s="2" t="s">
        <v>1423</v>
      </c>
      <c r="B3716" s="2" t="s">
        <v>291</v>
      </c>
      <c r="C3716" s="2" t="s">
        <v>1458</v>
      </c>
      <c r="D3716" s="2" t="s">
        <v>1459</v>
      </c>
      <c r="E3716" s="2" t="s">
        <v>158</v>
      </c>
      <c r="F3716" s="3">
        <v>1365</v>
      </c>
      <c r="G3716" s="4">
        <v>60</v>
      </c>
      <c r="H3716" s="5">
        <v>7.4999999999999997E-3</v>
      </c>
    </row>
    <row r="3717" spans="1:8" x14ac:dyDescent="0.35">
      <c r="A3717" s="2" t="s">
        <v>1423</v>
      </c>
      <c r="B3717" s="2" t="s">
        <v>291</v>
      </c>
      <c r="C3717" s="2" t="s">
        <v>1460</v>
      </c>
      <c r="D3717" s="2" t="s">
        <v>1461</v>
      </c>
      <c r="E3717" s="6" t="s">
        <v>180</v>
      </c>
      <c r="F3717" s="3">
        <v>264.45999999999998</v>
      </c>
      <c r="G3717" s="4">
        <v>12</v>
      </c>
      <c r="H3717" s="5">
        <v>0</v>
      </c>
    </row>
    <row r="3718" spans="1:8" x14ac:dyDescent="0.35">
      <c r="A3718" s="2" t="s">
        <v>1423</v>
      </c>
      <c r="B3718" s="2" t="s">
        <v>291</v>
      </c>
      <c r="C3718" s="2" t="s">
        <v>1462</v>
      </c>
      <c r="D3718" s="2" t="s">
        <v>1463</v>
      </c>
      <c r="E3718" s="2" t="s">
        <v>950</v>
      </c>
      <c r="F3718" s="3">
        <v>60</v>
      </c>
      <c r="G3718" s="4">
        <v>60</v>
      </c>
      <c r="H3718" s="5">
        <v>0</v>
      </c>
    </row>
    <row r="3719" spans="1:8" ht="14.5" customHeight="1" x14ac:dyDescent="0.35">
      <c r="A3719" s="2" t="s">
        <v>1423</v>
      </c>
      <c r="B3719" s="2" t="s">
        <v>291</v>
      </c>
      <c r="C3719" s="2" t="s">
        <v>1464</v>
      </c>
      <c r="D3719" s="2" t="s">
        <v>1465</v>
      </c>
      <c r="E3719" s="2" t="s">
        <v>434</v>
      </c>
      <c r="F3719" s="3">
        <v>3470.56</v>
      </c>
      <c r="G3719" s="4">
        <v>60</v>
      </c>
      <c r="H3719" s="5">
        <v>7.4999999999999997E-3</v>
      </c>
    </row>
    <row r="3720" spans="1:8" x14ac:dyDescent="0.35">
      <c r="A3720" s="2" t="s">
        <v>1423</v>
      </c>
      <c r="B3720" s="2" t="s">
        <v>291</v>
      </c>
      <c r="C3720" s="2" t="s">
        <v>974</v>
      </c>
      <c r="D3720" s="2" t="s">
        <v>975</v>
      </c>
      <c r="E3720" s="2" t="s">
        <v>603</v>
      </c>
      <c r="F3720" s="3">
        <v>1544.45</v>
      </c>
      <c r="G3720" s="4">
        <v>60</v>
      </c>
      <c r="H3720" s="5">
        <v>7.4999999999999997E-3</v>
      </c>
    </row>
    <row r="3721" spans="1:8" x14ac:dyDescent="0.35">
      <c r="A3721" s="2" t="s">
        <v>1423</v>
      </c>
      <c r="B3721" s="2" t="s">
        <v>785</v>
      </c>
      <c r="C3721" s="2" t="s">
        <v>1425</v>
      </c>
      <c r="D3721" s="2" t="s">
        <v>1426</v>
      </c>
      <c r="E3721" s="2" t="s">
        <v>741</v>
      </c>
      <c r="F3721" s="3">
        <v>280</v>
      </c>
      <c r="G3721" s="4">
        <v>12</v>
      </c>
      <c r="H3721" s="5">
        <v>0</v>
      </c>
    </row>
    <row r="3722" spans="1:8" x14ac:dyDescent="0.35">
      <c r="A3722" s="2" t="s">
        <v>1423</v>
      </c>
      <c r="B3722" s="2" t="s">
        <v>785</v>
      </c>
      <c r="C3722" s="2" t="s">
        <v>523</v>
      </c>
      <c r="D3722" s="2" t="s">
        <v>524</v>
      </c>
      <c r="E3722" s="2" t="s">
        <v>525</v>
      </c>
      <c r="F3722" s="3">
        <v>250</v>
      </c>
      <c r="G3722" s="4">
        <v>36</v>
      </c>
      <c r="H3722" s="5">
        <v>0</v>
      </c>
    </row>
    <row r="3723" spans="1:8" x14ac:dyDescent="0.35">
      <c r="A3723" s="2" t="s">
        <v>1423</v>
      </c>
      <c r="B3723" s="2" t="s">
        <v>785</v>
      </c>
      <c r="C3723" s="2" t="s">
        <v>1427</v>
      </c>
      <c r="D3723" s="2" t="s">
        <v>1428</v>
      </c>
      <c r="E3723" s="2" t="s">
        <v>180</v>
      </c>
      <c r="F3723" s="3">
        <v>127</v>
      </c>
      <c r="G3723" s="4">
        <v>36</v>
      </c>
      <c r="H3723" s="5">
        <v>0</v>
      </c>
    </row>
    <row r="3724" spans="1:8" x14ac:dyDescent="0.35">
      <c r="A3724" s="2" t="s">
        <v>1423</v>
      </c>
      <c r="B3724" s="2" t="s">
        <v>785</v>
      </c>
      <c r="C3724" s="2" t="s">
        <v>538</v>
      </c>
      <c r="D3724" s="2" t="s">
        <v>539</v>
      </c>
      <c r="E3724" s="2" t="s">
        <v>303</v>
      </c>
      <c r="F3724" s="3">
        <v>23</v>
      </c>
      <c r="G3724" s="4">
        <v>60</v>
      </c>
      <c r="H3724" s="5">
        <v>0</v>
      </c>
    </row>
    <row r="3725" spans="1:8" ht="14.5" customHeight="1" x14ac:dyDescent="0.35">
      <c r="A3725" s="2" t="s">
        <v>1423</v>
      </c>
      <c r="B3725" s="2" t="s">
        <v>785</v>
      </c>
      <c r="C3725" s="2" t="s">
        <v>1429</v>
      </c>
      <c r="D3725" s="2" t="s">
        <v>1430</v>
      </c>
      <c r="E3725" s="2" t="s">
        <v>226</v>
      </c>
      <c r="F3725" s="3">
        <v>3150</v>
      </c>
      <c r="G3725" s="4">
        <v>60</v>
      </c>
      <c r="H3725" s="5">
        <v>7.4999999999999997E-3</v>
      </c>
    </row>
    <row r="3726" spans="1:8" x14ac:dyDescent="0.35">
      <c r="A3726" s="2" t="s">
        <v>1423</v>
      </c>
      <c r="B3726" s="2" t="s">
        <v>785</v>
      </c>
      <c r="C3726" s="2" t="s">
        <v>512</v>
      </c>
      <c r="D3726" s="2" t="s">
        <v>451</v>
      </c>
      <c r="E3726" s="2" t="s">
        <v>452</v>
      </c>
      <c r="F3726" s="3">
        <v>50</v>
      </c>
      <c r="G3726" s="4">
        <v>1</v>
      </c>
      <c r="H3726" s="5">
        <v>0</v>
      </c>
    </row>
    <row r="3727" spans="1:8" x14ac:dyDescent="0.35">
      <c r="A3727" s="2" t="s">
        <v>1423</v>
      </c>
      <c r="B3727" s="2" t="s">
        <v>785</v>
      </c>
      <c r="C3727" s="2" t="s">
        <v>1431</v>
      </c>
      <c r="D3727" s="2" t="s">
        <v>1432</v>
      </c>
      <c r="E3727" s="2" t="s">
        <v>46</v>
      </c>
      <c r="F3727" s="3">
        <v>4372.3900000000003</v>
      </c>
      <c r="G3727" s="4">
        <v>60</v>
      </c>
      <c r="H3727" s="5">
        <v>7.4999999999999997E-3</v>
      </c>
    </row>
    <row r="3728" spans="1:8" x14ac:dyDescent="0.35">
      <c r="A3728" s="2" t="s">
        <v>1423</v>
      </c>
      <c r="B3728" s="2" t="s">
        <v>785</v>
      </c>
      <c r="C3728" s="2" t="s">
        <v>1433</v>
      </c>
      <c r="D3728" s="2" t="s">
        <v>1434</v>
      </c>
      <c r="E3728" s="2" t="s">
        <v>248</v>
      </c>
      <c r="F3728" s="3">
        <v>300</v>
      </c>
      <c r="G3728" s="4">
        <v>60</v>
      </c>
      <c r="H3728" s="5">
        <v>0</v>
      </c>
    </row>
    <row r="3729" spans="1:8" x14ac:dyDescent="0.35">
      <c r="A3729" s="2" t="s">
        <v>1423</v>
      </c>
      <c r="B3729" s="2" t="s">
        <v>785</v>
      </c>
      <c r="C3729" s="2" t="s">
        <v>1362</v>
      </c>
      <c r="D3729" s="2" t="s">
        <v>1363</v>
      </c>
      <c r="E3729" s="2" t="s">
        <v>71</v>
      </c>
      <c r="F3729" s="3">
        <v>280</v>
      </c>
      <c r="G3729" s="4">
        <v>12</v>
      </c>
      <c r="H3729" s="5">
        <v>0</v>
      </c>
    </row>
    <row r="3730" spans="1:8" x14ac:dyDescent="0.35">
      <c r="A3730" s="2" t="s">
        <v>1423</v>
      </c>
      <c r="B3730" s="2" t="s">
        <v>785</v>
      </c>
      <c r="C3730" s="2" t="s">
        <v>1435</v>
      </c>
      <c r="D3730" s="2" t="s">
        <v>1436</v>
      </c>
      <c r="E3730" s="2" t="s">
        <v>415</v>
      </c>
      <c r="F3730" s="3">
        <v>5300</v>
      </c>
      <c r="G3730" s="4">
        <v>60</v>
      </c>
      <c r="H3730" s="5">
        <v>5.0000000000000001E-3</v>
      </c>
    </row>
    <row r="3731" spans="1:8" x14ac:dyDescent="0.35">
      <c r="A3731" s="2" t="s">
        <v>1423</v>
      </c>
      <c r="B3731" s="2" t="s">
        <v>785</v>
      </c>
      <c r="C3731" s="2" t="s">
        <v>548</v>
      </c>
      <c r="D3731" s="2" t="s">
        <v>465</v>
      </c>
      <c r="E3731" s="6" t="s">
        <v>180</v>
      </c>
      <c r="F3731" s="3">
        <v>127</v>
      </c>
      <c r="G3731" s="4">
        <v>36</v>
      </c>
      <c r="H3731" s="5">
        <v>0</v>
      </c>
    </row>
    <row r="3732" spans="1:8" x14ac:dyDescent="0.35">
      <c r="A3732" s="2" t="s">
        <v>1423</v>
      </c>
      <c r="B3732" s="2" t="s">
        <v>785</v>
      </c>
      <c r="C3732" s="2" t="s">
        <v>1437</v>
      </c>
      <c r="D3732" s="2" t="s">
        <v>1438</v>
      </c>
      <c r="E3732" s="2" t="s">
        <v>158</v>
      </c>
      <c r="F3732" s="3">
        <v>1365</v>
      </c>
      <c r="G3732" s="4">
        <v>60</v>
      </c>
      <c r="H3732" s="5">
        <v>7.4999999999999997E-3</v>
      </c>
    </row>
    <row r="3733" spans="1:8" ht="14.5" customHeight="1" x14ac:dyDescent="0.35">
      <c r="A3733" s="2" t="s">
        <v>1423</v>
      </c>
      <c r="B3733" s="2" t="s">
        <v>785</v>
      </c>
      <c r="C3733" s="2" t="s">
        <v>1439</v>
      </c>
      <c r="D3733" s="2" t="s">
        <v>1440</v>
      </c>
      <c r="E3733" s="2" t="s">
        <v>271</v>
      </c>
      <c r="F3733" s="3">
        <v>55000</v>
      </c>
      <c r="G3733" s="4">
        <v>60</v>
      </c>
      <c r="H3733" s="5">
        <v>7.4999999999999997E-3</v>
      </c>
    </row>
    <row r="3734" spans="1:8" x14ac:dyDescent="0.35">
      <c r="A3734" s="2" t="s">
        <v>1423</v>
      </c>
      <c r="B3734" s="2" t="s">
        <v>785</v>
      </c>
      <c r="C3734" s="2" t="s">
        <v>1441</v>
      </c>
      <c r="D3734" s="2" t="s">
        <v>1442</v>
      </c>
      <c r="E3734" s="2" t="s">
        <v>415</v>
      </c>
      <c r="F3734" s="3">
        <v>5300</v>
      </c>
      <c r="G3734" s="4">
        <v>60</v>
      </c>
      <c r="H3734" s="5">
        <v>5.0000000000000001E-3</v>
      </c>
    </row>
    <row r="3735" spans="1:8" x14ac:dyDescent="0.35">
      <c r="A3735" s="2" t="s">
        <v>1423</v>
      </c>
      <c r="B3735" s="2" t="s">
        <v>785</v>
      </c>
      <c r="C3735" s="2" t="s">
        <v>487</v>
      </c>
      <c r="D3735" s="2" t="s">
        <v>488</v>
      </c>
      <c r="E3735" s="2" t="s">
        <v>489</v>
      </c>
      <c r="F3735" s="3">
        <v>1500</v>
      </c>
      <c r="G3735" s="4">
        <v>60</v>
      </c>
      <c r="H3735" s="5">
        <v>7.4999999999999997E-3</v>
      </c>
    </row>
    <row r="3736" spans="1:8" x14ac:dyDescent="0.35">
      <c r="A3736" s="2" t="s">
        <v>1423</v>
      </c>
      <c r="B3736" s="2" t="s">
        <v>785</v>
      </c>
      <c r="C3736" s="2" t="s">
        <v>540</v>
      </c>
      <c r="D3736" s="2" t="s">
        <v>483</v>
      </c>
      <c r="E3736" s="2" t="s">
        <v>322</v>
      </c>
      <c r="F3736" s="3">
        <v>32</v>
      </c>
      <c r="G3736" s="4">
        <v>60</v>
      </c>
      <c r="H3736" s="5">
        <v>0</v>
      </c>
    </row>
    <row r="3737" spans="1:8" x14ac:dyDescent="0.35">
      <c r="A3737" s="2" t="s">
        <v>1423</v>
      </c>
      <c r="B3737" s="2" t="s">
        <v>785</v>
      </c>
      <c r="C3737" s="2" t="s">
        <v>1443</v>
      </c>
      <c r="D3737" s="2" t="s">
        <v>1444</v>
      </c>
      <c r="E3737" s="2" t="s">
        <v>1445</v>
      </c>
      <c r="F3737" s="3">
        <v>600</v>
      </c>
      <c r="G3737" s="4">
        <v>60</v>
      </c>
      <c r="H3737" s="5">
        <v>0</v>
      </c>
    </row>
    <row r="3738" spans="1:8" x14ac:dyDescent="0.35">
      <c r="A3738" s="2" t="s">
        <v>1423</v>
      </c>
      <c r="B3738" s="2" t="s">
        <v>785</v>
      </c>
      <c r="C3738" s="2" t="s">
        <v>1446</v>
      </c>
      <c r="D3738" s="2" t="s">
        <v>1447</v>
      </c>
      <c r="E3738" s="2" t="s">
        <v>82</v>
      </c>
      <c r="F3738" s="3">
        <v>600</v>
      </c>
      <c r="G3738" s="4">
        <v>60</v>
      </c>
      <c r="H3738" s="5">
        <v>0</v>
      </c>
    </row>
    <row r="3739" spans="1:8" ht="14.5" customHeight="1" x14ac:dyDescent="0.35">
      <c r="A3739" s="2" t="s">
        <v>1423</v>
      </c>
      <c r="B3739" s="2" t="s">
        <v>785</v>
      </c>
      <c r="C3739" s="2" t="s">
        <v>1448</v>
      </c>
      <c r="D3739" s="2" t="s">
        <v>1449</v>
      </c>
      <c r="E3739" s="2" t="s">
        <v>260</v>
      </c>
      <c r="F3739" s="3">
        <v>46000</v>
      </c>
      <c r="G3739" s="4">
        <v>60</v>
      </c>
      <c r="H3739" s="5">
        <v>7.4999999999999997E-3</v>
      </c>
    </row>
    <row r="3740" spans="1:8" x14ac:dyDescent="0.35">
      <c r="A3740" s="2" t="s">
        <v>1423</v>
      </c>
      <c r="B3740" s="2" t="s">
        <v>785</v>
      </c>
      <c r="C3740" s="2" t="s">
        <v>526</v>
      </c>
      <c r="D3740" s="2" t="s">
        <v>527</v>
      </c>
      <c r="E3740" s="2" t="s">
        <v>315</v>
      </c>
      <c r="F3740" s="3">
        <v>70</v>
      </c>
      <c r="G3740" s="4">
        <v>60</v>
      </c>
      <c r="H3740" s="5">
        <v>0</v>
      </c>
    </row>
    <row r="3741" spans="1:8" ht="14.5" customHeight="1" x14ac:dyDescent="0.35">
      <c r="A3741" s="2" t="s">
        <v>1423</v>
      </c>
      <c r="B3741" s="2" t="s">
        <v>785</v>
      </c>
      <c r="C3741" s="2" t="s">
        <v>1369</v>
      </c>
      <c r="D3741" s="2" t="s">
        <v>1370</v>
      </c>
      <c r="E3741" s="2" t="s">
        <v>191</v>
      </c>
      <c r="F3741" s="3">
        <v>1850</v>
      </c>
      <c r="G3741" s="4">
        <v>60</v>
      </c>
      <c r="H3741" s="5">
        <v>0</v>
      </c>
    </row>
    <row r="3742" spans="1:8" x14ac:dyDescent="0.35">
      <c r="A3742" s="2" t="s">
        <v>1423</v>
      </c>
      <c r="B3742" s="2" t="s">
        <v>785</v>
      </c>
      <c r="C3742" s="2" t="s">
        <v>538</v>
      </c>
      <c r="D3742" s="2" t="s">
        <v>539</v>
      </c>
      <c r="E3742" s="2" t="s">
        <v>303</v>
      </c>
      <c r="F3742" s="3">
        <v>23</v>
      </c>
      <c r="G3742" s="4">
        <v>60</v>
      </c>
      <c r="H3742" s="5">
        <v>0</v>
      </c>
    </row>
    <row r="3743" spans="1:8" x14ac:dyDescent="0.35">
      <c r="A3743" s="2" t="s">
        <v>1423</v>
      </c>
      <c r="B3743" s="2" t="s">
        <v>785</v>
      </c>
      <c r="C3743" s="2" t="s">
        <v>1450</v>
      </c>
      <c r="D3743" s="2" t="s">
        <v>1451</v>
      </c>
      <c r="E3743" s="2" t="s">
        <v>92</v>
      </c>
      <c r="F3743" s="3">
        <v>1066.05</v>
      </c>
      <c r="G3743" s="4">
        <v>36</v>
      </c>
      <c r="H3743" s="5">
        <v>0</v>
      </c>
    </row>
    <row r="3744" spans="1:8" ht="14.5" customHeight="1" x14ac:dyDescent="0.35">
      <c r="A3744" s="2" t="s">
        <v>1423</v>
      </c>
      <c r="B3744" s="2" t="s">
        <v>785</v>
      </c>
      <c r="C3744" s="2" t="s">
        <v>1452</v>
      </c>
      <c r="D3744" s="2" t="s">
        <v>1453</v>
      </c>
      <c r="E3744" s="2" t="s">
        <v>424</v>
      </c>
      <c r="F3744" s="3">
        <v>5300</v>
      </c>
      <c r="G3744" s="4">
        <v>60</v>
      </c>
      <c r="H3744" s="5">
        <v>0</v>
      </c>
    </row>
    <row r="3745" spans="1:8" x14ac:dyDescent="0.35">
      <c r="A3745" s="2" t="s">
        <v>1423</v>
      </c>
      <c r="B3745" s="2" t="s">
        <v>785</v>
      </c>
      <c r="C3745" s="2" t="s">
        <v>1454</v>
      </c>
      <c r="D3745" s="2" t="s">
        <v>1455</v>
      </c>
      <c r="E3745" s="2" t="s">
        <v>470</v>
      </c>
      <c r="F3745" s="3">
        <v>135</v>
      </c>
      <c r="G3745" s="4">
        <v>6</v>
      </c>
      <c r="H3745" s="5">
        <v>0</v>
      </c>
    </row>
    <row r="3746" spans="1:8" x14ac:dyDescent="0.35">
      <c r="A3746" s="2" t="s">
        <v>1423</v>
      </c>
      <c r="B3746" s="2" t="s">
        <v>785</v>
      </c>
      <c r="C3746" s="2" t="s">
        <v>1456</v>
      </c>
      <c r="D3746" s="2" t="s">
        <v>1457</v>
      </c>
      <c r="E3746" s="2" t="s">
        <v>1340</v>
      </c>
      <c r="F3746" s="3">
        <v>600</v>
      </c>
      <c r="G3746" s="4">
        <v>60</v>
      </c>
      <c r="H3746" s="5">
        <v>0</v>
      </c>
    </row>
    <row r="3747" spans="1:8" x14ac:dyDescent="0.35">
      <c r="A3747" s="2" t="s">
        <v>1423</v>
      </c>
      <c r="B3747" s="2" t="s">
        <v>785</v>
      </c>
      <c r="C3747" s="2" t="s">
        <v>1366</v>
      </c>
      <c r="D3747" s="2" t="s">
        <v>456</v>
      </c>
      <c r="E3747" s="2" t="s">
        <v>35</v>
      </c>
      <c r="F3747" s="3">
        <v>804.21</v>
      </c>
      <c r="G3747" s="4">
        <v>36</v>
      </c>
      <c r="H3747" s="5">
        <v>0</v>
      </c>
    </row>
    <row r="3748" spans="1:8" x14ac:dyDescent="0.35">
      <c r="A3748" s="2" t="s">
        <v>1423</v>
      </c>
      <c r="B3748" s="2" t="s">
        <v>785</v>
      </c>
      <c r="C3748" s="2" t="s">
        <v>521</v>
      </c>
      <c r="D3748" s="2" t="s">
        <v>522</v>
      </c>
      <c r="E3748" s="2" t="s">
        <v>59</v>
      </c>
      <c r="F3748" s="3">
        <v>22.9</v>
      </c>
      <c r="G3748" s="4">
        <v>36</v>
      </c>
      <c r="H3748" s="5">
        <v>0</v>
      </c>
    </row>
    <row r="3749" spans="1:8" ht="14.5" customHeight="1" x14ac:dyDescent="0.35">
      <c r="A3749" s="2" t="s">
        <v>1423</v>
      </c>
      <c r="B3749" s="2" t="s">
        <v>785</v>
      </c>
      <c r="C3749" s="2" t="s">
        <v>1458</v>
      </c>
      <c r="D3749" s="2" t="s">
        <v>1459</v>
      </c>
      <c r="E3749" s="2" t="s">
        <v>158</v>
      </c>
      <c r="F3749" s="3">
        <v>13500</v>
      </c>
      <c r="G3749" s="4">
        <v>60</v>
      </c>
      <c r="H3749" s="5">
        <v>7.4999999999999997E-3</v>
      </c>
    </row>
    <row r="3750" spans="1:8" x14ac:dyDescent="0.35">
      <c r="A3750" s="2" t="s">
        <v>1423</v>
      </c>
      <c r="B3750" s="2" t="s">
        <v>785</v>
      </c>
      <c r="C3750" s="2" t="s">
        <v>1460</v>
      </c>
      <c r="D3750" s="2" t="s">
        <v>1461</v>
      </c>
      <c r="E3750" s="6" t="s">
        <v>180</v>
      </c>
      <c r="F3750" s="3">
        <v>264.45999999999998</v>
      </c>
      <c r="G3750" s="4">
        <v>12</v>
      </c>
      <c r="H3750" s="5">
        <v>0</v>
      </c>
    </row>
    <row r="3751" spans="1:8" x14ac:dyDescent="0.35">
      <c r="A3751" s="2" t="s">
        <v>1423</v>
      </c>
      <c r="B3751" s="2" t="s">
        <v>785</v>
      </c>
      <c r="C3751" s="2" t="s">
        <v>1462</v>
      </c>
      <c r="D3751" s="2" t="s">
        <v>1463</v>
      </c>
      <c r="E3751" s="2" t="s">
        <v>950</v>
      </c>
      <c r="F3751" s="3">
        <v>60</v>
      </c>
      <c r="G3751" s="4">
        <v>60</v>
      </c>
      <c r="H3751" s="5">
        <v>0</v>
      </c>
    </row>
    <row r="3752" spans="1:8" ht="14.5" customHeight="1" x14ac:dyDescent="0.35">
      <c r="A3752" s="2" t="s">
        <v>1423</v>
      </c>
      <c r="B3752" s="2" t="s">
        <v>785</v>
      </c>
      <c r="C3752" s="2" t="s">
        <v>1464</v>
      </c>
      <c r="D3752" s="2" t="s">
        <v>1465</v>
      </c>
      <c r="E3752" s="2" t="s">
        <v>434</v>
      </c>
      <c r="F3752" s="3">
        <v>2430</v>
      </c>
      <c r="G3752" s="4">
        <v>60</v>
      </c>
      <c r="H3752" s="5">
        <v>7.4999999999999997E-3</v>
      </c>
    </row>
    <row r="3753" spans="1:8" x14ac:dyDescent="0.35">
      <c r="A3753" s="2" t="s">
        <v>1423</v>
      </c>
      <c r="B3753" s="2" t="s">
        <v>785</v>
      </c>
      <c r="C3753" s="2" t="s">
        <v>974</v>
      </c>
      <c r="D3753" s="2" t="s">
        <v>975</v>
      </c>
      <c r="E3753" s="2" t="s">
        <v>603</v>
      </c>
      <c r="F3753" s="3">
        <v>1544.45</v>
      </c>
      <c r="G3753" s="4">
        <v>60</v>
      </c>
      <c r="H3753" s="5">
        <v>7.4999999999999997E-3</v>
      </c>
    </row>
    <row r="3754" spans="1:8" x14ac:dyDescent="0.35">
      <c r="A3754" s="2" t="s">
        <v>1423</v>
      </c>
      <c r="B3754" s="2" t="s">
        <v>339</v>
      </c>
      <c r="C3754" s="2" t="s">
        <v>1425</v>
      </c>
      <c r="D3754" s="2" t="s">
        <v>1426</v>
      </c>
      <c r="E3754" s="2" t="s">
        <v>741</v>
      </c>
      <c r="F3754" s="3">
        <v>0</v>
      </c>
      <c r="G3754" s="4">
        <v>1</v>
      </c>
      <c r="H3754" s="5">
        <v>0.01</v>
      </c>
    </row>
    <row r="3755" spans="1:8" x14ac:dyDescent="0.35">
      <c r="A3755" s="2" t="s">
        <v>1423</v>
      </c>
      <c r="B3755" s="2" t="s">
        <v>339</v>
      </c>
      <c r="C3755" s="2" t="s">
        <v>523</v>
      </c>
      <c r="D3755" s="2" t="s">
        <v>524</v>
      </c>
      <c r="E3755" s="2" t="s">
        <v>525</v>
      </c>
      <c r="F3755" s="3">
        <v>220</v>
      </c>
      <c r="G3755" s="4">
        <v>60</v>
      </c>
      <c r="H3755" s="5">
        <v>1.67E-2</v>
      </c>
    </row>
    <row r="3756" spans="1:8" x14ac:dyDescent="0.35">
      <c r="A3756" s="2" t="s">
        <v>1423</v>
      </c>
      <c r="B3756" s="2" t="s">
        <v>339</v>
      </c>
      <c r="C3756" s="2" t="s">
        <v>1427</v>
      </c>
      <c r="D3756" s="2" t="s">
        <v>1428</v>
      </c>
      <c r="E3756" s="2" t="s">
        <v>180</v>
      </c>
      <c r="F3756" s="3">
        <v>247.9</v>
      </c>
      <c r="G3756" s="4">
        <v>36</v>
      </c>
      <c r="H3756" s="5">
        <v>0</v>
      </c>
    </row>
    <row r="3757" spans="1:8" x14ac:dyDescent="0.35">
      <c r="A3757" s="2" t="s">
        <v>1423</v>
      </c>
      <c r="B3757" s="2" t="s">
        <v>339</v>
      </c>
      <c r="C3757" s="2" t="s">
        <v>538</v>
      </c>
      <c r="D3757" s="2" t="s">
        <v>539</v>
      </c>
      <c r="E3757" s="2" t="s">
        <v>303</v>
      </c>
      <c r="F3757" s="3">
        <v>21</v>
      </c>
      <c r="G3757" s="4">
        <v>60</v>
      </c>
      <c r="H3757" s="5">
        <v>1.67E-2</v>
      </c>
    </row>
    <row r="3758" spans="1:8" ht="14.5" customHeight="1" x14ac:dyDescent="0.35">
      <c r="A3758" s="2" t="s">
        <v>1423</v>
      </c>
      <c r="B3758" s="2" t="s">
        <v>339</v>
      </c>
      <c r="C3758" s="2" t="s">
        <v>1429</v>
      </c>
      <c r="D3758" s="2" t="s">
        <v>1430</v>
      </c>
      <c r="E3758" s="2" t="s">
        <v>226</v>
      </c>
      <c r="F3758" s="3">
        <v>3610</v>
      </c>
      <c r="G3758" s="4">
        <v>60</v>
      </c>
      <c r="H3758" s="5">
        <v>1.67E-2</v>
      </c>
    </row>
    <row r="3759" spans="1:8" x14ac:dyDescent="0.35">
      <c r="A3759" s="2" t="s">
        <v>1423</v>
      </c>
      <c r="B3759" s="2" t="s">
        <v>339</v>
      </c>
      <c r="C3759" s="2" t="s">
        <v>512</v>
      </c>
      <c r="D3759" s="2" t="s">
        <v>451</v>
      </c>
      <c r="E3759" s="2" t="s">
        <v>452</v>
      </c>
      <c r="F3759" s="3">
        <v>48</v>
      </c>
      <c r="G3759" s="4">
        <v>1</v>
      </c>
      <c r="H3759" s="5">
        <v>0</v>
      </c>
    </row>
    <row r="3760" spans="1:8" x14ac:dyDescent="0.35">
      <c r="A3760" s="2" t="s">
        <v>1423</v>
      </c>
      <c r="B3760" s="2" t="s">
        <v>339</v>
      </c>
      <c r="C3760" s="2" t="s">
        <v>1431</v>
      </c>
      <c r="D3760" s="2" t="s">
        <v>1432</v>
      </c>
      <c r="E3760" s="2" t="s">
        <v>46</v>
      </c>
      <c r="F3760" s="3">
        <v>4322.59</v>
      </c>
      <c r="G3760" s="4">
        <v>60</v>
      </c>
      <c r="H3760" s="5">
        <v>1.67E-2</v>
      </c>
    </row>
    <row r="3761" spans="1:8" x14ac:dyDescent="0.35">
      <c r="A3761" s="2" t="s">
        <v>1423</v>
      </c>
      <c r="B3761" s="2" t="s">
        <v>339</v>
      </c>
      <c r="C3761" s="2" t="s">
        <v>1433</v>
      </c>
      <c r="D3761" s="2" t="s">
        <v>1434</v>
      </c>
      <c r="E3761" s="2" t="s">
        <v>248</v>
      </c>
      <c r="F3761" s="3">
        <v>68.5</v>
      </c>
      <c r="G3761" s="4">
        <v>60</v>
      </c>
      <c r="H3761" s="5">
        <v>1.67E-2</v>
      </c>
    </row>
    <row r="3762" spans="1:8" x14ac:dyDescent="0.35">
      <c r="A3762" s="2" t="s">
        <v>1423</v>
      </c>
      <c r="B3762" s="2" t="s">
        <v>339</v>
      </c>
      <c r="C3762" s="2" t="s">
        <v>1362</v>
      </c>
      <c r="D3762" s="2" t="s">
        <v>1363</v>
      </c>
      <c r="E3762" s="2" t="s">
        <v>71</v>
      </c>
      <c r="F3762" s="3">
        <v>0.01</v>
      </c>
      <c r="G3762" s="4">
        <v>1</v>
      </c>
      <c r="H3762" s="5">
        <v>0</v>
      </c>
    </row>
    <row r="3763" spans="1:8" x14ac:dyDescent="0.35">
      <c r="A3763" s="2" t="s">
        <v>1423</v>
      </c>
      <c r="B3763" s="2" t="s">
        <v>339</v>
      </c>
      <c r="C3763" s="2" t="s">
        <v>1435</v>
      </c>
      <c r="D3763" s="2" t="s">
        <v>1436</v>
      </c>
      <c r="E3763" s="2" t="s">
        <v>415</v>
      </c>
      <c r="F3763" s="3">
        <v>7800</v>
      </c>
      <c r="G3763" s="4">
        <v>60</v>
      </c>
      <c r="H3763" s="5">
        <v>1.67E-2</v>
      </c>
    </row>
    <row r="3764" spans="1:8" x14ac:dyDescent="0.35">
      <c r="A3764" s="2" t="s">
        <v>1423</v>
      </c>
      <c r="B3764" s="2" t="s">
        <v>339</v>
      </c>
      <c r="C3764" s="2" t="s">
        <v>548</v>
      </c>
      <c r="D3764" s="2" t="s">
        <v>465</v>
      </c>
      <c r="E3764" s="6" t="s">
        <v>180</v>
      </c>
      <c r="F3764" s="3">
        <v>212.5</v>
      </c>
      <c r="G3764" s="4">
        <v>60</v>
      </c>
      <c r="H3764" s="5">
        <v>1.67E-2</v>
      </c>
    </row>
    <row r="3765" spans="1:8" x14ac:dyDescent="0.35">
      <c r="A3765" s="2" t="s">
        <v>1423</v>
      </c>
      <c r="B3765" s="2" t="s">
        <v>339</v>
      </c>
      <c r="C3765" s="2" t="s">
        <v>1437</v>
      </c>
      <c r="D3765" s="2" t="s">
        <v>1438</v>
      </c>
      <c r="E3765" s="2" t="s">
        <v>158</v>
      </c>
      <c r="F3765" s="3">
        <v>2456.7199999999998</v>
      </c>
      <c r="G3765" s="4">
        <v>60</v>
      </c>
      <c r="H3765" s="5">
        <v>1.67E-2</v>
      </c>
    </row>
    <row r="3766" spans="1:8" ht="14.5" customHeight="1" x14ac:dyDescent="0.35">
      <c r="A3766" s="2" t="s">
        <v>1423</v>
      </c>
      <c r="B3766" s="2" t="s">
        <v>339</v>
      </c>
      <c r="C3766" s="2" t="s">
        <v>1439</v>
      </c>
      <c r="D3766" s="2" t="s">
        <v>1440</v>
      </c>
      <c r="E3766" s="2" t="s">
        <v>271</v>
      </c>
      <c r="F3766" s="3">
        <v>3094</v>
      </c>
      <c r="G3766" s="4">
        <v>1</v>
      </c>
      <c r="H3766" s="5">
        <v>0</v>
      </c>
    </row>
    <row r="3767" spans="1:8" x14ac:dyDescent="0.35">
      <c r="A3767" s="2" t="s">
        <v>1423</v>
      </c>
      <c r="B3767" s="2" t="s">
        <v>339</v>
      </c>
      <c r="C3767" s="2" t="s">
        <v>1441</v>
      </c>
      <c r="D3767" s="2" t="s">
        <v>1442</v>
      </c>
      <c r="E3767" s="2" t="s">
        <v>415</v>
      </c>
      <c r="F3767" s="3">
        <v>7800</v>
      </c>
      <c r="G3767" s="4">
        <v>60</v>
      </c>
      <c r="H3767" s="5">
        <v>1.67E-2</v>
      </c>
    </row>
    <row r="3768" spans="1:8" x14ac:dyDescent="0.35">
      <c r="A3768" s="2" t="s">
        <v>1423</v>
      </c>
      <c r="B3768" s="2" t="s">
        <v>339</v>
      </c>
      <c r="C3768" s="2" t="s">
        <v>487</v>
      </c>
      <c r="D3768" s="2" t="s">
        <v>488</v>
      </c>
      <c r="E3768" s="2" t="s">
        <v>489</v>
      </c>
      <c r="F3768" s="3">
        <v>1500</v>
      </c>
      <c r="G3768" s="4">
        <v>60</v>
      </c>
      <c r="H3768" s="5">
        <v>1.67E-2</v>
      </c>
    </row>
    <row r="3769" spans="1:8" x14ac:dyDescent="0.35">
      <c r="A3769" s="2" t="s">
        <v>1423</v>
      </c>
      <c r="B3769" s="2" t="s">
        <v>339</v>
      </c>
      <c r="C3769" s="2" t="s">
        <v>540</v>
      </c>
      <c r="D3769" s="2" t="s">
        <v>483</v>
      </c>
      <c r="E3769" s="2" t="s">
        <v>322</v>
      </c>
      <c r="F3769" s="3">
        <v>20.45</v>
      </c>
      <c r="G3769" s="4">
        <v>60</v>
      </c>
      <c r="H3769" s="5">
        <v>1.67E-2</v>
      </c>
    </row>
    <row r="3770" spans="1:8" x14ac:dyDescent="0.35">
      <c r="A3770" s="2" t="s">
        <v>1423</v>
      </c>
      <c r="B3770" s="2" t="s">
        <v>339</v>
      </c>
      <c r="C3770" s="2" t="s">
        <v>1443</v>
      </c>
      <c r="D3770" s="2" t="s">
        <v>1444</v>
      </c>
      <c r="E3770" s="2" t="s">
        <v>1445</v>
      </c>
      <c r="F3770" s="3">
        <v>1172</v>
      </c>
      <c r="G3770" s="4">
        <v>60</v>
      </c>
      <c r="H3770" s="5">
        <v>1.67E-2</v>
      </c>
    </row>
    <row r="3771" spans="1:8" x14ac:dyDescent="0.35">
      <c r="A3771" s="2" t="s">
        <v>1423</v>
      </c>
      <c r="B3771" s="2" t="s">
        <v>339</v>
      </c>
      <c r="C3771" s="2" t="s">
        <v>1446</v>
      </c>
      <c r="D3771" s="2" t="s">
        <v>1447</v>
      </c>
      <c r="E3771" s="2" t="s">
        <v>82</v>
      </c>
      <c r="F3771" s="3">
        <v>1710</v>
      </c>
      <c r="G3771" s="4">
        <v>60</v>
      </c>
      <c r="H3771" s="5">
        <v>1.67E-2</v>
      </c>
    </row>
    <row r="3772" spans="1:8" ht="14.5" customHeight="1" x14ac:dyDescent="0.35">
      <c r="A3772" s="2" t="s">
        <v>1423</v>
      </c>
      <c r="B3772" s="2" t="s">
        <v>339</v>
      </c>
      <c r="C3772" s="2" t="s">
        <v>1448</v>
      </c>
      <c r="D3772" s="2" t="s">
        <v>1449</v>
      </c>
      <c r="E3772" s="2" t="s">
        <v>260</v>
      </c>
      <c r="F3772" s="3">
        <v>720</v>
      </c>
      <c r="G3772" s="4">
        <v>1</v>
      </c>
      <c r="H3772" s="5">
        <v>0</v>
      </c>
    </row>
    <row r="3773" spans="1:8" x14ac:dyDescent="0.35">
      <c r="A3773" s="2" t="s">
        <v>1423</v>
      </c>
      <c r="B3773" s="2" t="s">
        <v>339</v>
      </c>
      <c r="C3773" s="2" t="s">
        <v>526</v>
      </c>
      <c r="D3773" s="2" t="s">
        <v>527</v>
      </c>
      <c r="E3773" s="2" t="s">
        <v>315</v>
      </c>
      <c r="F3773" s="3">
        <v>54.2</v>
      </c>
      <c r="G3773" s="4">
        <v>60</v>
      </c>
      <c r="H3773" s="5">
        <v>1.67E-2</v>
      </c>
    </row>
    <row r="3774" spans="1:8" ht="14.5" customHeight="1" x14ac:dyDescent="0.35">
      <c r="A3774" s="2" t="s">
        <v>1423</v>
      </c>
      <c r="B3774" s="2" t="s">
        <v>339</v>
      </c>
      <c r="C3774" s="2" t="s">
        <v>1369</v>
      </c>
      <c r="D3774" s="2" t="s">
        <v>1370</v>
      </c>
      <c r="E3774" s="2" t="s">
        <v>191</v>
      </c>
      <c r="F3774" s="3">
        <v>396.13</v>
      </c>
      <c r="G3774" s="4">
        <v>1</v>
      </c>
      <c r="H3774" s="5">
        <v>0</v>
      </c>
    </row>
    <row r="3775" spans="1:8" x14ac:dyDescent="0.35">
      <c r="A3775" s="2" t="s">
        <v>1423</v>
      </c>
      <c r="B3775" s="2" t="s">
        <v>339</v>
      </c>
      <c r="C3775" s="2" t="s">
        <v>538</v>
      </c>
      <c r="D3775" s="2" t="s">
        <v>539</v>
      </c>
      <c r="E3775" s="2" t="s">
        <v>303</v>
      </c>
      <c r="F3775" s="3">
        <v>0.01</v>
      </c>
      <c r="G3775" s="4">
        <v>1</v>
      </c>
      <c r="H3775" s="5">
        <v>0</v>
      </c>
    </row>
    <row r="3776" spans="1:8" x14ac:dyDescent="0.35">
      <c r="A3776" s="2" t="s">
        <v>1423</v>
      </c>
      <c r="B3776" s="2" t="s">
        <v>339</v>
      </c>
      <c r="C3776" s="2" t="s">
        <v>1450</v>
      </c>
      <c r="D3776" s="2" t="s">
        <v>1451</v>
      </c>
      <c r="E3776" s="2" t="s">
        <v>92</v>
      </c>
      <c r="F3776" s="3">
        <v>4011.45</v>
      </c>
      <c r="G3776" s="4">
        <v>60</v>
      </c>
      <c r="H3776" s="5">
        <v>1.67E-2</v>
      </c>
    </row>
    <row r="3777" spans="1:8" ht="14.5" customHeight="1" x14ac:dyDescent="0.35">
      <c r="A3777" s="2" t="s">
        <v>1423</v>
      </c>
      <c r="B3777" s="2" t="s">
        <v>339</v>
      </c>
      <c r="C3777" s="2" t="s">
        <v>1452</v>
      </c>
      <c r="D3777" s="2" t="s">
        <v>1453</v>
      </c>
      <c r="E3777" s="2" t="s">
        <v>424</v>
      </c>
      <c r="F3777" s="3">
        <v>2089.4499999999998</v>
      </c>
      <c r="G3777" s="4">
        <v>60</v>
      </c>
      <c r="H3777" s="5">
        <v>1.67E-2</v>
      </c>
    </row>
    <row r="3778" spans="1:8" x14ac:dyDescent="0.35">
      <c r="A3778" s="2" t="s">
        <v>1423</v>
      </c>
      <c r="B3778" s="2" t="s">
        <v>339</v>
      </c>
      <c r="C3778" s="2" t="s">
        <v>1454</v>
      </c>
      <c r="D3778" s="2" t="s">
        <v>1455</v>
      </c>
      <c r="E3778" s="2" t="s">
        <v>470</v>
      </c>
      <c r="F3778" s="3">
        <v>148.34</v>
      </c>
      <c r="G3778" s="4">
        <v>60</v>
      </c>
      <c r="H3778" s="5">
        <v>1.67E-2</v>
      </c>
    </row>
    <row r="3779" spans="1:8" x14ac:dyDescent="0.35">
      <c r="A3779" s="2" t="s">
        <v>1423</v>
      </c>
      <c r="B3779" s="2" t="s">
        <v>339</v>
      </c>
      <c r="C3779" s="2" t="s">
        <v>1456</v>
      </c>
      <c r="D3779" s="2" t="s">
        <v>1457</v>
      </c>
      <c r="E3779" s="2" t="s">
        <v>1340</v>
      </c>
      <c r="F3779" s="3">
        <v>1980</v>
      </c>
      <c r="G3779" s="4">
        <v>60</v>
      </c>
      <c r="H3779" s="5">
        <v>1.67E-2</v>
      </c>
    </row>
    <row r="3780" spans="1:8" x14ac:dyDescent="0.35">
      <c r="A3780" s="2" t="s">
        <v>1423</v>
      </c>
      <c r="B3780" s="2" t="s">
        <v>339</v>
      </c>
      <c r="C3780" s="2" t="s">
        <v>1366</v>
      </c>
      <c r="D3780" s="2" t="s">
        <v>456</v>
      </c>
      <c r="E3780" s="2" t="s">
        <v>35</v>
      </c>
      <c r="F3780" s="3">
        <v>250</v>
      </c>
      <c r="G3780" s="4">
        <v>60</v>
      </c>
      <c r="H3780" s="5">
        <v>1.67E-2</v>
      </c>
    </row>
    <row r="3781" spans="1:8" x14ac:dyDescent="0.35">
      <c r="A3781" s="2" t="s">
        <v>1423</v>
      </c>
      <c r="B3781" s="2" t="s">
        <v>339</v>
      </c>
      <c r="C3781" s="2" t="s">
        <v>521</v>
      </c>
      <c r="D3781" s="2" t="s">
        <v>522</v>
      </c>
      <c r="E3781" s="2" t="s">
        <v>59</v>
      </c>
      <c r="F3781" s="3">
        <v>99.8</v>
      </c>
      <c r="G3781" s="4">
        <v>60</v>
      </c>
      <c r="H3781" s="5">
        <v>1.67E-2</v>
      </c>
    </row>
    <row r="3782" spans="1:8" x14ac:dyDescent="0.35">
      <c r="A3782" s="2" t="s">
        <v>1423</v>
      </c>
      <c r="B3782" s="2" t="s">
        <v>339</v>
      </c>
      <c r="C3782" s="2" t="s">
        <v>1458</v>
      </c>
      <c r="D3782" s="2" t="s">
        <v>1459</v>
      </c>
      <c r="E3782" s="2" t="s">
        <v>158</v>
      </c>
      <c r="F3782" s="3">
        <v>1365</v>
      </c>
      <c r="G3782" s="4">
        <v>60</v>
      </c>
      <c r="H3782" s="5">
        <v>1.67E-2</v>
      </c>
    </row>
    <row r="3783" spans="1:8" x14ac:dyDescent="0.35">
      <c r="A3783" s="2" t="s">
        <v>1423</v>
      </c>
      <c r="B3783" s="2" t="s">
        <v>339</v>
      </c>
      <c r="C3783" s="2" t="s">
        <v>1460</v>
      </c>
      <c r="D3783" s="2" t="s">
        <v>1461</v>
      </c>
      <c r="E3783" s="6" t="s">
        <v>180</v>
      </c>
      <c r="F3783" s="3">
        <v>0.01</v>
      </c>
      <c r="G3783" s="4">
        <v>1</v>
      </c>
      <c r="H3783" s="5">
        <v>0</v>
      </c>
    </row>
    <row r="3784" spans="1:8" x14ac:dyDescent="0.35">
      <c r="A3784" s="2" t="s">
        <v>1423</v>
      </c>
      <c r="B3784" s="2" t="s">
        <v>339</v>
      </c>
      <c r="C3784" s="2" t="s">
        <v>1462</v>
      </c>
      <c r="D3784" s="2" t="s">
        <v>1463</v>
      </c>
      <c r="E3784" s="2" t="s">
        <v>950</v>
      </c>
      <c r="F3784" s="3">
        <v>46</v>
      </c>
      <c r="G3784" s="4">
        <v>60</v>
      </c>
      <c r="H3784" s="5">
        <v>1.67E-2</v>
      </c>
    </row>
    <row r="3785" spans="1:8" x14ac:dyDescent="0.35">
      <c r="A3785" s="2" t="s">
        <v>1423</v>
      </c>
      <c r="B3785" s="2" t="s">
        <v>339</v>
      </c>
      <c r="C3785" s="2" t="s">
        <v>1464</v>
      </c>
      <c r="D3785" s="2" t="s">
        <v>1465</v>
      </c>
      <c r="E3785" s="2" t="s">
        <v>434</v>
      </c>
      <c r="F3785" s="3">
        <v>4006.1</v>
      </c>
      <c r="G3785" s="4">
        <v>60</v>
      </c>
      <c r="H3785" s="5">
        <v>1.67E-2</v>
      </c>
    </row>
    <row r="3786" spans="1:8" x14ac:dyDescent="0.35">
      <c r="A3786" s="2" t="s">
        <v>1423</v>
      </c>
      <c r="B3786" s="2" t="s">
        <v>339</v>
      </c>
      <c r="C3786" s="2" t="s">
        <v>974</v>
      </c>
      <c r="D3786" s="2" t="s">
        <v>975</v>
      </c>
      <c r="E3786" s="2" t="s">
        <v>603</v>
      </c>
      <c r="F3786" s="3">
        <v>2500</v>
      </c>
      <c r="G3786" s="4">
        <v>60</v>
      </c>
      <c r="H3786" s="5">
        <v>1.67E-2</v>
      </c>
    </row>
    <row r="3787" spans="1:8" x14ac:dyDescent="0.35">
      <c r="A3787" s="2" t="s">
        <v>1423</v>
      </c>
      <c r="B3787" s="2" t="s">
        <v>510</v>
      </c>
      <c r="C3787" s="2" t="s">
        <v>1425</v>
      </c>
      <c r="D3787" s="2" t="s">
        <v>1426</v>
      </c>
      <c r="E3787" s="2" t="s">
        <v>741</v>
      </c>
      <c r="F3787" s="3">
        <v>150</v>
      </c>
      <c r="G3787" s="4">
        <v>12</v>
      </c>
      <c r="H3787" s="5">
        <v>0</v>
      </c>
    </row>
    <row r="3788" spans="1:8" x14ac:dyDescent="0.35">
      <c r="A3788" s="2" t="s">
        <v>1423</v>
      </c>
      <c r="B3788" s="2" t="s">
        <v>510</v>
      </c>
      <c r="C3788" s="2" t="s">
        <v>523</v>
      </c>
      <c r="D3788" s="2" t="s">
        <v>524</v>
      </c>
      <c r="E3788" s="2" t="s">
        <v>525</v>
      </c>
      <c r="F3788" s="3">
        <v>280</v>
      </c>
      <c r="G3788" s="4">
        <v>36</v>
      </c>
      <c r="H3788" s="5">
        <v>0</v>
      </c>
    </row>
    <row r="3789" spans="1:8" x14ac:dyDescent="0.35">
      <c r="A3789" s="2" t="s">
        <v>1423</v>
      </c>
      <c r="B3789" s="2" t="s">
        <v>510</v>
      </c>
      <c r="C3789" s="2" t="s">
        <v>1427</v>
      </c>
      <c r="D3789" s="2" t="s">
        <v>1428</v>
      </c>
      <c r="E3789" s="2" t="s">
        <v>180</v>
      </c>
      <c r="F3789" s="3">
        <v>120</v>
      </c>
      <c r="G3789" s="4">
        <v>36</v>
      </c>
      <c r="H3789" s="5">
        <v>0</v>
      </c>
    </row>
    <row r="3790" spans="1:8" x14ac:dyDescent="0.35">
      <c r="A3790" s="2" t="s">
        <v>1423</v>
      </c>
      <c r="B3790" s="2" t="s">
        <v>510</v>
      </c>
      <c r="C3790" s="2" t="s">
        <v>538</v>
      </c>
      <c r="D3790" s="2" t="s">
        <v>539</v>
      </c>
      <c r="E3790" s="2" t="s">
        <v>303</v>
      </c>
      <c r="F3790" s="3">
        <v>23</v>
      </c>
      <c r="G3790" s="4">
        <v>36</v>
      </c>
      <c r="H3790" s="5">
        <v>0</v>
      </c>
    </row>
    <row r="3791" spans="1:8" ht="14.5" customHeight="1" x14ac:dyDescent="0.35">
      <c r="A3791" s="2" t="s">
        <v>1423</v>
      </c>
      <c r="B3791" s="2" t="s">
        <v>510</v>
      </c>
      <c r="C3791" s="2" t="s">
        <v>1429</v>
      </c>
      <c r="D3791" s="2" t="s">
        <v>1430</v>
      </c>
      <c r="E3791" s="2" t="s">
        <v>226</v>
      </c>
      <c r="F3791" s="3">
        <v>3000</v>
      </c>
      <c r="G3791" s="4">
        <v>48</v>
      </c>
      <c r="H3791" s="5">
        <v>7.4999999999999997E-3</v>
      </c>
    </row>
    <row r="3792" spans="1:8" x14ac:dyDescent="0.35">
      <c r="A3792" s="2" t="s">
        <v>1423</v>
      </c>
      <c r="B3792" s="2" t="s">
        <v>510</v>
      </c>
      <c r="C3792" s="2" t="s">
        <v>512</v>
      </c>
      <c r="D3792" s="2" t="s">
        <v>451</v>
      </c>
      <c r="E3792" s="2" t="s">
        <v>452</v>
      </c>
      <c r="F3792" s="3">
        <v>50</v>
      </c>
      <c r="G3792" s="4">
        <v>1</v>
      </c>
      <c r="H3792" s="5">
        <v>0</v>
      </c>
    </row>
    <row r="3793" spans="1:8" x14ac:dyDescent="0.35">
      <c r="A3793" s="2" t="s">
        <v>1423</v>
      </c>
      <c r="B3793" s="2" t="s">
        <v>510</v>
      </c>
      <c r="C3793" s="2" t="s">
        <v>1431</v>
      </c>
      <c r="D3793" s="2" t="s">
        <v>1432</v>
      </c>
      <c r="E3793" s="2" t="s">
        <v>46</v>
      </c>
      <c r="F3793" s="3">
        <v>4000</v>
      </c>
      <c r="G3793" s="4">
        <v>48</v>
      </c>
      <c r="H3793" s="5">
        <v>7.4999999999999997E-3</v>
      </c>
    </row>
    <row r="3794" spans="1:8" x14ac:dyDescent="0.35">
      <c r="A3794" s="2" t="s">
        <v>1423</v>
      </c>
      <c r="B3794" s="2" t="s">
        <v>510</v>
      </c>
      <c r="C3794" s="2" t="s">
        <v>1433</v>
      </c>
      <c r="D3794" s="2" t="s">
        <v>1434</v>
      </c>
      <c r="E3794" s="2" t="s">
        <v>248</v>
      </c>
      <c r="F3794" s="3">
        <v>250</v>
      </c>
      <c r="G3794" s="4">
        <v>36</v>
      </c>
      <c r="H3794" s="5">
        <v>0</v>
      </c>
    </row>
    <row r="3795" spans="1:8" x14ac:dyDescent="0.35">
      <c r="A3795" s="2" t="s">
        <v>1423</v>
      </c>
      <c r="B3795" s="2" t="s">
        <v>510</v>
      </c>
      <c r="C3795" s="2" t="s">
        <v>1362</v>
      </c>
      <c r="D3795" s="2" t="s">
        <v>1363</v>
      </c>
      <c r="E3795" s="2" t="s">
        <v>71</v>
      </c>
      <c r="F3795" s="3">
        <v>250</v>
      </c>
      <c r="G3795" s="4">
        <v>24</v>
      </c>
      <c r="H3795" s="5">
        <v>0</v>
      </c>
    </row>
    <row r="3796" spans="1:8" x14ac:dyDescent="0.35">
      <c r="A3796" s="2" t="s">
        <v>1423</v>
      </c>
      <c r="B3796" s="2" t="s">
        <v>510</v>
      </c>
      <c r="C3796" s="2" t="s">
        <v>1435</v>
      </c>
      <c r="D3796" s="2" t="s">
        <v>1436</v>
      </c>
      <c r="E3796" s="2" t="s">
        <v>415</v>
      </c>
      <c r="F3796" s="3">
        <v>32000</v>
      </c>
      <c r="G3796" s="4">
        <v>48</v>
      </c>
      <c r="H3796" s="5">
        <v>5.0000000000000001E-3</v>
      </c>
    </row>
    <row r="3797" spans="1:8" x14ac:dyDescent="0.35">
      <c r="A3797" s="2" t="s">
        <v>1423</v>
      </c>
      <c r="B3797" s="2" t="s">
        <v>510</v>
      </c>
      <c r="C3797" s="2" t="s">
        <v>548</v>
      </c>
      <c r="D3797" s="2" t="s">
        <v>465</v>
      </c>
      <c r="E3797" s="6" t="s">
        <v>180</v>
      </c>
      <c r="F3797" s="3">
        <v>120</v>
      </c>
      <c r="G3797" s="4">
        <v>24</v>
      </c>
      <c r="H3797" s="5">
        <v>0</v>
      </c>
    </row>
    <row r="3798" spans="1:8" x14ac:dyDescent="0.35">
      <c r="A3798" s="2" t="s">
        <v>1423</v>
      </c>
      <c r="B3798" s="2" t="s">
        <v>510</v>
      </c>
      <c r="C3798" s="2" t="s">
        <v>1437</v>
      </c>
      <c r="D3798" s="2" t="s">
        <v>1438</v>
      </c>
      <c r="E3798" s="2" t="s">
        <v>158</v>
      </c>
      <c r="F3798" s="3">
        <v>2135</v>
      </c>
      <c r="G3798" s="4">
        <v>48</v>
      </c>
      <c r="H3798" s="5">
        <v>7.4999999999999997E-3</v>
      </c>
    </row>
    <row r="3799" spans="1:8" ht="14.5" customHeight="1" x14ac:dyDescent="0.35">
      <c r="A3799" s="2" t="s">
        <v>1423</v>
      </c>
      <c r="B3799" s="2" t="s">
        <v>510</v>
      </c>
      <c r="C3799" s="2" t="s">
        <v>1439</v>
      </c>
      <c r="D3799" s="2" t="s">
        <v>1440</v>
      </c>
      <c r="E3799" s="2" t="s">
        <v>271</v>
      </c>
      <c r="F3799" s="3">
        <v>135000</v>
      </c>
      <c r="G3799" s="4">
        <v>48</v>
      </c>
      <c r="H3799" s="5">
        <v>5.0000000000000001E-3</v>
      </c>
    </row>
    <row r="3800" spans="1:8" x14ac:dyDescent="0.35">
      <c r="A3800" s="2" t="s">
        <v>1423</v>
      </c>
      <c r="B3800" s="2" t="s">
        <v>510</v>
      </c>
      <c r="C3800" s="2" t="s">
        <v>1441</v>
      </c>
      <c r="D3800" s="2" t="s">
        <v>1442</v>
      </c>
      <c r="E3800" s="2" t="s">
        <v>415</v>
      </c>
      <c r="F3800" s="3">
        <v>32000</v>
      </c>
      <c r="G3800" s="4">
        <v>48</v>
      </c>
      <c r="H3800" s="5">
        <v>5.0000000000000001E-3</v>
      </c>
    </row>
    <row r="3801" spans="1:8" x14ac:dyDescent="0.35">
      <c r="A3801" s="2" t="s">
        <v>1423</v>
      </c>
      <c r="B3801" s="2" t="s">
        <v>510</v>
      </c>
      <c r="C3801" s="2" t="s">
        <v>487</v>
      </c>
      <c r="D3801" s="2" t="s">
        <v>488</v>
      </c>
      <c r="E3801" s="2" t="s">
        <v>489</v>
      </c>
      <c r="F3801" s="3">
        <v>3500</v>
      </c>
      <c r="G3801" s="4">
        <v>36</v>
      </c>
      <c r="H3801" s="5">
        <v>7.4999999999999997E-3</v>
      </c>
    </row>
    <row r="3802" spans="1:8" x14ac:dyDescent="0.35">
      <c r="A3802" s="2" t="s">
        <v>1423</v>
      </c>
      <c r="B3802" s="2" t="s">
        <v>510</v>
      </c>
      <c r="C3802" s="2" t="s">
        <v>540</v>
      </c>
      <c r="D3802" s="2" t="s">
        <v>483</v>
      </c>
      <c r="E3802" s="2" t="s">
        <v>322</v>
      </c>
      <c r="F3802" s="3">
        <v>45</v>
      </c>
      <c r="G3802" s="4">
        <v>36</v>
      </c>
      <c r="H3802" s="5">
        <v>0</v>
      </c>
    </row>
    <row r="3803" spans="1:8" x14ac:dyDescent="0.35">
      <c r="A3803" s="2" t="s">
        <v>1423</v>
      </c>
      <c r="B3803" s="2" t="s">
        <v>510</v>
      </c>
      <c r="C3803" s="2" t="s">
        <v>1443</v>
      </c>
      <c r="D3803" s="2" t="s">
        <v>1444</v>
      </c>
      <c r="E3803" s="2" t="s">
        <v>1445</v>
      </c>
      <c r="F3803" s="3">
        <v>600</v>
      </c>
      <c r="G3803" s="4">
        <v>60</v>
      </c>
      <c r="H3803" s="5">
        <v>0</v>
      </c>
    </row>
    <row r="3804" spans="1:8" x14ac:dyDescent="0.35">
      <c r="A3804" s="2" t="s">
        <v>1423</v>
      </c>
      <c r="B3804" s="2" t="s">
        <v>510</v>
      </c>
      <c r="C3804" s="2" t="s">
        <v>1446</v>
      </c>
      <c r="D3804" s="2" t="s">
        <v>1447</v>
      </c>
      <c r="E3804" s="2" t="s">
        <v>82</v>
      </c>
      <c r="F3804" s="3">
        <v>600</v>
      </c>
      <c r="G3804" s="4">
        <v>60</v>
      </c>
      <c r="H3804" s="5">
        <v>0</v>
      </c>
    </row>
    <row r="3805" spans="1:8" ht="14.5" customHeight="1" x14ac:dyDescent="0.35">
      <c r="A3805" s="2" t="s">
        <v>1423</v>
      </c>
      <c r="B3805" s="2" t="s">
        <v>510</v>
      </c>
      <c r="C3805" s="2" t="s">
        <v>1448</v>
      </c>
      <c r="D3805" s="2" t="s">
        <v>1449</v>
      </c>
      <c r="E3805" s="2" t="s">
        <v>260</v>
      </c>
      <c r="F3805" s="3">
        <v>33000</v>
      </c>
      <c r="G3805" s="4">
        <v>48</v>
      </c>
      <c r="H3805" s="5">
        <v>5.0000000000000001E-3</v>
      </c>
    </row>
    <row r="3806" spans="1:8" x14ac:dyDescent="0.35">
      <c r="A3806" s="2" t="s">
        <v>1423</v>
      </c>
      <c r="B3806" s="2" t="s">
        <v>510</v>
      </c>
      <c r="C3806" s="2" t="s">
        <v>526</v>
      </c>
      <c r="D3806" s="2" t="s">
        <v>527</v>
      </c>
      <c r="E3806" s="2" t="s">
        <v>315</v>
      </c>
      <c r="F3806" s="3">
        <v>150</v>
      </c>
      <c r="G3806" s="4">
        <v>24</v>
      </c>
      <c r="H3806" s="5">
        <v>0</v>
      </c>
    </row>
    <row r="3807" spans="1:8" ht="14.5" customHeight="1" x14ac:dyDescent="0.35">
      <c r="A3807" s="2" t="s">
        <v>1423</v>
      </c>
      <c r="B3807" s="2" t="s">
        <v>510</v>
      </c>
      <c r="C3807" s="2" t="s">
        <v>1369</v>
      </c>
      <c r="D3807" s="2" t="s">
        <v>1370</v>
      </c>
      <c r="E3807" s="2" t="s">
        <v>191</v>
      </c>
      <c r="F3807" s="3">
        <v>1500</v>
      </c>
      <c r="G3807" s="4">
        <v>36</v>
      </c>
      <c r="H3807" s="5">
        <v>0</v>
      </c>
    </row>
    <row r="3808" spans="1:8" x14ac:dyDescent="0.35">
      <c r="A3808" s="2" t="s">
        <v>1423</v>
      </c>
      <c r="B3808" s="2" t="s">
        <v>510</v>
      </c>
      <c r="C3808" s="2" t="s">
        <v>538</v>
      </c>
      <c r="D3808" s="2" t="s">
        <v>539</v>
      </c>
      <c r="E3808" s="2" t="s">
        <v>303</v>
      </c>
      <c r="F3808" s="3">
        <v>23</v>
      </c>
      <c r="G3808" s="4">
        <v>60</v>
      </c>
      <c r="H3808" s="5">
        <v>0</v>
      </c>
    </row>
    <row r="3809" spans="1:8" x14ac:dyDescent="0.35">
      <c r="A3809" s="2" t="s">
        <v>1423</v>
      </c>
      <c r="B3809" s="2" t="s">
        <v>510</v>
      </c>
      <c r="C3809" s="2" t="s">
        <v>1450</v>
      </c>
      <c r="D3809" s="2" t="s">
        <v>1451</v>
      </c>
      <c r="E3809" s="2" t="s">
        <v>92</v>
      </c>
      <c r="F3809" s="3">
        <v>1066.05</v>
      </c>
      <c r="G3809" s="4">
        <v>36</v>
      </c>
      <c r="H3809" s="5">
        <v>0</v>
      </c>
    </row>
    <row r="3810" spans="1:8" ht="14.5" customHeight="1" x14ac:dyDescent="0.35">
      <c r="A3810" s="2" t="s">
        <v>1423</v>
      </c>
      <c r="B3810" s="2" t="s">
        <v>510</v>
      </c>
      <c r="C3810" s="2" t="s">
        <v>1452</v>
      </c>
      <c r="D3810" s="2" t="s">
        <v>1453</v>
      </c>
      <c r="E3810" s="2" t="s">
        <v>424</v>
      </c>
      <c r="F3810" s="3">
        <v>1800</v>
      </c>
      <c r="G3810" s="4">
        <v>36</v>
      </c>
      <c r="H3810" s="5">
        <v>0</v>
      </c>
    </row>
    <row r="3811" spans="1:8" x14ac:dyDescent="0.35">
      <c r="A3811" s="2" t="s">
        <v>1423</v>
      </c>
      <c r="B3811" s="2" t="s">
        <v>510</v>
      </c>
      <c r="C3811" s="2" t="s">
        <v>1454</v>
      </c>
      <c r="D3811" s="2" t="s">
        <v>1455</v>
      </c>
      <c r="E3811" s="2" t="s">
        <v>470</v>
      </c>
      <c r="F3811" s="3">
        <v>135</v>
      </c>
      <c r="G3811" s="4">
        <v>6</v>
      </c>
      <c r="H3811" s="5">
        <v>0</v>
      </c>
    </row>
    <row r="3812" spans="1:8" x14ac:dyDescent="0.35">
      <c r="A3812" s="2" t="s">
        <v>1423</v>
      </c>
      <c r="B3812" s="2" t="s">
        <v>510</v>
      </c>
      <c r="C3812" s="2" t="s">
        <v>1456</v>
      </c>
      <c r="D3812" s="2" t="s">
        <v>1457</v>
      </c>
      <c r="E3812" s="2" t="s">
        <v>1340</v>
      </c>
      <c r="F3812" s="3">
        <v>700</v>
      </c>
      <c r="G3812" s="4">
        <v>36</v>
      </c>
      <c r="H3812" s="5">
        <v>0</v>
      </c>
    </row>
    <row r="3813" spans="1:8" x14ac:dyDescent="0.35">
      <c r="A3813" s="2" t="s">
        <v>1423</v>
      </c>
      <c r="B3813" s="2" t="s">
        <v>510</v>
      </c>
      <c r="C3813" s="2" t="s">
        <v>1366</v>
      </c>
      <c r="D3813" s="2" t="s">
        <v>456</v>
      </c>
      <c r="E3813" s="2" t="s">
        <v>35</v>
      </c>
      <c r="F3813" s="3">
        <v>600</v>
      </c>
      <c r="G3813" s="4">
        <v>36</v>
      </c>
      <c r="H3813" s="5">
        <v>0</v>
      </c>
    </row>
    <row r="3814" spans="1:8" x14ac:dyDescent="0.35">
      <c r="A3814" s="2" t="s">
        <v>1423</v>
      </c>
      <c r="B3814" s="2" t="s">
        <v>510</v>
      </c>
      <c r="C3814" s="2" t="s">
        <v>521</v>
      </c>
      <c r="D3814" s="2" t="s">
        <v>522</v>
      </c>
      <c r="E3814" s="2" t="s">
        <v>59</v>
      </c>
      <c r="F3814" s="3">
        <v>150</v>
      </c>
      <c r="G3814" s="4">
        <v>36</v>
      </c>
      <c r="H3814" s="5">
        <v>0</v>
      </c>
    </row>
    <row r="3815" spans="1:8" x14ac:dyDescent="0.35">
      <c r="A3815" s="2" t="s">
        <v>1423</v>
      </c>
      <c r="B3815" s="2" t="s">
        <v>510</v>
      </c>
      <c r="C3815" s="2" t="s">
        <v>1458</v>
      </c>
      <c r="D3815" s="2" t="s">
        <v>1459</v>
      </c>
      <c r="E3815" s="2" t="s">
        <v>158</v>
      </c>
      <c r="F3815" s="3">
        <v>2135</v>
      </c>
      <c r="G3815" s="4">
        <v>36</v>
      </c>
      <c r="H3815" s="5">
        <v>7.4999999999999997E-3</v>
      </c>
    </row>
    <row r="3816" spans="1:8" x14ac:dyDescent="0.35">
      <c r="A3816" s="2" t="s">
        <v>1423</v>
      </c>
      <c r="B3816" s="2" t="s">
        <v>510</v>
      </c>
      <c r="C3816" s="2" t="s">
        <v>1460</v>
      </c>
      <c r="D3816" s="2" t="s">
        <v>1461</v>
      </c>
      <c r="E3816" s="6" t="s">
        <v>180</v>
      </c>
      <c r="F3816" s="3">
        <v>264.45999999999998</v>
      </c>
      <c r="G3816" s="4">
        <v>12</v>
      </c>
      <c r="H3816" s="5">
        <v>0</v>
      </c>
    </row>
    <row r="3817" spans="1:8" x14ac:dyDescent="0.35">
      <c r="A3817" s="2" t="s">
        <v>1423</v>
      </c>
      <c r="B3817" s="2" t="s">
        <v>510</v>
      </c>
      <c r="C3817" s="2" t="s">
        <v>1462</v>
      </c>
      <c r="D3817" s="2" t="s">
        <v>1463</v>
      </c>
      <c r="E3817" s="2" t="s">
        <v>950</v>
      </c>
      <c r="F3817" s="3">
        <v>60</v>
      </c>
      <c r="G3817" s="4">
        <v>60</v>
      </c>
      <c r="H3817" s="5">
        <v>0</v>
      </c>
    </row>
    <row r="3818" spans="1:8" x14ac:dyDescent="0.35">
      <c r="A3818" s="2" t="s">
        <v>1423</v>
      </c>
      <c r="B3818" s="2" t="s">
        <v>510</v>
      </c>
      <c r="C3818" s="2" t="s">
        <v>1464</v>
      </c>
      <c r="D3818" s="2" t="s">
        <v>1465</v>
      </c>
      <c r="E3818" s="2" t="s">
        <v>434</v>
      </c>
      <c r="F3818" s="3">
        <v>5500</v>
      </c>
      <c r="G3818" s="4">
        <v>36</v>
      </c>
      <c r="H3818" s="5">
        <v>5.0000000000000001E-3</v>
      </c>
    </row>
    <row r="3819" spans="1:8" x14ac:dyDescent="0.35">
      <c r="A3819" s="2" t="s">
        <v>1423</v>
      </c>
      <c r="B3819" s="2" t="s">
        <v>510</v>
      </c>
      <c r="C3819" s="2" t="s">
        <v>974</v>
      </c>
      <c r="D3819" s="2" t="s">
        <v>975</v>
      </c>
      <c r="E3819" s="2" t="s">
        <v>603</v>
      </c>
      <c r="F3819" s="3">
        <v>3850</v>
      </c>
      <c r="G3819" s="4">
        <v>36</v>
      </c>
      <c r="H3819" s="5">
        <v>7.4999999999999997E-3</v>
      </c>
    </row>
    <row r="3820" spans="1:8" x14ac:dyDescent="0.35">
      <c r="A3820" s="2" t="s">
        <v>1466</v>
      </c>
      <c r="B3820" s="2" t="s">
        <v>785</v>
      </c>
      <c r="C3820" s="2" t="s">
        <v>1467</v>
      </c>
      <c r="D3820" s="2" t="s">
        <v>1468</v>
      </c>
      <c r="E3820" s="2" t="s">
        <v>59</v>
      </c>
      <c r="F3820" s="3">
        <v>55.78</v>
      </c>
      <c r="G3820" s="4">
        <v>24</v>
      </c>
      <c r="H3820" s="5">
        <v>0</v>
      </c>
    </row>
    <row r="3821" spans="1:8" x14ac:dyDescent="0.35">
      <c r="A3821" s="2" t="s">
        <v>1466</v>
      </c>
      <c r="B3821" s="2" t="s">
        <v>785</v>
      </c>
      <c r="C3821" s="2" t="s">
        <v>476</v>
      </c>
      <c r="D3821" s="2" t="s">
        <v>477</v>
      </c>
      <c r="E3821" s="2" t="s">
        <v>92</v>
      </c>
      <c r="F3821" s="3">
        <v>5175</v>
      </c>
      <c r="G3821" s="4">
        <v>48</v>
      </c>
      <c r="H3821" s="5">
        <v>2E-3</v>
      </c>
    </row>
    <row r="3822" spans="1:8" x14ac:dyDescent="0.35">
      <c r="A3822" s="2" t="s">
        <v>1466</v>
      </c>
      <c r="B3822" s="2" t="s">
        <v>785</v>
      </c>
      <c r="C3822" s="2" t="s">
        <v>1469</v>
      </c>
      <c r="D3822" s="2" t="s">
        <v>885</v>
      </c>
      <c r="E3822" s="6" t="s">
        <v>147</v>
      </c>
      <c r="F3822" s="3">
        <v>2766.68</v>
      </c>
      <c r="G3822" s="4">
        <v>60</v>
      </c>
      <c r="H3822" s="5">
        <v>2E-3</v>
      </c>
    </row>
    <row r="3823" spans="1:8" x14ac:dyDescent="0.35">
      <c r="A3823" s="2" t="s">
        <v>1466</v>
      </c>
      <c r="B3823" s="2" t="s">
        <v>785</v>
      </c>
      <c r="C3823" s="2" t="s">
        <v>1470</v>
      </c>
      <c r="D3823" s="2" t="s">
        <v>1471</v>
      </c>
      <c r="E3823" s="2" t="s">
        <v>226</v>
      </c>
      <c r="F3823" s="3">
        <v>4872.04</v>
      </c>
      <c r="G3823" s="4">
        <v>60</v>
      </c>
      <c r="H3823" s="5">
        <v>2E-3</v>
      </c>
    </row>
    <row r="3824" spans="1:8" x14ac:dyDescent="0.35">
      <c r="A3824" s="2" t="s">
        <v>1466</v>
      </c>
      <c r="B3824" s="2" t="s">
        <v>785</v>
      </c>
      <c r="C3824" s="2" t="s">
        <v>673</v>
      </c>
      <c r="D3824" s="2" t="s">
        <v>317</v>
      </c>
      <c r="E3824" s="2" t="s">
        <v>248</v>
      </c>
      <c r="F3824" s="3">
        <v>237.76</v>
      </c>
      <c r="G3824" s="4">
        <v>24</v>
      </c>
      <c r="H3824" s="5">
        <v>0</v>
      </c>
    </row>
    <row r="3825" spans="1:8" x14ac:dyDescent="0.35">
      <c r="A3825" s="2" t="s">
        <v>1466</v>
      </c>
      <c r="B3825" s="2" t="s">
        <v>785</v>
      </c>
      <c r="C3825" s="2" t="s">
        <v>1472</v>
      </c>
      <c r="D3825" s="2" t="s">
        <v>1473</v>
      </c>
      <c r="E3825" s="2" t="s">
        <v>271</v>
      </c>
      <c r="F3825" s="3">
        <v>29376.6</v>
      </c>
      <c r="G3825" s="4">
        <v>48</v>
      </c>
      <c r="H3825" s="5">
        <v>1.1999999999999999E-3</v>
      </c>
    </row>
    <row r="3826" spans="1:8" x14ac:dyDescent="0.35">
      <c r="A3826" s="2" t="s">
        <v>1466</v>
      </c>
      <c r="B3826" s="2" t="s">
        <v>785</v>
      </c>
      <c r="C3826" s="2" t="s">
        <v>1474</v>
      </c>
      <c r="D3826" s="2" t="s">
        <v>1475</v>
      </c>
      <c r="E3826" s="6" t="s">
        <v>285</v>
      </c>
      <c r="F3826" s="3">
        <v>200</v>
      </c>
      <c r="G3826" s="4">
        <v>24</v>
      </c>
      <c r="H3826" s="5">
        <v>0</v>
      </c>
    </row>
    <row r="3827" spans="1:8" x14ac:dyDescent="0.35">
      <c r="A3827" s="2" t="s">
        <v>1466</v>
      </c>
      <c r="B3827" s="2" t="s">
        <v>785</v>
      </c>
      <c r="C3827" s="2" t="s">
        <v>1476</v>
      </c>
      <c r="D3827" s="2" t="s">
        <v>1477</v>
      </c>
      <c r="E3827" s="2" t="s">
        <v>315</v>
      </c>
      <c r="F3827" s="3">
        <v>134.55000000000001</v>
      </c>
      <c r="G3827" s="4">
        <v>24</v>
      </c>
      <c r="H3827" s="5">
        <v>0</v>
      </c>
    </row>
    <row r="3828" spans="1:8" x14ac:dyDescent="0.35">
      <c r="A3828" s="2" t="s">
        <v>1466</v>
      </c>
      <c r="B3828" s="2" t="s">
        <v>785</v>
      </c>
      <c r="C3828" s="2" t="s">
        <v>1478</v>
      </c>
      <c r="D3828" s="2" t="s">
        <v>1479</v>
      </c>
      <c r="E3828" s="2" t="s">
        <v>322</v>
      </c>
      <c r="F3828" s="3">
        <v>55.2</v>
      </c>
      <c r="G3828" s="4">
        <v>24</v>
      </c>
      <c r="H3828" s="5">
        <v>0</v>
      </c>
    </row>
    <row r="3829" spans="1:8" x14ac:dyDescent="0.35">
      <c r="A3829" s="2" t="s">
        <v>1466</v>
      </c>
      <c r="B3829" s="2" t="s">
        <v>785</v>
      </c>
      <c r="C3829" s="2" t="s">
        <v>1480</v>
      </c>
      <c r="D3829" s="2" t="s">
        <v>975</v>
      </c>
      <c r="E3829" s="2" t="s">
        <v>603</v>
      </c>
      <c r="F3829" s="3">
        <v>3392.5</v>
      </c>
      <c r="G3829" s="4">
        <v>36</v>
      </c>
      <c r="H3829" s="5">
        <v>2E-3</v>
      </c>
    </row>
    <row r="3830" spans="1:8" x14ac:dyDescent="0.35">
      <c r="A3830" s="2" t="s">
        <v>1481</v>
      </c>
      <c r="B3830" s="2" t="s">
        <v>785</v>
      </c>
      <c r="C3830" s="2" t="s">
        <v>1467</v>
      </c>
      <c r="D3830" s="2" t="s">
        <v>1468</v>
      </c>
      <c r="E3830" s="2" t="s">
        <v>59</v>
      </c>
      <c r="F3830" s="3">
        <v>55.78</v>
      </c>
      <c r="G3830" s="4">
        <v>24</v>
      </c>
      <c r="H3830" s="5">
        <v>0</v>
      </c>
    </row>
    <row r="3831" spans="1:8" x14ac:dyDescent="0.35">
      <c r="A3831" s="2" t="s">
        <v>1481</v>
      </c>
      <c r="B3831" s="2" t="s">
        <v>785</v>
      </c>
      <c r="C3831" s="2" t="s">
        <v>476</v>
      </c>
      <c r="D3831" s="2" t="s">
        <v>477</v>
      </c>
      <c r="E3831" s="2" t="s">
        <v>92</v>
      </c>
      <c r="F3831" s="3">
        <v>5175</v>
      </c>
      <c r="G3831" s="4">
        <v>36</v>
      </c>
      <c r="H3831" s="5">
        <v>2E-3</v>
      </c>
    </row>
    <row r="3832" spans="1:8" x14ac:dyDescent="0.35">
      <c r="A3832" s="2" t="s">
        <v>1481</v>
      </c>
      <c r="B3832" s="2" t="s">
        <v>785</v>
      </c>
      <c r="C3832" s="2" t="s">
        <v>1469</v>
      </c>
      <c r="D3832" s="2" t="s">
        <v>885</v>
      </c>
      <c r="E3832" s="6" t="s">
        <v>147</v>
      </c>
      <c r="F3832" s="3">
        <v>2766.68</v>
      </c>
      <c r="G3832" s="4">
        <v>60</v>
      </c>
      <c r="H3832" s="5">
        <v>2E-3</v>
      </c>
    </row>
    <row r="3833" spans="1:8" x14ac:dyDescent="0.35">
      <c r="A3833" s="2" t="s">
        <v>1481</v>
      </c>
      <c r="B3833" s="2" t="s">
        <v>785</v>
      </c>
      <c r="C3833" s="2" t="s">
        <v>1470</v>
      </c>
      <c r="D3833" s="2" t="s">
        <v>1471</v>
      </c>
      <c r="E3833" s="2" t="s">
        <v>226</v>
      </c>
      <c r="F3833" s="3">
        <v>4872.04</v>
      </c>
      <c r="G3833" s="4">
        <v>60</v>
      </c>
      <c r="H3833" s="5">
        <v>2E-3</v>
      </c>
    </row>
    <row r="3834" spans="1:8" x14ac:dyDescent="0.35">
      <c r="A3834" s="2" t="s">
        <v>1481</v>
      </c>
      <c r="B3834" s="2" t="s">
        <v>785</v>
      </c>
      <c r="C3834" s="2" t="s">
        <v>673</v>
      </c>
      <c r="D3834" s="2" t="s">
        <v>317</v>
      </c>
      <c r="E3834" s="2" t="s">
        <v>248</v>
      </c>
      <c r="F3834" s="3">
        <v>237.76</v>
      </c>
      <c r="G3834" s="4">
        <v>24</v>
      </c>
      <c r="H3834" s="5">
        <v>0</v>
      </c>
    </row>
    <row r="3835" spans="1:8" x14ac:dyDescent="0.35">
      <c r="A3835" s="2" t="s">
        <v>1481</v>
      </c>
      <c r="B3835" s="2" t="s">
        <v>785</v>
      </c>
      <c r="C3835" s="2" t="s">
        <v>1472</v>
      </c>
      <c r="D3835" s="2" t="s">
        <v>1473</v>
      </c>
      <c r="E3835" s="2" t="s">
        <v>271</v>
      </c>
      <c r="F3835" s="3">
        <v>29376.6</v>
      </c>
      <c r="G3835" s="4">
        <v>48</v>
      </c>
      <c r="H3835" s="5">
        <v>1.1999999999999999E-3</v>
      </c>
    </row>
    <row r="3836" spans="1:8" x14ac:dyDescent="0.35">
      <c r="A3836" s="2" t="s">
        <v>1481</v>
      </c>
      <c r="B3836" s="2" t="s">
        <v>785</v>
      </c>
      <c r="C3836" s="2" t="s">
        <v>1474</v>
      </c>
      <c r="D3836" s="2" t="s">
        <v>1475</v>
      </c>
      <c r="E3836" s="6" t="s">
        <v>285</v>
      </c>
      <c r="F3836" s="3">
        <v>200</v>
      </c>
      <c r="G3836" s="4">
        <v>24</v>
      </c>
      <c r="H3836" s="5">
        <v>0</v>
      </c>
    </row>
    <row r="3837" spans="1:8" x14ac:dyDescent="0.35">
      <c r="A3837" s="2" t="s">
        <v>1481</v>
      </c>
      <c r="B3837" s="2" t="s">
        <v>785</v>
      </c>
      <c r="C3837" s="2" t="s">
        <v>1476</v>
      </c>
      <c r="D3837" s="2" t="s">
        <v>1477</v>
      </c>
      <c r="E3837" s="2" t="s">
        <v>315</v>
      </c>
      <c r="F3837" s="3">
        <v>134.55000000000001</v>
      </c>
      <c r="G3837" s="4">
        <v>24</v>
      </c>
      <c r="H3837" s="5">
        <v>0</v>
      </c>
    </row>
    <row r="3838" spans="1:8" x14ac:dyDescent="0.35">
      <c r="A3838" s="2" t="s">
        <v>1481</v>
      </c>
      <c r="B3838" s="2" t="s">
        <v>785</v>
      </c>
      <c r="C3838" s="2" t="s">
        <v>1478</v>
      </c>
      <c r="D3838" s="2" t="s">
        <v>1479</v>
      </c>
      <c r="E3838" s="2" t="s">
        <v>322</v>
      </c>
      <c r="F3838" s="3">
        <v>55.2</v>
      </c>
      <c r="G3838" s="4">
        <v>24</v>
      </c>
      <c r="H3838" s="5">
        <v>0</v>
      </c>
    </row>
    <row r="3839" spans="1:8" x14ac:dyDescent="0.35">
      <c r="A3839" s="2" t="s">
        <v>1482</v>
      </c>
      <c r="B3839" s="2" t="s">
        <v>785</v>
      </c>
      <c r="C3839" s="2" t="s">
        <v>1483</v>
      </c>
      <c r="D3839" s="2" t="s">
        <v>841</v>
      </c>
      <c r="E3839" s="2" t="s">
        <v>46</v>
      </c>
      <c r="F3839" s="3">
        <v>2100</v>
      </c>
      <c r="G3839" s="4">
        <v>36</v>
      </c>
      <c r="H3839" s="5">
        <v>0</v>
      </c>
    </row>
    <row r="3840" spans="1:8" x14ac:dyDescent="0.35">
      <c r="A3840" s="2" t="s">
        <v>1482</v>
      </c>
      <c r="B3840" s="2" t="s">
        <v>785</v>
      </c>
      <c r="C3840" s="2" t="s">
        <v>1467</v>
      </c>
      <c r="D3840" s="2" t="s">
        <v>1468</v>
      </c>
      <c r="E3840" s="2" t="s">
        <v>59</v>
      </c>
      <c r="F3840" s="3">
        <v>55.78</v>
      </c>
      <c r="G3840" s="4">
        <v>24</v>
      </c>
      <c r="H3840" s="5">
        <v>0</v>
      </c>
    </row>
    <row r="3841" spans="1:8" x14ac:dyDescent="0.35">
      <c r="A3841" s="2" t="s">
        <v>1482</v>
      </c>
      <c r="B3841" s="2" t="s">
        <v>785</v>
      </c>
      <c r="C3841" s="2" t="s">
        <v>476</v>
      </c>
      <c r="D3841" s="2" t="s">
        <v>477</v>
      </c>
      <c r="E3841" s="2" t="s">
        <v>92</v>
      </c>
      <c r="F3841" s="3">
        <v>5175</v>
      </c>
      <c r="G3841" s="4">
        <v>48</v>
      </c>
      <c r="H3841" s="5">
        <v>2E-3</v>
      </c>
    </row>
    <row r="3842" spans="1:8" x14ac:dyDescent="0.35">
      <c r="A3842" s="2" t="s">
        <v>1482</v>
      </c>
      <c r="B3842" s="2" t="s">
        <v>785</v>
      </c>
      <c r="C3842" s="2" t="s">
        <v>1469</v>
      </c>
      <c r="D3842" s="2" t="s">
        <v>885</v>
      </c>
      <c r="E3842" s="6" t="s">
        <v>147</v>
      </c>
      <c r="F3842" s="3">
        <v>2766.68</v>
      </c>
      <c r="G3842" s="4">
        <v>60</v>
      </c>
      <c r="H3842" s="5">
        <v>2E-3</v>
      </c>
    </row>
    <row r="3843" spans="1:8" x14ac:dyDescent="0.35">
      <c r="A3843" s="2" t="s">
        <v>1482</v>
      </c>
      <c r="B3843" s="2" t="s">
        <v>785</v>
      </c>
      <c r="C3843" s="2" t="s">
        <v>673</v>
      </c>
      <c r="D3843" s="2" t="s">
        <v>317</v>
      </c>
      <c r="E3843" s="2" t="s">
        <v>248</v>
      </c>
      <c r="F3843" s="3">
        <v>237.76</v>
      </c>
      <c r="G3843" s="4">
        <v>24</v>
      </c>
      <c r="H3843" s="5">
        <v>0</v>
      </c>
    </row>
    <row r="3844" spans="1:8" x14ac:dyDescent="0.35">
      <c r="A3844" s="2" t="s">
        <v>1482</v>
      </c>
      <c r="B3844" s="2" t="s">
        <v>785</v>
      </c>
      <c r="C3844" s="2" t="s">
        <v>1474</v>
      </c>
      <c r="D3844" s="2" t="s">
        <v>1475</v>
      </c>
      <c r="E3844" s="6" t="s">
        <v>285</v>
      </c>
      <c r="F3844" s="3">
        <v>200</v>
      </c>
      <c r="G3844" s="4">
        <v>24</v>
      </c>
      <c r="H3844" s="5">
        <v>0</v>
      </c>
    </row>
    <row r="3845" spans="1:8" x14ac:dyDescent="0.35">
      <c r="A3845" s="2" t="s">
        <v>1482</v>
      </c>
      <c r="B3845" s="2" t="s">
        <v>785</v>
      </c>
      <c r="C3845" s="2" t="s">
        <v>1484</v>
      </c>
      <c r="D3845" s="2" t="s">
        <v>835</v>
      </c>
      <c r="E3845" s="2" t="s">
        <v>836</v>
      </c>
      <c r="F3845" s="3">
        <v>70.14</v>
      </c>
      <c r="G3845" s="4">
        <v>24</v>
      </c>
      <c r="H3845" s="5">
        <v>0</v>
      </c>
    </row>
    <row r="3846" spans="1:8" x14ac:dyDescent="0.35">
      <c r="A3846" s="2" t="s">
        <v>1482</v>
      </c>
      <c r="B3846" s="2" t="s">
        <v>785</v>
      </c>
      <c r="C3846" s="2" t="s">
        <v>1476</v>
      </c>
      <c r="D3846" s="2" t="s">
        <v>1477</v>
      </c>
      <c r="E3846" s="2" t="s">
        <v>315</v>
      </c>
      <c r="F3846" s="3">
        <v>134.55000000000001</v>
      </c>
      <c r="G3846" s="4">
        <v>24</v>
      </c>
      <c r="H3846" s="5">
        <v>0</v>
      </c>
    </row>
    <row r="3847" spans="1:8" x14ac:dyDescent="0.35">
      <c r="A3847" s="2" t="s">
        <v>1482</v>
      </c>
      <c r="B3847" s="2" t="s">
        <v>785</v>
      </c>
      <c r="C3847" s="2" t="s">
        <v>1485</v>
      </c>
      <c r="D3847" s="2" t="s">
        <v>1486</v>
      </c>
      <c r="E3847" s="2" t="s">
        <v>115</v>
      </c>
      <c r="F3847" s="3">
        <v>99.94</v>
      </c>
      <c r="G3847" s="4">
        <v>24</v>
      </c>
      <c r="H3847" s="5">
        <v>0</v>
      </c>
    </row>
    <row r="3848" spans="1:8" x14ac:dyDescent="0.35">
      <c r="A3848" s="2" t="s">
        <v>1482</v>
      </c>
      <c r="B3848" s="2" t="s">
        <v>785</v>
      </c>
      <c r="C3848" s="2" t="s">
        <v>1478</v>
      </c>
      <c r="D3848" s="2" t="s">
        <v>1479</v>
      </c>
      <c r="E3848" s="2" t="s">
        <v>322</v>
      </c>
      <c r="F3848" s="3">
        <v>55.2</v>
      </c>
      <c r="G3848" s="4">
        <v>24</v>
      </c>
      <c r="H3848" s="5">
        <v>0</v>
      </c>
    </row>
    <row r="3849" spans="1:8" x14ac:dyDescent="0.35">
      <c r="A3849" s="2" t="s">
        <v>1482</v>
      </c>
      <c r="B3849" s="2" t="s">
        <v>785</v>
      </c>
      <c r="C3849" s="2" t="s">
        <v>1480</v>
      </c>
      <c r="D3849" s="2" t="s">
        <v>975</v>
      </c>
      <c r="E3849" s="2" t="s">
        <v>603</v>
      </c>
      <c r="F3849" s="3">
        <v>3392.5</v>
      </c>
      <c r="G3849" s="4">
        <v>36</v>
      </c>
      <c r="H3849" s="5">
        <v>2E-3</v>
      </c>
    </row>
    <row r="3850" spans="1:8" x14ac:dyDescent="0.35">
      <c r="A3850" s="2" t="s">
        <v>1487</v>
      </c>
      <c r="B3850" s="2" t="s">
        <v>785</v>
      </c>
      <c r="C3850" s="2" t="s">
        <v>1488</v>
      </c>
      <c r="D3850" s="2" t="s">
        <v>1489</v>
      </c>
      <c r="E3850" s="2" t="s">
        <v>271</v>
      </c>
      <c r="F3850" s="3">
        <v>114872.23</v>
      </c>
      <c r="G3850" s="4">
        <v>48</v>
      </c>
      <c r="H3850" s="5">
        <v>1.1999999999999999E-3</v>
      </c>
    </row>
    <row r="3851" spans="1:8" x14ac:dyDescent="0.35">
      <c r="A3851" s="2" t="s">
        <v>1487</v>
      </c>
      <c r="B3851" s="2" t="s">
        <v>785</v>
      </c>
      <c r="C3851" s="2" t="s">
        <v>1467</v>
      </c>
      <c r="D3851" s="2" t="s">
        <v>1468</v>
      </c>
      <c r="E3851" s="2" t="s">
        <v>59</v>
      </c>
      <c r="F3851" s="3">
        <v>55.78</v>
      </c>
      <c r="G3851" s="4">
        <v>24</v>
      </c>
      <c r="H3851" s="5">
        <v>0</v>
      </c>
    </row>
    <row r="3852" spans="1:8" x14ac:dyDescent="0.35">
      <c r="A3852" s="2" t="s">
        <v>1487</v>
      </c>
      <c r="B3852" s="2" t="s">
        <v>785</v>
      </c>
      <c r="C3852" s="2" t="s">
        <v>476</v>
      </c>
      <c r="D3852" s="2" t="s">
        <v>477</v>
      </c>
      <c r="E3852" s="2" t="s">
        <v>92</v>
      </c>
      <c r="F3852" s="3">
        <v>5175</v>
      </c>
      <c r="G3852" s="4">
        <v>48</v>
      </c>
      <c r="H3852" s="5">
        <v>2E-3</v>
      </c>
    </row>
    <row r="3853" spans="1:8" x14ac:dyDescent="0.35">
      <c r="A3853" s="2" t="s">
        <v>1487</v>
      </c>
      <c r="B3853" s="2" t="s">
        <v>785</v>
      </c>
      <c r="C3853" s="2" t="s">
        <v>1469</v>
      </c>
      <c r="D3853" s="2" t="s">
        <v>885</v>
      </c>
      <c r="E3853" s="6" t="s">
        <v>147</v>
      </c>
      <c r="F3853" s="3">
        <v>2766.68</v>
      </c>
      <c r="G3853" s="4">
        <v>60</v>
      </c>
      <c r="H3853" s="5">
        <v>2E-3</v>
      </c>
    </row>
    <row r="3854" spans="1:8" x14ac:dyDescent="0.35">
      <c r="A3854" s="2" t="s">
        <v>1487</v>
      </c>
      <c r="B3854" s="2" t="s">
        <v>785</v>
      </c>
      <c r="C3854" s="2" t="s">
        <v>1470</v>
      </c>
      <c r="D3854" s="2" t="s">
        <v>1471</v>
      </c>
      <c r="E3854" s="2" t="s">
        <v>226</v>
      </c>
      <c r="F3854" s="3">
        <v>4872.04</v>
      </c>
      <c r="G3854" s="4">
        <v>60</v>
      </c>
      <c r="H3854" s="5">
        <v>2E-3</v>
      </c>
    </row>
    <row r="3855" spans="1:8" x14ac:dyDescent="0.35">
      <c r="A3855" s="2" t="s">
        <v>1487</v>
      </c>
      <c r="B3855" s="2" t="s">
        <v>785</v>
      </c>
      <c r="C3855" s="2" t="s">
        <v>673</v>
      </c>
      <c r="D3855" s="2" t="s">
        <v>317</v>
      </c>
      <c r="E3855" s="2" t="s">
        <v>248</v>
      </c>
      <c r="F3855" s="3">
        <v>237.76</v>
      </c>
      <c r="G3855" s="4">
        <v>24</v>
      </c>
      <c r="H3855" s="5">
        <v>0</v>
      </c>
    </row>
    <row r="3856" spans="1:8" x14ac:dyDescent="0.35">
      <c r="A3856" s="2" t="s">
        <v>1487</v>
      </c>
      <c r="B3856" s="2" t="s">
        <v>785</v>
      </c>
      <c r="C3856" s="2" t="s">
        <v>1474</v>
      </c>
      <c r="D3856" s="2" t="s">
        <v>1475</v>
      </c>
      <c r="E3856" s="6" t="s">
        <v>285</v>
      </c>
      <c r="F3856" s="3">
        <v>200</v>
      </c>
      <c r="G3856" s="4">
        <v>24</v>
      </c>
      <c r="H3856" s="5">
        <v>0</v>
      </c>
    </row>
    <row r="3857" spans="1:8" x14ac:dyDescent="0.35">
      <c r="A3857" s="2" t="s">
        <v>1487</v>
      </c>
      <c r="B3857" s="2" t="s">
        <v>785</v>
      </c>
      <c r="C3857" s="2" t="s">
        <v>1476</v>
      </c>
      <c r="D3857" s="2" t="s">
        <v>1477</v>
      </c>
      <c r="E3857" s="2" t="s">
        <v>315</v>
      </c>
      <c r="F3857" s="3">
        <v>134.55000000000001</v>
      </c>
      <c r="G3857" s="4">
        <v>24</v>
      </c>
      <c r="H3857" s="5">
        <v>0</v>
      </c>
    </row>
    <row r="3858" spans="1:8" x14ac:dyDescent="0.35">
      <c r="A3858" s="2" t="s">
        <v>1487</v>
      </c>
      <c r="B3858" s="2" t="s">
        <v>785</v>
      </c>
      <c r="C3858" s="2" t="s">
        <v>1478</v>
      </c>
      <c r="D3858" s="2" t="s">
        <v>1479</v>
      </c>
      <c r="E3858" s="2" t="s">
        <v>322</v>
      </c>
      <c r="F3858" s="3">
        <v>55.2</v>
      </c>
      <c r="G3858" s="4">
        <v>24</v>
      </c>
      <c r="H3858" s="5">
        <v>0</v>
      </c>
    </row>
    <row r="3859" spans="1:8" x14ac:dyDescent="0.35">
      <c r="A3859" s="2" t="s">
        <v>1490</v>
      </c>
      <c r="B3859" s="2" t="s">
        <v>785</v>
      </c>
      <c r="C3859" s="2" t="s">
        <v>1467</v>
      </c>
      <c r="D3859" s="2" t="s">
        <v>1468</v>
      </c>
      <c r="E3859" s="2" t="s">
        <v>59</v>
      </c>
      <c r="F3859" s="3">
        <v>55.78</v>
      </c>
      <c r="G3859" s="4">
        <v>24</v>
      </c>
      <c r="H3859" s="5">
        <v>0</v>
      </c>
    </row>
    <row r="3860" spans="1:8" x14ac:dyDescent="0.35">
      <c r="A3860" s="2" t="s">
        <v>1490</v>
      </c>
      <c r="B3860" s="2" t="s">
        <v>785</v>
      </c>
      <c r="C3860" s="2" t="s">
        <v>476</v>
      </c>
      <c r="D3860" s="2" t="s">
        <v>477</v>
      </c>
      <c r="E3860" s="2" t="s">
        <v>92</v>
      </c>
      <c r="F3860" s="3">
        <v>5175</v>
      </c>
      <c r="G3860" s="4">
        <v>36</v>
      </c>
      <c r="H3860" s="5">
        <v>2E-3</v>
      </c>
    </row>
    <row r="3861" spans="1:8" x14ac:dyDescent="0.35">
      <c r="A3861" s="2" t="s">
        <v>1490</v>
      </c>
      <c r="B3861" s="2" t="s">
        <v>785</v>
      </c>
      <c r="C3861" s="2" t="s">
        <v>1469</v>
      </c>
      <c r="D3861" s="2" t="s">
        <v>885</v>
      </c>
      <c r="E3861" s="6" t="s">
        <v>147</v>
      </c>
      <c r="F3861" s="3">
        <v>2766.68</v>
      </c>
      <c r="G3861" s="4">
        <v>60</v>
      </c>
      <c r="H3861" s="5">
        <v>2E-3</v>
      </c>
    </row>
    <row r="3862" spans="1:8" x14ac:dyDescent="0.35">
      <c r="A3862" s="2" t="s">
        <v>1490</v>
      </c>
      <c r="B3862" s="2" t="s">
        <v>785</v>
      </c>
      <c r="C3862" s="2" t="s">
        <v>1470</v>
      </c>
      <c r="D3862" s="2" t="s">
        <v>1471</v>
      </c>
      <c r="E3862" s="2" t="s">
        <v>226</v>
      </c>
      <c r="F3862" s="3">
        <v>4872.04</v>
      </c>
      <c r="G3862" s="4">
        <v>60</v>
      </c>
      <c r="H3862" s="5">
        <v>2E-3</v>
      </c>
    </row>
    <row r="3863" spans="1:8" x14ac:dyDescent="0.35">
      <c r="A3863" s="2" t="s">
        <v>1490</v>
      </c>
      <c r="B3863" s="2" t="s">
        <v>785</v>
      </c>
      <c r="C3863" s="2" t="s">
        <v>673</v>
      </c>
      <c r="D3863" s="2" t="s">
        <v>317</v>
      </c>
      <c r="E3863" s="2" t="s">
        <v>248</v>
      </c>
      <c r="F3863" s="3">
        <v>237.76</v>
      </c>
      <c r="G3863" s="4">
        <v>24</v>
      </c>
      <c r="H3863" s="5">
        <v>0</v>
      </c>
    </row>
    <row r="3864" spans="1:8" x14ac:dyDescent="0.35">
      <c r="A3864" s="2" t="s">
        <v>1490</v>
      </c>
      <c r="B3864" s="2" t="s">
        <v>785</v>
      </c>
      <c r="C3864" s="2" t="s">
        <v>1472</v>
      </c>
      <c r="D3864" s="2" t="s">
        <v>1473</v>
      </c>
      <c r="E3864" s="2" t="s">
        <v>271</v>
      </c>
      <c r="F3864" s="3">
        <v>29376.6</v>
      </c>
      <c r="G3864" s="4">
        <v>48</v>
      </c>
      <c r="H3864" s="5">
        <v>1.1999999999999999E-3</v>
      </c>
    </row>
    <row r="3865" spans="1:8" x14ac:dyDescent="0.35">
      <c r="A3865" s="2" t="s">
        <v>1490</v>
      </c>
      <c r="B3865" s="2" t="s">
        <v>785</v>
      </c>
      <c r="C3865" s="2" t="s">
        <v>1474</v>
      </c>
      <c r="D3865" s="2" t="s">
        <v>1475</v>
      </c>
      <c r="E3865" s="6" t="s">
        <v>285</v>
      </c>
      <c r="F3865" s="3">
        <v>200</v>
      </c>
      <c r="G3865" s="4">
        <v>24</v>
      </c>
      <c r="H3865" s="5">
        <v>0</v>
      </c>
    </row>
    <row r="3866" spans="1:8" x14ac:dyDescent="0.35">
      <c r="A3866" s="2" t="s">
        <v>1490</v>
      </c>
      <c r="B3866" s="2" t="s">
        <v>785</v>
      </c>
      <c r="C3866" s="2" t="s">
        <v>1476</v>
      </c>
      <c r="D3866" s="2" t="s">
        <v>1477</v>
      </c>
      <c r="E3866" s="2" t="s">
        <v>315</v>
      </c>
      <c r="F3866" s="3">
        <v>134.55000000000001</v>
      </c>
      <c r="G3866" s="4">
        <v>24</v>
      </c>
      <c r="H3866" s="5">
        <v>0</v>
      </c>
    </row>
    <row r="3867" spans="1:8" x14ac:dyDescent="0.35">
      <c r="A3867" s="2" t="s">
        <v>1490</v>
      </c>
      <c r="B3867" s="2" t="s">
        <v>785</v>
      </c>
      <c r="C3867" s="2" t="s">
        <v>1478</v>
      </c>
      <c r="D3867" s="2" t="s">
        <v>1479</v>
      </c>
      <c r="E3867" s="2" t="s">
        <v>322</v>
      </c>
      <c r="F3867" s="3">
        <v>55.2</v>
      </c>
      <c r="G3867" s="4">
        <v>24</v>
      </c>
      <c r="H3867" s="5">
        <v>0</v>
      </c>
    </row>
    <row r="3868" spans="1:8" x14ac:dyDescent="0.35">
      <c r="A3868" s="2" t="s">
        <v>1491</v>
      </c>
      <c r="B3868" s="2" t="s">
        <v>785</v>
      </c>
      <c r="C3868" s="2" t="s">
        <v>1467</v>
      </c>
      <c r="D3868" s="2" t="s">
        <v>1468</v>
      </c>
      <c r="E3868" s="2" t="s">
        <v>59</v>
      </c>
      <c r="F3868" s="3">
        <v>55.78</v>
      </c>
      <c r="G3868" s="4">
        <v>24</v>
      </c>
      <c r="H3868" s="5">
        <v>0</v>
      </c>
    </row>
    <row r="3869" spans="1:8" x14ac:dyDescent="0.35">
      <c r="A3869" s="2" t="s">
        <v>1491</v>
      </c>
      <c r="B3869" s="2" t="s">
        <v>785</v>
      </c>
      <c r="C3869" s="2" t="s">
        <v>476</v>
      </c>
      <c r="D3869" s="2" t="s">
        <v>477</v>
      </c>
      <c r="E3869" s="2" t="s">
        <v>92</v>
      </c>
      <c r="F3869" s="3">
        <v>5175</v>
      </c>
      <c r="G3869" s="4">
        <v>48</v>
      </c>
      <c r="H3869" s="5">
        <v>2E-3</v>
      </c>
    </row>
    <row r="3870" spans="1:8" x14ac:dyDescent="0.35">
      <c r="A3870" s="2" t="s">
        <v>1491</v>
      </c>
      <c r="B3870" s="2" t="s">
        <v>785</v>
      </c>
      <c r="C3870" s="2" t="s">
        <v>1469</v>
      </c>
      <c r="D3870" s="2" t="s">
        <v>885</v>
      </c>
      <c r="E3870" s="6" t="s">
        <v>147</v>
      </c>
      <c r="F3870" s="3">
        <v>2766.68</v>
      </c>
      <c r="G3870" s="4">
        <v>60</v>
      </c>
      <c r="H3870" s="5">
        <v>2E-3</v>
      </c>
    </row>
    <row r="3871" spans="1:8" x14ac:dyDescent="0.35">
      <c r="A3871" s="2" t="s">
        <v>1491</v>
      </c>
      <c r="B3871" s="2" t="s">
        <v>785</v>
      </c>
      <c r="C3871" s="2" t="s">
        <v>1470</v>
      </c>
      <c r="D3871" s="2" t="s">
        <v>1471</v>
      </c>
      <c r="E3871" s="2" t="s">
        <v>226</v>
      </c>
      <c r="F3871" s="3">
        <v>4872.04</v>
      </c>
      <c r="G3871" s="4">
        <v>60</v>
      </c>
      <c r="H3871" s="5">
        <v>2E-3</v>
      </c>
    </row>
    <row r="3872" spans="1:8" x14ac:dyDescent="0.35">
      <c r="A3872" s="2" t="s">
        <v>1491</v>
      </c>
      <c r="B3872" s="2" t="s">
        <v>785</v>
      </c>
      <c r="C3872" s="2" t="s">
        <v>673</v>
      </c>
      <c r="D3872" s="2" t="s">
        <v>317</v>
      </c>
      <c r="E3872" s="2" t="s">
        <v>248</v>
      </c>
      <c r="F3872" s="3">
        <v>237.76</v>
      </c>
      <c r="G3872" s="4">
        <v>24</v>
      </c>
      <c r="H3872" s="5">
        <v>0</v>
      </c>
    </row>
    <row r="3873" spans="1:8" x14ac:dyDescent="0.35">
      <c r="A3873" s="2" t="s">
        <v>1491</v>
      </c>
      <c r="B3873" s="2" t="s">
        <v>785</v>
      </c>
      <c r="C3873" s="2" t="s">
        <v>1472</v>
      </c>
      <c r="D3873" s="2" t="s">
        <v>1473</v>
      </c>
      <c r="E3873" s="2" t="s">
        <v>271</v>
      </c>
      <c r="F3873" s="3">
        <v>29376.6</v>
      </c>
      <c r="G3873" s="4">
        <v>48</v>
      </c>
      <c r="H3873" s="5">
        <v>1.1999999999999999E-3</v>
      </c>
    </row>
    <row r="3874" spans="1:8" x14ac:dyDescent="0.35">
      <c r="A3874" s="2" t="s">
        <v>1491</v>
      </c>
      <c r="B3874" s="2" t="s">
        <v>785</v>
      </c>
      <c r="C3874" s="2" t="s">
        <v>1474</v>
      </c>
      <c r="D3874" s="2" t="s">
        <v>1475</v>
      </c>
      <c r="E3874" s="6" t="s">
        <v>285</v>
      </c>
      <c r="F3874" s="3">
        <v>200</v>
      </c>
      <c r="G3874" s="4">
        <v>24</v>
      </c>
      <c r="H3874" s="5">
        <v>0</v>
      </c>
    </row>
    <row r="3875" spans="1:8" x14ac:dyDescent="0.35">
      <c r="A3875" s="2" t="s">
        <v>1491</v>
      </c>
      <c r="B3875" s="2" t="s">
        <v>785</v>
      </c>
      <c r="C3875" s="2" t="s">
        <v>1476</v>
      </c>
      <c r="D3875" s="2" t="s">
        <v>1477</v>
      </c>
      <c r="E3875" s="2" t="s">
        <v>315</v>
      </c>
      <c r="F3875" s="3">
        <v>134.55000000000001</v>
      </c>
      <c r="G3875" s="4">
        <v>24</v>
      </c>
      <c r="H3875" s="5">
        <v>0</v>
      </c>
    </row>
    <row r="3876" spans="1:8" x14ac:dyDescent="0.35">
      <c r="A3876" s="2" t="s">
        <v>1491</v>
      </c>
      <c r="B3876" s="2" t="s">
        <v>785</v>
      </c>
      <c r="C3876" s="2" t="s">
        <v>1478</v>
      </c>
      <c r="D3876" s="2" t="s">
        <v>1479</v>
      </c>
      <c r="E3876" s="2" t="s">
        <v>322</v>
      </c>
      <c r="F3876" s="3">
        <v>55.2</v>
      </c>
      <c r="G3876" s="4">
        <v>24</v>
      </c>
      <c r="H3876" s="5">
        <v>0</v>
      </c>
    </row>
    <row r="3877" spans="1:8" x14ac:dyDescent="0.35">
      <c r="A3877" s="2" t="s">
        <v>1491</v>
      </c>
      <c r="B3877" s="2" t="s">
        <v>785</v>
      </c>
      <c r="C3877" s="2" t="s">
        <v>1480</v>
      </c>
      <c r="D3877" s="2" t="s">
        <v>975</v>
      </c>
      <c r="E3877" s="2" t="s">
        <v>603</v>
      </c>
      <c r="F3877" s="3">
        <v>3392.5</v>
      </c>
      <c r="G3877" s="4">
        <v>36</v>
      </c>
      <c r="H3877" s="5">
        <v>2E-3</v>
      </c>
    </row>
    <row r="3878" spans="1:8" x14ac:dyDescent="0.35">
      <c r="A3878" s="2" t="s">
        <v>1492</v>
      </c>
      <c r="B3878" s="2" t="s">
        <v>785</v>
      </c>
      <c r="C3878" s="2" t="s">
        <v>1467</v>
      </c>
      <c r="D3878" s="2" t="s">
        <v>1468</v>
      </c>
      <c r="E3878" s="2" t="s">
        <v>59</v>
      </c>
      <c r="F3878" s="3">
        <v>55.78</v>
      </c>
      <c r="G3878" s="4">
        <v>24</v>
      </c>
      <c r="H3878" s="5">
        <v>0</v>
      </c>
    </row>
    <row r="3879" spans="1:8" x14ac:dyDescent="0.35">
      <c r="A3879" s="2" t="s">
        <v>1492</v>
      </c>
      <c r="B3879" s="2" t="s">
        <v>785</v>
      </c>
      <c r="C3879" s="2" t="s">
        <v>476</v>
      </c>
      <c r="D3879" s="2" t="s">
        <v>477</v>
      </c>
      <c r="E3879" s="2" t="s">
        <v>92</v>
      </c>
      <c r="F3879" s="3">
        <v>5175</v>
      </c>
      <c r="G3879" s="4">
        <v>48</v>
      </c>
      <c r="H3879" s="5">
        <v>0</v>
      </c>
    </row>
    <row r="3880" spans="1:8" x14ac:dyDescent="0.35">
      <c r="A3880" s="2" t="s">
        <v>1492</v>
      </c>
      <c r="B3880" s="2" t="s">
        <v>785</v>
      </c>
      <c r="C3880" s="2" t="s">
        <v>1469</v>
      </c>
      <c r="D3880" s="2" t="s">
        <v>885</v>
      </c>
      <c r="E3880" s="6" t="s">
        <v>147</v>
      </c>
      <c r="F3880" s="3">
        <v>2500</v>
      </c>
      <c r="G3880" s="4">
        <v>60</v>
      </c>
      <c r="H3880" s="5">
        <v>2E-3</v>
      </c>
    </row>
    <row r="3881" spans="1:8" x14ac:dyDescent="0.35">
      <c r="A3881" s="2" t="s">
        <v>1492</v>
      </c>
      <c r="B3881" s="2" t="s">
        <v>785</v>
      </c>
      <c r="C3881" s="2" t="s">
        <v>1470</v>
      </c>
      <c r="D3881" s="2" t="s">
        <v>1471</v>
      </c>
      <c r="E3881" s="2" t="s">
        <v>226</v>
      </c>
      <c r="F3881" s="3">
        <v>2650</v>
      </c>
      <c r="G3881" s="4">
        <v>60</v>
      </c>
      <c r="H3881" s="5">
        <v>2E-3</v>
      </c>
    </row>
    <row r="3882" spans="1:8" x14ac:dyDescent="0.35">
      <c r="A3882" s="2" t="s">
        <v>1492</v>
      </c>
      <c r="B3882" s="2" t="s">
        <v>785</v>
      </c>
      <c r="C3882" s="2" t="s">
        <v>673</v>
      </c>
      <c r="D3882" s="2" t="s">
        <v>317</v>
      </c>
      <c r="E3882" s="2" t="s">
        <v>248</v>
      </c>
      <c r="F3882" s="3">
        <v>184.8</v>
      </c>
      <c r="G3882" s="4">
        <v>24</v>
      </c>
      <c r="H3882" s="5">
        <v>0</v>
      </c>
    </row>
    <row r="3883" spans="1:8" x14ac:dyDescent="0.35">
      <c r="A3883" s="2" t="s">
        <v>1492</v>
      </c>
      <c r="B3883" s="2" t="s">
        <v>785</v>
      </c>
      <c r="C3883" s="2" t="s">
        <v>1472</v>
      </c>
      <c r="D3883" s="2" t="s">
        <v>1473</v>
      </c>
      <c r="E3883" s="2" t="s">
        <v>271</v>
      </c>
      <c r="F3883" s="3">
        <v>29376.6</v>
      </c>
      <c r="G3883" s="4">
        <v>48</v>
      </c>
      <c r="H3883" s="5">
        <v>1.1999999999999999E-3</v>
      </c>
    </row>
    <row r="3884" spans="1:8" x14ac:dyDescent="0.35">
      <c r="A3884" s="2" t="s">
        <v>1492</v>
      </c>
      <c r="B3884" s="2" t="s">
        <v>785</v>
      </c>
      <c r="C3884" s="2" t="s">
        <v>1474</v>
      </c>
      <c r="D3884" s="2" t="s">
        <v>1475</v>
      </c>
      <c r="E3884" s="6" t="s">
        <v>285</v>
      </c>
      <c r="F3884" s="3">
        <v>7.98</v>
      </c>
      <c r="G3884" s="4">
        <v>24</v>
      </c>
      <c r="H3884" s="5">
        <v>0</v>
      </c>
    </row>
    <row r="3885" spans="1:8" x14ac:dyDescent="0.35">
      <c r="A3885" s="2" t="s">
        <v>1492</v>
      </c>
      <c r="B3885" s="2" t="s">
        <v>785</v>
      </c>
      <c r="C3885" s="2" t="s">
        <v>1476</v>
      </c>
      <c r="D3885" s="2" t="s">
        <v>1477</v>
      </c>
      <c r="E3885" s="2" t="s">
        <v>315</v>
      </c>
      <c r="F3885" s="3">
        <v>65.88</v>
      </c>
      <c r="G3885" s="4">
        <v>24</v>
      </c>
      <c r="H3885" s="5">
        <v>0</v>
      </c>
    </row>
    <row r="3886" spans="1:8" x14ac:dyDescent="0.35">
      <c r="A3886" s="2" t="s">
        <v>1492</v>
      </c>
      <c r="B3886" s="2" t="s">
        <v>785</v>
      </c>
      <c r="C3886" s="2" t="s">
        <v>1478</v>
      </c>
      <c r="D3886" s="2" t="s">
        <v>1479</v>
      </c>
      <c r="E3886" s="2" t="s">
        <v>322</v>
      </c>
      <c r="F3886" s="3">
        <v>35.99</v>
      </c>
      <c r="G3886" s="4">
        <v>24</v>
      </c>
      <c r="H3886" s="5">
        <v>0</v>
      </c>
    </row>
    <row r="3887" spans="1:8" x14ac:dyDescent="0.35">
      <c r="A3887" s="2" t="s">
        <v>1492</v>
      </c>
      <c r="B3887" s="2" t="s">
        <v>785</v>
      </c>
      <c r="C3887" s="2" t="s">
        <v>1480</v>
      </c>
      <c r="D3887" s="2" t="s">
        <v>975</v>
      </c>
      <c r="E3887" s="2" t="s">
        <v>603</v>
      </c>
      <c r="F3887" s="3">
        <v>690</v>
      </c>
      <c r="G3887" s="4">
        <v>36</v>
      </c>
      <c r="H3887" s="5">
        <v>2E-3</v>
      </c>
    </row>
    <row r="3888" spans="1:8" x14ac:dyDescent="0.35">
      <c r="A3888" s="2" t="s">
        <v>1493</v>
      </c>
      <c r="B3888" s="2" t="s">
        <v>785</v>
      </c>
      <c r="C3888" s="2" t="s">
        <v>1467</v>
      </c>
      <c r="D3888" s="2" t="s">
        <v>1468</v>
      </c>
      <c r="E3888" s="2" t="s">
        <v>59</v>
      </c>
      <c r="F3888" s="3">
        <v>55.78</v>
      </c>
      <c r="G3888" s="4">
        <v>24</v>
      </c>
      <c r="H3888" s="5">
        <v>0</v>
      </c>
    </row>
    <row r="3889" spans="1:8" x14ac:dyDescent="0.35">
      <c r="A3889" s="2" t="s">
        <v>1493</v>
      </c>
      <c r="B3889" s="2" t="s">
        <v>785</v>
      </c>
      <c r="C3889" s="2" t="s">
        <v>476</v>
      </c>
      <c r="D3889" s="2" t="s">
        <v>477</v>
      </c>
      <c r="E3889" s="2" t="s">
        <v>92</v>
      </c>
      <c r="F3889" s="3">
        <v>5175</v>
      </c>
      <c r="G3889" s="4">
        <v>48</v>
      </c>
      <c r="H3889" s="5">
        <v>2E-3</v>
      </c>
    </row>
    <row r="3890" spans="1:8" x14ac:dyDescent="0.35">
      <c r="A3890" s="2" t="s">
        <v>1493</v>
      </c>
      <c r="B3890" s="2" t="s">
        <v>785</v>
      </c>
      <c r="C3890" s="2" t="s">
        <v>1469</v>
      </c>
      <c r="D3890" s="2" t="s">
        <v>885</v>
      </c>
      <c r="E3890" s="6" t="s">
        <v>147</v>
      </c>
      <c r="F3890" s="3">
        <v>2766.68</v>
      </c>
      <c r="G3890" s="4">
        <v>60</v>
      </c>
      <c r="H3890" s="5">
        <v>2E-3</v>
      </c>
    </row>
    <row r="3891" spans="1:8" x14ac:dyDescent="0.35">
      <c r="A3891" s="2" t="s">
        <v>1493</v>
      </c>
      <c r="B3891" s="2" t="s">
        <v>785</v>
      </c>
      <c r="C3891" s="2" t="s">
        <v>1470</v>
      </c>
      <c r="D3891" s="2" t="s">
        <v>1471</v>
      </c>
      <c r="E3891" s="2" t="s">
        <v>226</v>
      </c>
      <c r="F3891" s="3">
        <v>4872.04</v>
      </c>
      <c r="G3891" s="4">
        <v>60</v>
      </c>
      <c r="H3891" s="5">
        <v>2E-3</v>
      </c>
    </row>
    <row r="3892" spans="1:8" x14ac:dyDescent="0.35">
      <c r="A3892" s="2" t="s">
        <v>1493</v>
      </c>
      <c r="B3892" s="2" t="s">
        <v>785</v>
      </c>
      <c r="C3892" s="2" t="s">
        <v>673</v>
      </c>
      <c r="D3892" s="2" t="s">
        <v>317</v>
      </c>
      <c r="E3892" s="2" t="s">
        <v>248</v>
      </c>
      <c r="F3892" s="3">
        <v>237.76</v>
      </c>
      <c r="G3892" s="4">
        <v>24</v>
      </c>
      <c r="H3892" s="5">
        <v>0</v>
      </c>
    </row>
    <row r="3893" spans="1:8" x14ac:dyDescent="0.35">
      <c r="A3893" s="2" t="s">
        <v>1493</v>
      </c>
      <c r="B3893" s="2" t="s">
        <v>785</v>
      </c>
      <c r="C3893" s="2" t="s">
        <v>1472</v>
      </c>
      <c r="D3893" s="2" t="s">
        <v>1473</v>
      </c>
      <c r="E3893" s="2" t="s">
        <v>271</v>
      </c>
      <c r="F3893" s="3">
        <v>29376.6</v>
      </c>
      <c r="G3893" s="4">
        <v>48</v>
      </c>
      <c r="H3893" s="5">
        <v>1.1999999999999999E-3</v>
      </c>
    </row>
    <row r="3894" spans="1:8" x14ac:dyDescent="0.35">
      <c r="A3894" s="2" t="s">
        <v>1493</v>
      </c>
      <c r="B3894" s="2" t="s">
        <v>785</v>
      </c>
      <c r="C3894" s="2" t="s">
        <v>1474</v>
      </c>
      <c r="D3894" s="2" t="s">
        <v>1475</v>
      </c>
      <c r="E3894" s="6" t="s">
        <v>285</v>
      </c>
      <c r="F3894" s="3">
        <v>200</v>
      </c>
      <c r="G3894" s="4">
        <v>24</v>
      </c>
      <c r="H3894" s="5">
        <v>0</v>
      </c>
    </row>
    <row r="3895" spans="1:8" x14ac:dyDescent="0.35">
      <c r="A3895" s="2" t="s">
        <v>1493</v>
      </c>
      <c r="B3895" s="2" t="s">
        <v>785</v>
      </c>
      <c r="C3895" s="2" t="s">
        <v>1476</v>
      </c>
      <c r="D3895" s="2" t="s">
        <v>1477</v>
      </c>
      <c r="E3895" s="2" t="s">
        <v>315</v>
      </c>
      <c r="F3895" s="3">
        <v>134.55000000000001</v>
      </c>
      <c r="G3895" s="4">
        <v>24</v>
      </c>
      <c r="H3895" s="5">
        <v>0</v>
      </c>
    </row>
    <row r="3896" spans="1:8" x14ac:dyDescent="0.35">
      <c r="A3896" s="2" t="s">
        <v>1493</v>
      </c>
      <c r="B3896" s="2" t="s">
        <v>785</v>
      </c>
      <c r="C3896" s="2" t="s">
        <v>1478</v>
      </c>
      <c r="D3896" s="2" t="s">
        <v>1479</v>
      </c>
      <c r="E3896" s="2" t="s">
        <v>322</v>
      </c>
      <c r="F3896" s="3">
        <v>55.2</v>
      </c>
      <c r="G3896" s="4">
        <v>24</v>
      </c>
      <c r="H3896" s="5">
        <v>0</v>
      </c>
    </row>
    <row r="3897" spans="1:8" x14ac:dyDescent="0.35">
      <c r="A3897" s="2" t="s">
        <v>1493</v>
      </c>
      <c r="B3897" s="2" t="s">
        <v>785</v>
      </c>
      <c r="C3897" s="2" t="s">
        <v>1480</v>
      </c>
      <c r="D3897" s="2" t="s">
        <v>975</v>
      </c>
      <c r="E3897" s="2" t="s">
        <v>603</v>
      </c>
      <c r="F3897" s="3">
        <v>3392.5</v>
      </c>
      <c r="G3897" s="4">
        <v>36</v>
      </c>
      <c r="H3897" s="5">
        <v>2E-3</v>
      </c>
    </row>
    <row r="3898" spans="1:8" x14ac:dyDescent="0.35">
      <c r="A3898" s="2" t="s">
        <v>1494</v>
      </c>
      <c r="B3898" s="2" t="s">
        <v>785</v>
      </c>
      <c r="C3898" s="2" t="s">
        <v>1483</v>
      </c>
      <c r="D3898" s="2" t="s">
        <v>841</v>
      </c>
      <c r="E3898" s="2" t="s">
        <v>46</v>
      </c>
      <c r="F3898" s="3">
        <v>2100</v>
      </c>
      <c r="G3898" s="4">
        <v>36</v>
      </c>
      <c r="H3898" s="5">
        <v>2E-3</v>
      </c>
    </row>
    <row r="3899" spans="1:8" x14ac:dyDescent="0.35">
      <c r="A3899" s="2" t="s">
        <v>1494</v>
      </c>
      <c r="B3899" s="2" t="s">
        <v>785</v>
      </c>
      <c r="C3899" s="2" t="s">
        <v>1467</v>
      </c>
      <c r="D3899" s="2" t="s">
        <v>1468</v>
      </c>
      <c r="E3899" s="2" t="s">
        <v>59</v>
      </c>
      <c r="F3899" s="3">
        <v>55.78</v>
      </c>
      <c r="G3899" s="4">
        <v>24</v>
      </c>
      <c r="H3899" s="5">
        <v>0</v>
      </c>
    </row>
    <row r="3900" spans="1:8" x14ac:dyDescent="0.35">
      <c r="A3900" s="2" t="s">
        <v>1494</v>
      </c>
      <c r="B3900" s="2" t="s">
        <v>785</v>
      </c>
      <c r="C3900" s="2" t="s">
        <v>476</v>
      </c>
      <c r="D3900" s="2" t="s">
        <v>477</v>
      </c>
      <c r="E3900" s="2" t="s">
        <v>92</v>
      </c>
      <c r="F3900" s="3">
        <v>5175</v>
      </c>
      <c r="G3900" s="4">
        <v>48</v>
      </c>
      <c r="H3900" s="5">
        <v>2E-3</v>
      </c>
    </row>
    <row r="3901" spans="1:8" x14ac:dyDescent="0.35">
      <c r="A3901" s="2" t="s">
        <v>1494</v>
      </c>
      <c r="B3901" s="2" t="s">
        <v>785</v>
      </c>
      <c r="C3901" s="2" t="s">
        <v>1495</v>
      </c>
      <c r="D3901" s="2" t="s">
        <v>1496</v>
      </c>
      <c r="E3901" s="2" t="s">
        <v>1123</v>
      </c>
      <c r="F3901" s="3">
        <v>50</v>
      </c>
      <c r="G3901" s="4">
        <v>24</v>
      </c>
      <c r="H3901" s="5">
        <v>0</v>
      </c>
    </row>
    <row r="3902" spans="1:8" x14ac:dyDescent="0.35">
      <c r="A3902" s="2" t="s">
        <v>1494</v>
      </c>
      <c r="B3902" s="2" t="s">
        <v>785</v>
      </c>
      <c r="C3902" s="2" t="s">
        <v>1469</v>
      </c>
      <c r="D3902" s="2" t="s">
        <v>885</v>
      </c>
      <c r="E3902" s="6" t="s">
        <v>147</v>
      </c>
      <c r="F3902" s="3">
        <v>2766.68</v>
      </c>
      <c r="G3902" s="4">
        <v>60</v>
      </c>
      <c r="H3902" s="5">
        <v>2E-3</v>
      </c>
    </row>
    <row r="3903" spans="1:8" x14ac:dyDescent="0.35">
      <c r="A3903" s="2" t="s">
        <v>1494</v>
      </c>
      <c r="B3903" s="2" t="s">
        <v>785</v>
      </c>
      <c r="C3903" s="2" t="s">
        <v>673</v>
      </c>
      <c r="D3903" s="2" t="s">
        <v>317</v>
      </c>
      <c r="E3903" s="2" t="s">
        <v>248</v>
      </c>
      <c r="F3903" s="3">
        <v>237.76</v>
      </c>
      <c r="G3903" s="4">
        <v>24</v>
      </c>
      <c r="H3903" s="5">
        <v>0</v>
      </c>
    </row>
    <row r="3904" spans="1:8" x14ac:dyDescent="0.35">
      <c r="A3904" s="2" t="s">
        <v>1494</v>
      </c>
      <c r="B3904" s="2" t="s">
        <v>785</v>
      </c>
      <c r="C3904" s="2" t="s">
        <v>1472</v>
      </c>
      <c r="D3904" s="2" t="s">
        <v>1473</v>
      </c>
      <c r="E3904" s="2" t="s">
        <v>271</v>
      </c>
      <c r="F3904" s="3">
        <v>29376.6</v>
      </c>
      <c r="G3904" s="4">
        <v>48</v>
      </c>
      <c r="H3904" s="5">
        <v>1.1999999999999999E-3</v>
      </c>
    </row>
    <row r="3905" spans="1:8" x14ac:dyDescent="0.35">
      <c r="A3905" s="2" t="s">
        <v>1494</v>
      </c>
      <c r="B3905" s="2" t="s">
        <v>785</v>
      </c>
      <c r="C3905" s="2" t="s">
        <v>1474</v>
      </c>
      <c r="D3905" s="2" t="s">
        <v>1475</v>
      </c>
      <c r="E3905" s="6" t="s">
        <v>285</v>
      </c>
      <c r="F3905" s="3">
        <v>200</v>
      </c>
      <c r="G3905" s="4">
        <v>24</v>
      </c>
      <c r="H3905" s="5">
        <v>0</v>
      </c>
    </row>
    <row r="3906" spans="1:8" x14ac:dyDescent="0.35">
      <c r="A3906" s="2" t="s">
        <v>1494</v>
      </c>
      <c r="B3906" s="2" t="s">
        <v>785</v>
      </c>
      <c r="C3906" s="2" t="s">
        <v>1484</v>
      </c>
      <c r="D3906" s="2" t="s">
        <v>835</v>
      </c>
      <c r="E3906" s="2" t="s">
        <v>836</v>
      </c>
      <c r="F3906" s="3">
        <v>70.14</v>
      </c>
      <c r="G3906" s="4">
        <v>24</v>
      </c>
      <c r="H3906" s="5">
        <v>0</v>
      </c>
    </row>
    <row r="3907" spans="1:8" x14ac:dyDescent="0.35">
      <c r="A3907" s="2" t="s">
        <v>1494</v>
      </c>
      <c r="B3907" s="2" t="s">
        <v>785</v>
      </c>
      <c r="C3907" s="2" t="s">
        <v>1476</v>
      </c>
      <c r="D3907" s="2" t="s">
        <v>1477</v>
      </c>
      <c r="E3907" s="2" t="s">
        <v>315</v>
      </c>
      <c r="F3907" s="3">
        <v>134.55000000000001</v>
      </c>
      <c r="G3907" s="4">
        <v>24</v>
      </c>
      <c r="H3907" s="5">
        <v>0</v>
      </c>
    </row>
    <row r="3908" spans="1:8" x14ac:dyDescent="0.35">
      <c r="A3908" s="2" t="s">
        <v>1494</v>
      </c>
      <c r="B3908" s="2" t="s">
        <v>785</v>
      </c>
      <c r="C3908" s="2" t="s">
        <v>1485</v>
      </c>
      <c r="D3908" s="2" t="s">
        <v>1486</v>
      </c>
      <c r="E3908" s="2" t="s">
        <v>115</v>
      </c>
      <c r="F3908" s="3">
        <v>99.94</v>
      </c>
      <c r="G3908" s="4">
        <v>24</v>
      </c>
      <c r="H3908" s="5">
        <v>0</v>
      </c>
    </row>
    <row r="3909" spans="1:8" x14ac:dyDescent="0.35">
      <c r="A3909" s="2" t="s">
        <v>1494</v>
      </c>
      <c r="B3909" s="2" t="s">
        <v>785</v>
      </c>
      <c r="C3909" s="2" t="s">
        <v>1478</v>
      </c>
      <c r="D3909" s="2" t="s">
        <v>1479</v>
      </c>
      <c r="E3909" s="2" t="s">
        <v>322</v>
      </c>
      <c r="F3909" s="3">
        <v>55.2</v>
      </c>
      <c r="G3909" s="4">
        <v>24</v>
      </c>
      <c r="H3909" s="5">
        <v>0</v>
      </c>
    </row>
    <row r="3910" spans="1:8" x14ac:dyDescent="0.35">
      <c r="A3910" s="2" t="s">
        <v>1494</v>
      </c>
      <c r="B3910" s="2" t="s">
        <v>785</v>
      </c>
      <c r="C3910" s="2" t="s">
        <v>1480</v>
      </c>
      <c r="D3910" s="2" t="s">
        <v>975</v>
      </c>
      <c r="E3910" s="2" t="s">
        <v>603</v>
      </c>
      <c r="F3910" s="3">
        <v>3392.5</v>
      </c>
      <c r="G3910" s="4">
        <v>36</v>
      </c>
      <c r="H3910" s="5">
        <v>2E-3</v>
      </c>
    </row>
    <row r="3911" spans="1:8" ht="26" x14ac:dyDescent="0.35">
      <c r="A3911" s="2" t="s">
        <v>1497</v>
      </c>
      <c r="B3911" s="2" t="s">
        <v>785</v>
      </c>
      <c r="C3911" s="2" t="s">
        <v>1467</v>
      </c>
      <c r="D3911" s="2" t="s">
        <v>1468</v>
      </c>
      <c r="E3911" s="2" t="s">
        <v>59</v>
      </c>
      <c r="F3911" s="3">
        <v>55.78</v>
      </c>
      <c r="G3911" s="4">
        <v>24</v>
      </c>
      <c r="H3911" s="5">
        <v>0</v>
      </c>
    </row>
    <row r="3912" spans="1:8" ht="26" x14ac:dyDescent="0.35">
      <c r="A3912" s="2" t="s">
        <v>1497</v>
      </c>
      <c r="B3912" s="2" t="s">
        <v>785</v>
      </c>
      <c r="C3912" s="2" t="s">
        <v>476</v>
      </c>
      <c r="D3912" s="2" t="s">
        <v>477</v>
      </c>
      <c r="E3912" s="2" t="s">
        <v>92</v>
      </c>
      <c r="F3912" s="3">
        <v>5175</v>
      </c>
      <c r="G3912" s="4">
        <v>36</v>
      </c>
      <c r="H3912" s="5">
        <v>0.2</v>
      </c>
    </row>
    <row r="3913" spans="1:8" ht="26" x14ac:dyDescent="0.35">
      <c r="A3913" s="2" t="s">
        <v>1497</v>
      </c>
      <c r="B3913" s="2" t="s">
        <v>785</v>
      </c>
      <c r="C3913" s="2" t="s">
        <v>673</v>
      </c>
      <c r="D3913" s="2" t="s">
        <v>317</v>
      </c>
      <c r="E3913" s="2" t="s">
        <v>248</v>
      </c>
      <c r="F3913" s="3">
        <v>237.76</v>
      </c>
      <c r="G3913" s="4">
        <v>24</v>
      </c>
      <c r="H3913" s="5">
        <v>0</v>
      </c>
    </row>
    <row r="3914" spans="1:8" ht="26" x14ac:dyDescent="0.35">
      <c r="A3914" s="2" t="s">
        <v>1497</v>
      </c>
      <c r="B3914" s="2" t="s">
        <v>785</v>
      </c>
      <c r="C3914" s="2" t="s">
        <v>1484</v>
      </c>
      <c r="D3914" s="2" t="s">
        <v>835</v>
      </c>
      <c r="E3914" s="2" t="s">
        <v>836</v>
      </c>
      <c r="F3914" s="3">
        <v>70.14</v>
      </c>
      <c r="G3914" s="4">
        <v>24</v>
      </c>
      <c r="H3914" s="5">
        <v>0</v>
      </c>
    </row>
    <row r="3915" spans="1:8" ht="26" x14ac:dyDescent="0.35">
      <c r="A3915" s="2" t="s">
        <v>1497</v>
      </c>
      <c r="B3915" s="2" t="s">
        <v>785</v>
      </c>
      <c r="C3915" s="2" t="s">
        <v>1476</v>
      </c>
      <c r="D3915" s="2" t="s">
        <v>1477</v>
      </c>
      <c r="E3915" s="2" t="s">
        <v>315</v>
      </c>
      <c r="F3915" s="3">
        <v>134.55000000000001</v>
      </c>
      <c r="G3915" s="4">
        <v>24</v>
      </c>
      <c r="H3915" s="5">
        <v>0</v>
      </c>
    </row>
    <row r="3916" spans="1:8" ht="26" x14ac:dyDescent="0.35">
      <c r="A3916" s="2" t="s">
        <v>1497</v>
      </c>
      <c r="B3916" s="2" t="s">
        <v>785</v>
      </c>
      <c r="C3916" s="2" t="s">
        <v>1485</v>
      </c>
      <c r="D3916" s="2" t="s">
        <v>1486</v>
      </c>
      <c r="E3916" s="2" t="s">
        <v>115</v>
      </c>
      <c r="F3916" s="3">
        <v>99.94</v>
      </c>
      <c r="G3916" s="4">
        <v>24</v>
      </c>
      <c r="H3916" s="5">
        <v>0</v>
      </c>
    </row>
    <row r="3917" spans="1:8" ht="26" x14ac:dyDescent="0.35">
      <c r="A3917" s="2" t="s">
        <v>1497</v>
      </c>
      <c r="B3917" s="2" t="s">
        <v>785</v>
      </c>
      <c r="C3917" s="2" t="s">
        <v>1478</v>
      </c>
      <c r="D3917" s="2" t="s">
        <v>1479</v>
      </c>
      <c r="E3917" s="2" t="s">
        <v>322</v>
      </c>
      <c r="F3917" s="3">
        <v>55.2</v>
      </c>
      <c r="G3917" s="4">
        <v>24</v>
      </c>
      <c r="H3917" s="5">
        <v>0</v>
      </c>
    </row>
    <row r="3918" spans="1:8" x14ac:dyDescent="0.35">
      <c r="A3918" s="2" t="s">
        <v>1498</v>
      </c>
      <c r="B3918" s="2" t="s">
        <v>785</v>
      </c>
      <c r="C3918" s="2" t="s">
        <v>1467</v>
      </c>
      <c r="D3918" s="2" t="s">
        <v>1468</v>
      </c>
      <c r="E3918" s="2" t="s">
        <v>59</v>
      </c>
      <c r="F3918" s="3">
        <v>55.78</v>
      </c>
      <c r="G3918" s="4">
        <v>24</v>
      </c>
      <c r="H3918" s="5">
        <v>0</v>
      </c>
    </row>
    <row r="3919" spans="1:8" x14ac:dyDescent="0.35">
      <c r="A3919" s="2" t="s">
        <v>1498</v>
      </c>
      <c r="B3919" s="2" t="s">
        <v>785</v>
      </c>
      <c r="C3919" s="2" t="s">
        <v>476</v>
      </c>
      <c r="D3919" s="2" t="s">
        <v>477</v>
      </c>
      <c r="E3919" s="2" t="s">
        <v>92</v>
      </c>
      <c r="F3919" s="3">
        <v>5175</v>
      </c>
      <c r="G3919" s="4">
        <v>48</v>
      </c>
      <c r="H3919" s="5">
        <v>0</v>
      </c>
    </row>
    <row r="3920" spans="1:8" x14ac:dyDescent="0.35">
      <c r="A3920" s="2" t="s">
        <v>1498</v>
      </c>
      <c r="B3920" s="2" t="s">
        <v>785</v>
      </c>
      <c r="C3920" s="2" t="s">
        <v>1469</v>
      </c>
      <c r="D3920" s="2" t="s">
        <v>885</v>
      </c>
      <c r="E3920" s="6" t="s">
        <v>147</v>
      </c>
      <c r="F3920" s="3">
        <v>2766.68</v>
      </c>
      <c r="G3920" s="4">
        <v>60</v>
      </c>
      <c r="H3920" s="5">
        <v>0.2</v>
      </c>
    </row>
    <row r="3921" spans="1:8" x14ac:dyDescent="0.35">
      <c r="A3921" s="2" t="s">
        <v>1498</v>
      </c>
      <c r="B3921" s="2" t="s">
        <v>785</v>
      </c>
      <c r="C3921" s="2" t="s">
        <v>1470</v>
      </c>
      <c r="D3921" s="2" t="s">
        <v>1471</v>
      </c>
      <c r="E3921" s="2" t="s">
        <v>226</v>
      </c>
      <c r="F3921" s="3">
        <v>4872.04</v>
      </c>
      <c r="G3921" s="4">
        <v>60</v>
      </c>
      <c r="H3921" s="5">
        <v>0.2</v>
      </c>
    </row>
    <row r="3922" spans="1:8" x14ac:dyDescent="0.35">
      <c r="A3922" s="2" t="s">
        <v>1498</v>
      </c>
      <c r="B3922" s="2" t="s">
        <v>785</v>
      </c>
      <c r="C3922" s="2" t="s">
        <v>673</v>
      </c>
      <c r="D3922" s="2" t="s">
        <v>317</v>
      </c>
      <c r="E3922" s="2" t="s">
        <v>248</v>
      </c>
      <c r="F3922" s="3">
        <v>237.76</v>
      </c>
      <c r="G3922" s="4">
        <v>24</v>
      </c>
      <c r="H3922" s="5">
        <v>0</v>
      </c>
    </row>
    <row r="3923" spans="1:8" x14ac:dyDescent="0.35">
      <c r="A3923" s="2" t="s">
        <v>1498</v>
      </c>
      <c r="B3923" s="2" t="s">
        <v>785</v>
      </c>
      <c r="C3923" s="2" t="s">
        <v>1472</v>
      </c>
      <c r="D3923" s="2" t="s">
        <v>1473</v>
      </c>
      <c r="E3923" s="2" t="s">
        <v>271</v>
      </c>
      <c r="F3923" s="3">
        <v>29376.6</v>
      </c>
      <c r="G3923" s="4">
        <v>48</v>
      </c>
      <c r="H3923" s="5">
        <v>0.12</v>
      </c>
    </row>
    <row r="3924" spans="1:8" x14ac:dyDescent="0.35">
      <c r="A3924" s="2" t="s">
        <v>1498</v>
      </c>
      <c r="B3924" s="2" t="s">
        <v>785</v>
      </c>
      <c r="C3924" s="2" t="s">
        <v>1474</v>
      </c>
      <c r="D3924" s="2" t="s">
        <v>1475</v>
      </c>
      <c r="E3924" s="6" t="s">
        <v>285</v>
      </c>
      <c r="F3924" s="3">
        <v>200</v>
      </c>
      <c r="G3924" s="4">
        <v>24</v>
      </c>
      <c r="H3924" s="5">
        <v>0</v>
      </c>
    </row>
    <row r="3925" spans="1:8" x14ac:dyDescent="0.35">
      <c r="A3925" s="2" t="s">
        <v>1498</v>
      </c>
      <c r="B3925" s="2" t="s">
        <v>785</v>
      </c>
      <c r="C3925" s="2" t="s">
        <v>1476</v>
      </c>
      <c r="D3925" s="2" t="s">
        <v>1477</v>
      </c>
      <c r="E3925" s="2" t="s">
        <v>315</v>
      </c>
      <c r="F3925" s="3">
        <v>134.55000000000001</v>
      </c>
      <c r="G3925" s="4">
        <v>24</v>
      </c>
      <c r="H3925" s="5">
        <v>0</v>
      </c>
    </row>
    <row r="3926" spans="1:8" x14ac:dyDescent="0.35">
      <c r="A3926" s="2" t="s">
        <v>1498</v>
      </c>
      <c r="B3926" s="2" t="s">
        <v>785</v>
      </c>
      <c r="C3926" s="2" t="s">
        <v>1478</v>
      </c>
      <c r="D3926" s="2" t="s">
        <v>1479</v>
      </c>
      <c r="E3926" s="2" t="s">
        <v>322</v>
      </c>
      <c r="F3926" s="3">
        <v>55.2</v>
      </c>
      <c r="G3926" s="4">
        <v>24</v>
      </c>
      <c r="H3926" s="5">
        <v>0</v>
      </c>
    </row>
    <row r="3927" spans="1:8" x14ac:dyDescent="0.35">
      <c r="A3927" s="2" t="s">
        <v>1498</v>
      </c>
      <c r="B3927" s="2" t="s">
        <v>785</v>
      </c>
      <c r="C3927" s="2" t="s">
        <v>1480</v>
      </c>
      <c r="D3927" s="2" t="s">
        <v>975</v>
      </c>
      <c r="E3927" s="2" t="s">
        <v>603</v>
      </c>
      <c r="F3927" s="3">
        <v>3392.5</v>
      </c>
      <c r="G3927" s="4">
        <v>48</v>
      </c>
      <c r="H3927" s="5">
        <v>0.2</v>
      </c>
    </row>
    <row r="3928" spans="1:8" x14ac:dyDescent="0.35">
      <c r="A3928" s="2" t="s">
        <v>1499</v>
      </c>
      <c r="B3928" s="2" t="s">
        <v>20</v>
      </c>
      <c r="C3928" s="9" t="s">
        <v>1500</v>
      </c>
      <c r="D3928" s="2" t="str">
        <f t="shared" ref="D3928:D3959" si="0">SUBSTITUTE(SUBSTITUTE(SUBSTITUTE(SUBSTITUTE(SUBSTITUTE(SUBSTITUTE(LOWER(C3928),"(/)",""),"(/",""),"/)",""),"(",""),")",""),"  "," ")</f>
        <v>carros funcional - hamper com e sem fechamentos bralimpia</v>
      </c>
      <c r="E3928" s="2" t="s">
        <v>92</v>
      </c>
      <c r="F3928" s="9"/>
      <c r="G3928" s="9"/>
      <c r="H3928" s="9"/>
    </row>
    <row r="3929" spans="1:8" x14ac:dyDescent="0.35">
      <c r="A3929" s="2" t="s">
        <v>1499</v>
      </c>
      <c r="B3929" s="2" t="s">
        <v>20</v>
      </c>
      <c r="C3929" s="9" t="s">
        <v>1501</v>
      </c>
      <c r="D3929" s="2" t="str">
        <f t="shared" si="0"/>
        <v>carro funcional - guard bralimpia</v>
      </c>
      <c r="E3929" s="2" t="s">
        <v>92</v>
      </c>
      <c r="F3929" s="9"/>
      <c r="G3929" s="9"/>
      <c r="H3929" s="9"/>
    </row>
    <row r="3930" spans="1:8" x14ac:dyDescent="0.35">
      <c r="A3930" s="2" t="s">
        <v>1499</v>
      </c>
      <c r="B3930" s="2" t="s">
        <v>20</v>
      </c>
      <c r="C3930" s="9" t="s">
        <v>1502</v>
      </c>
      <c r="D3930" s="2" t="str">
        <f t="shared" si="0"/>
        <v>carro funcional - américa bralimpia</v>
      </c>
      <c r="E3930" s="2" t="s">
        <v>92</v>
      </c>
      <c r="F3930" s="9"/>
      <c r="G3930" s="9"/>
      <c r="H3930" s="9"/>
    </row>
    <row r="3931" spans="1:8" x14ac:dyDescent="0.35">
      <c r="A3931" s="2" t="s">
        <v>1499</v>
      </c>
      <c r="B3931" s="2" t="s">
        <v>20</v>
      </c>
      <c r="C3931" s="9" t="s">
        <v>1503</v>
      </c>
      <c r="D3931" s="2" t="str">
        <f t="shared" si="0"/>
        <v>carro funcional - black bralimpia</v>
      </c>
      <c r="E3931" s="2" t="s">
        <v>92</v>
      </c>
      <c r="F3931" s="9"/>
      <c r="G3931" s="9"/>
      <c r="H3931" s="9"/>
    </row>
    <row r="3932" spans="1:8" x14ac:dyDescent="0.35">
      <c r="A3932" s="2" t="s">
        <v>1499</v>
      </c>
      <c r="B3932" s="2" t="s">
        <v>20</v>
      </c>
      <c r="C3932" s="9" t="s">
        <v>1504</v>
      </c>
      <c r="D3932" s="2" t="str">
        <f t="shared" si="0"/>
        <v>carro funcional - américa pan bralimpia</v>
      </c>
      <c r="E3932" s="2" t="s">
        <v>92</v>
      </c>
      <c r="F3932" s="9"/>
      <c r="G3932" s="9"/>
      <c r="H3932" s="9"/>
    </row>
    <row r="3933" spans="1:8" x14ac:dyDescent="0.35">
      <c r="A3933" s="2" t="s">
        <v>1499</v>
      </c>
      <c r="B3933" s="2" t="s">
        <v>20</v>
      </c>
      <c r="C3933" s="9" t="s">
        <v>1505</v>
      </c>
      <c r="D3933" s="2" t="str">
        <f t="shared" si="0"/>
        <v>carro funcional - tubular master e compaq bralimpia</v>
      </c>
      <c r="E3933" s="2" t="s">
        <v>92</v>
      </c>
      <c r="F3933" s="9"/>
      <c r="G3933" s="9"/>
      <c r="H3933" s="9"/>
    </row>
    <row r="3934" spans="1:8" x14ac:dyDescent="0.35">
      <c r="A3934" s="2" t="s">
        <v>1499</v>
      </c>
      <c r="B3934" s="2" t="s">
        <v>20</v>
      </c>
      <c r="C3934" s="9" t="s">
        <v>1506</v>
      </c>
      <c r="D3934" s="6" t="str">
        <f t="shared" si="0"/>
        <v>carro funcional romher</v>
      </c>
      <c r="E3934" s="2" t="s">
        <v>92</v>
      </c>
      <c r="F3934" s="9"/>
      <c r="G3934" s="9"/>
      <c r="H3934" s="9"/>
    </row>
    <row r="3935" spans="1:8" x14ac:dyDescent="0.35">
      <c r="A3935" s="2" t="s">
        <v>1499</v>
      </c>
      <c r="B3935" s="2" t="s">
        <v>20</v>
      </c>
      <c r="C3935" s="9" t="s">
        <v>1507</v>
      </c>
      <c r="D3935" s="6" t="str">
        <f t="shared" si="0"/>
        <v>c.x305 - lavadora de alta pressão oertzen hako do brasil</v>
      </c>
      <c r="E3935" s="2" t="s">
        <v>226</v>
      </c>
      <c r="F3935" s="9"/>
      <c r="G3935" s="9"/>
      <c r="H3935" s="9"/>
    </row>
    <row r="3936" spans="1:8" x14ac:dyDescent="0.35">
      <c r="A3936" s="2" t="s">
        <v>1499</v>
      </c>
      <c r="B3936" s="2" t="s">
        <v>20</v>
      </c>
      <c r="C3936" s="9" t="s">
        <v>1508</v>
      </c>
      <c r="D3936" s="6" t="str">
        <f t="shared" si="0"/>
        <v>c170-9 e - lavadora de alta pressão oertzen hako do brasil</v>
      </c>
      <c r="E3936" s="2" t="s">
        <v>226</v>
      </c>
      <c r="F3936" s="9"/>
      <c r="G3936" s="9"/>
      <c r="H3936" s="9"/>
    </row>
    <row r="3937" spans="1:8" x14ac:dyDescent="0.35">
      <c r="A3937" s="2" t="s">
        <v>1499</v>
      </c>
      <c r="B3937" s="2" t="s">
        <v>20</v>
      </c>
      <c r="C3937" s="9" t="s">
        <v>1509</v>
      </c>
      <c r="D3937" s="6" t="str">
        <f t="shared" si="0"/>
        <v>c.x322 - lavadora de alta pressão oertzen hako do brasil</v>
      </c>
      <c r="E3937" s="2" t="s">
        <v>226</v>
      </c>
      <c r="F3937" s="9"/>
      <c r="G3937" s="9"/>
      <c r="H3937" s="9"/>
    </row>
    <row r="3938" spans="1:8" x14ac:dyDescent="0.35">
      <c r="A3938" s="2" t="s">
        <v>1499</v>
      </c>
      <c r="B3938" s="2" t="s">
        <v>20</v>
      </c>
      <c r="C3938" s="9" t="s">
        <v>1510</v>
      </c>
      <c r="D3938" s="6" t="str">
        <f t="shared" si="0"/>
        <v>c230-15 e - lavadora de alta pressão oertzen hako do brasil</v>
      </c>
      <c r="E3938" s="2" t="s">
        <v>226</v>
      </c>
      <c r="F3938" s="9"/>
      <c r="G3938" s="9"/>
      <c r="H3938" s="9"/>
    </row>
    <row r="3939" spans="1:8" x14ac:dyDescent="0.35">
      <c r="A3939" s="2" t="s">
        <v>1499</v>
      </c>
      <c r="B3939" s="2" t="s">
        <v>20</v>
      </c>
      <c r="C3939" s="9" t="s">
        <v>1511</v>
      </c>
      <c r="D3939" s="6" t="str">
        <f t="shared" si="0"/>
        <v>c310-21 e - lavadora de alta pressão oertzen hako do brasil</v>
      </c>
      <c r="E3939" s="2" t="s">
        <v>226</v>
      </c>
      <c r="F3939" s="9"/>
      <c r="G3939" s="9"/>
      <c r="H3939" s="9"/>
    </row>
    <row r="3940" spans="1:8" x14ac:dyDescent="0.35">
      <c r="A3940" s="2" t="s">
        <v>1499</v>
      </c>
      <c r="B3940" s="2" t="s">
        <v>20</v>
      </c>
      <c r="C3940" s="9" t="s">
        <v>1512</v>
      </c>
      <c r="D3940" s="6" t="str">
        <f t="shared" si="0"/>
        <v>c500-16 e - lavadora de alta pressão oertzen hako do brasil</v>
      </c>
      <c r="E3940" s="2" t="s">
        <v>226</v>
      </c>
      <c r="F3940" s="9"/>
      <c r="G3940" s="9"/>
      <c r="H3940" s="9"/>
    </row>
    <row r="3941" spans="1:8" x14ac:dyDescent="0.35">
      <c r="A3941" s="2" t="s">
        <v>1499</v>
      </c>
      <c r="B3941" s="2" t="s">
        <v>20</v>
      </c>
      <c r="C3941" s="9" t="s">
        <v>1513</v>
      </c>
      <c r="D3941" s="6" t="str">
        <f t="shared" si="0"/>
        <v>hd 4/13 127v - lavadora de alta pressão de água fria linha compacta karcher</v>
      </c>
      <c r="E3941" s="2" t="s">
        <v>226</v>
      </c>
      <c r="F3941" s="9"/>
      <c r="G3941" s="9"/>
      <c r="H3941" s="9"/>
    </row>
    <row r="3942" spans="1:8" x14ac:dyDescent="0.35">
      <c r="A3942" s="2" t="s">
        <v>1499</v>
      </c>
      <c r="B3942" s="2" t="s">
        <v>20</v>
      </c>
      <c r="C3942" s="9" t="s">
        <v>1514</v>
      </c>
      <c r="D3942" s="6" t="str">
        <f t="shared" si="0"/>
        <v>hd 4/13 220v - lavadora de alta pressão de água fria linha compacta karcher</v>
      </c>
      <c r="E3942" s="2" t="s">
        <v>226</v>
      </c>
      <c r="F3942" s="9"/>
      <c r="G3942" s="9"/>
      <c r="H3942" s="9"/>
    </row>
    <row r="3943" spans="1:8" x14ac:dyDescent="0.35">
      <c r="A3943" s="2" t="s">
        <v>1499</v>
      </c>
      <c r="B3943" s="2" t="s">
        <v>20</v>
      </c>
      <c r="C3943" s="9" t="s">
        <v>1515</v>
      </c>
      <c r="D3943" s="6" t="str">
        <f t="shared" si="0"/>
        <v>hd 6/15 cage plus 220v - lavadora de alta pressão de água fria linha compacta karcher</v>
      </c>
      <c r="E3943" s="2" t="s">
        <v>226</v>
      </c>
      <c r="F3943" s="9"/>
      <c r="G3943" s="9"/>
      <c r="H3943" s="9"/>
    </row>
    <row r="3944" spans="1:8" x14ac:dyDescent="0.35">
      <c r="A3944" s="2" t="s">
        <v>1499</v>
      </c>
      <c r="B3944" s="2" t="s">
        <v>20</v>
      </c>
      <c r="C3944" s="9" t="s">
        <v>1516</v>
      </c>
      <c r="D3944" s="6" t="str">
        <f t="shared" si="0"/>
        <v>hd 6/15 c 220v - lavadora de alta pressão de água fria linha compacta karcher</v>
      </c>
      <c r="E3944" s="2" t="s">
        <v>226</v>
      </c>
      <c r="F3944" s="9"/>
      <c r="G3944" s="9"/>
      <c r="H3944" s="9"/>
    </row>
    <row r="3945" spans="1:8" x14ac:dyDescent="0.35">
      <c r="A3945" s="2" t="s">
        <v>1499</v>
      </c>
      <c r="B3945" s="2" t="s">
        <v>20</v>
      </c>
      <c r="C3945" s="9" t="s">
        <v>1517</v>
      </c>
      <c r="D3945" s="6" t="str">
        <f t="shared" si="0"/>
        <v>hd 4/8 classic 127v - lavadora de alta pressão de água fria linha compacta karcher</v>
      </c>
      <c r="E3945" s="2" t="s">
        <v>226</v>
      </c>
      <c r="F3945" s="9"/>
      <c r="G3945" s="9"/>
      <c r="H3945" s="9"/>
    </row>
    <row r="3946" spans="1:8" x14ac:dyDescent="0.35">
      <c r="A3946" s="2" t="s">
        <v>1499</v>
      </c>
      <c r="B3946" s="2" t="s">
        <v>20</v>
      </c>
      <c r="C3946" s="9" t="s">
        <v>1518</v>
      </c>
      <c r="D3946" s="6" t="str">
        <f t="shared" si="0"/>
        <v>hd 4/8 classic 220v - lavadora de alta pressão de água fria linha compacta karcher</v>
      </c>
      <c r="E3946" s="2" t="s">
        <v>226</v>
      </c>
      <c r="F3946" s="9"/>
      <c r="G3946" s="9"/>
      <c r="H3946" s="9"/>
    </row>
    <row r="3947" spans="1:8" x14ac:dyDescent="0.35">
      <c r="A3947" s="2" t="s">
        <v>1499</v>
      </c>
      <c r="B3947" s="2" t="s">
        <v>20</v>
      </c>
      <c r="C3947" s="9" t="s">
        <v>1519</v>
      </c>
      <c r="D3947" s="6" t="str">
        <f t="shared" si="0"/>
        <v>hd 4/10 x classic 127v - lavadora de alta pressão de água fria linha compacta karcher</v>
      </c>
      <c r="E3947" s="2" t="s">
        <v>226</v>
      </c>
      <c r="F3947" s="9"/>
      <c r="G3947" s="9"/>
      <c r="H3947" s="9"/>
    </row>
    <row r="3948" spans="1:8" x14ac:dyDescent="0.35">
      <c r="A3948" s="2" t="s">
        <v>1499</v>
      </c>
      <c r="B3948" s="2" t="s">
        <v>20</v>
      </c>
      <c r="C3948" s="9" t="s">
        <v>1520</v>
      </c>
      <c r="D3948" s="6" t="str">
        <f t="shared" si="0"/>
        <v>hd 4/10 x classic 220v - lavadora de alta pressão de água fria linha compacta karcher</v>
      </c>
      <c r="E3948" s="2" t="s">
        <v>226</v>
      </c>
      <c r="F3948" s="9"/>
      <c r="G3948" s="9"/>
      <c r="H3948" s="9"/>
    </row>
    <row r="3949" spans="1:8" x14ac:dyDescent="0.35">
      <c r="A3949" s="2" t="s">
        <v>1499</v>
      </c>
      <c r="B3949" s="2" t="s">
        <v>20</v>
      </c>
      <c r="C3949" s="9" t="s">
        <v>1521</v>
      </c>
      <c r="D3949" s="6" t="str">
        <f t="shared" si="0"/>
        <v>hd 6/11 classic - lavadora de alta pressão de água fria linha compacta karcher</v>
      </c>
      <c r="E3949" s="2" t="s">
        <v>226</v>
      </c>
      <c r="F3949" s="9"/>
      <c r="G3949" s="9"/>
      <c r="H3949" s="9"/>
    </row>
    <row r="3950" spans="1:8" x14ac:dyDescent="0.35">
      <c r="A3950" s="2" t="s">
        <v>1499</v>
      </c>
      <c r="B3950" s="2" t="s">
        <v>20</v>
      </c>
      <c r="C3950" s="9" t="s">
        <v>1522</v>
      </c>
      <c r="D3950" s="6" t="str">
        <f t="shared" si="0"/>
        <v>hd 585 profi 127v - lavadora de alta pressão de água fria linha compacta karcher</v>
      </c>
      <c r="E3950" s="2" t="s">
        <v>226</v>
      </c>
      <c r="F3950" s="9"/>
      <c r="G3950" s="9"/>
      <c r="H3950" s="9"/>
    </row>
    <row r="3951" spans="1:8" x14ac:dyDescent="0.35">
      <c r="A3951" s="2" t="s">
        <v>1499</v>
      </c>
      <c r="B3951" s="2" t="s">
        <v>20</v>
      </c>
      <c r="C3951" s="9" t="s">
        <v>1523</v>
      </c>
      <c r="D3951" s="6" t="str">
        <f t="shared" si="0"/>
        <v>hd 585 profi 220v - lavadora de alta pressão de água fria linha compacta karcher</v>
      </c>
      <c r="E3951" s="2" t="s">
        <v>226</v>
      </c>
      <c r="F3951" s="9"/>
      <c r="G3951" s="9"/>
      <c r="H3951" s="9"/>
    </row>
    <row r="3952" spans="1:8" x14ac:dyDescent="0.35">
      <c r="A3952" s="2" t="s">
        <v>1499</v>
      </c>
      <c r="B3952" s="2" t="s">
        <v>20</v>
      </c>
      <c r="C3952" s="9" t="s">
        <v>1524</v>
      </c>
      <c r="D3952" s="6" t="str">
        <f t="shared" si="0"/>
        <v>hd 585 profi black 127v - lavadora de alta pressão de água fria linha compacta karcher</v>
      </c>
      <c r="E3952" s="2" t="s">
        <v>226</v>
      </c>
      <c r="F3952" s="9"/>
      <c r="G3952" s="9"/>
      <c r="H3952" s="9"/>
    </row>
    <row r="3953" spans="1:8" x14ac:dyDescent="0.35">
      <c r="A3953" s="2" t="s">
        <v>1499</v>
      </c>
      <c r="B3953" s="2" t="s">
        <v>20</v>
      </c>
      <c r="C3953" s="9" t="s">
        <v>1525</v>
      </c>
      <c r="D3953" s="6" t="str">
        <f t="shared" si="0"/>
        <v>hd 585 profi black 220v - lavadora de alta pressão de água fria linha compacta karcher</v>
      </c>
      <c r="E3953" s="2" t="s">
        <v>226</v>
      </c>
      <c r="F3953" s="9"/>
      <c r="G3953" s="9"/>
      <c r="H3953" s="9"/>
    </row>
    <row r="3954" spans="1:8" x14ac:dyDescent="0.35">
      <c r="A3954" s="2" t="s">
        <v>1499</v>
      </c>
      <c r="B3954" s="2" t="s">
        <v>20</v>
      </c>
      <c r="C3954" s="9" t="s">
        <v>1526</v>
      </c>
      <c r="D3954" s="6" t="str">
        <f t="shared" si="0"/>
        <v>hd 585 profi plus 220v - lavadora de alta pressão de água fria linha compacta karcher</v>
      </c>
      <c r="E3954" s="2" t="s">
        <v>226</v>
      </c>
      <c r="F3954" s="9"/>
      <c r="G3954" s="9"/>
      <c r="H3954" s="9"/>
    </row>
    <row r="3955" spans="1:8" x14ac:dyDescent="0.35">
      <c r="A3955" s="2" t="s">
        <v>1499</v>
      </c>
      <c r="B3955" s="2" t="s">
        <v>20</v>
      </c>
      <c r="C3955" s="9" t="s">
        <v>1527</v>
      </c>
      <c r="D3955" s="6" t="str">
        <f t="shared" si="0"/>
        <v>hd 585 profi plus 127v - lavadora de alta pressão de água fria linha compacta karcher</v>
      </c>
      <c r="E3955" s="2" t="s">
        <v>226</v>
      </c>
      <c r="F3955" s="9"/>
      <c r="G3955" s="9"/>
      <c r="H3955" s="9"/>
    </row>
    <row r="3956" spans="1:8" x14ac:dyDescent="0.35">
      <c r="A3956" s="2" t="s">
        <v>1499</v>
      </c>
      <c r="B3956" s="2" t="s">
        <v>20</v>
      </c>
      <c r="C3956" s="9" t="s">
        <v>1528</v>
      </c>
      <c r="D3956" s="6" t="str">
        <f t="shared" si="0"/>
        <v>hd 10/18 - 4 maxi 220v - lavadora de alta pressão de água fria linha média karcher</v>
      </c>
      <c r="E3956" s="2" t="s">
        <v>226</v>
      </c>
      <c r="F3956" s="9"/>
      <c r="G3956" s="9"/>
      <c r="H3956" s="9"/>
    </row>
    <row r="3957" spans="1:8" x14ac:dyDescent="0.35">
      <c r="A3957" s="2" t="s">
        <v>1499</v>
      </c>
      <c r="B3957" s="2" t="s">
        <v>20</v>
      </c>
      <c r="C3957" s="9" t="s">
        <v>1529</v>
      </c>
      <c r="D3957" s="6" t="str">
        <f t="shared" si="0"/>
        <v>hd 10/18 - 4 maxi 380v - lavadora de alta pressão de água fria linha média karcher</v>
      </c>
      <c r="E3957" s="2" t="s">
        <v>226</v>
      </c>
      <c r="F3957" s="9"/>
      <c r="G3957" s="9"/>
      <c r="H3957" s="9"/>
    </row>
    <row r="3958" spans="1:8" x14ac:dyDescent="0.35">
      <c r="A3958" s="2" t="s">
        <v>1499</v>
      </c>
      <c r="B3958" s="2" t="s">
        <v>20</v>
      </c>
      <c r="C3958" s="9" t="s">
        <v>1530</v>
      </c>
      <c r="D3958" s="6" t="str">
        <f t="shared" si="0"/>
        <v>hd 10/18 - 4 maxi 440v - lavadora de alta pressão de água fria linha média karcher</v>
      </c>
      <c r="E3958" s="2" t="s">
        <v>226</v>
      </c>
      <c r="F3958" s="9"/>
      <c r="G3958" s="9"/>
      <c r="H3958" s="9"/>
    </row>
    <row r="3959" spans="1:8" x14ac:dyDescent="0.35">
      <c r="A3959" s="2" t="s">
        <v>1499</v>
      </c>
      <c r="B3959" s="2" t="s">
        <v>20</v>
      </c>
      <c r="C3959" s="9" t="s">
        <v>1531</v>
      </c>
      <c r="D3959" s="6" t="str">
        <f t="shared" si="0"/>
        <v>hd 12/15 maxi 220v - lavadora de alta pressão de água fria linha média karcher</v>
      </c>
      <c r="E3959" s="2" t="s">
        <v>226</v>
      </c>
      <c r="F3959" s="9"/>
      <c r="G3959" s="9"/>
      <c r="H3959" s="9"/>
    </row>
    <row r="3960" spans="1:8" x14ac:dyDescent="0.35">
      <c r="A3960" s="2" t="s">
        <v>1499</v>
      </c>
      <c r="B3960" s="2" t="s">
        <v>20</v>
      </c>
      <c r="C3960" s="9" t="s">
        <v>1532</v>
      </c>
      <c r="D3960" s="6" t="str">
        <f t="shared" ref="D3960:D3991" si="1">SUBSTITUTE(SUBSTITUTE(SUBSTITUTE(SUBSTITUTE(SUBSTITUTE(SUBSTITUTE(LOWER(C3960),"(/)",""),"(/",""),"/)",""),"(",""),")",""),"  "," ")</f>
        <v>hd 12/15 maxi 380v - lavadora de alta pressão de água fria linha média karcher</v>
      </c>
      <c r="E3960" s="2" t="s">
        <v>226</v>
      </c>
      <c r="F3960" s="9"/>
      <c r="G3960" s="9"/>
      <c r="H3960" s="9"/>
    </row>
    <row r="3961" spans="1:8" x14ac:dyDescent="0.35">
      <c r="A3961" s="2" t="s">
        <v>1499</v>
      </c>
      <c r="B3961" s="2" t="s">
        <v>20</v>
      </c>
      <c r="C3961" s="9" t="s">
        <v>1533</v>
      </c>
      <c r="D3961" s="6" t="str">
        <f t="shared" si="1"/>
        <v>hd 12/15 maxi 440v - lavadora de alta pressão de água fria linha média karcher</v>
      </c>
      <c r="E3961" s="2" t="s">
        <v>226</v>
      </c>
      <c r="F3961" s="9"/>
      <c r="G3961" s="9"/>
      <c r="H3961" s="9"/>
    </row>
    <row r="3962" spans="1:8" x14ac:dyDescent="0.35">
      <c r="A3962" s="2" t="s">
        <v>1499</v>
      </c>
      <c r="B3962" s="2" t="s">
        <v>20</v>
      </c>
      <c r="C3962" s="9" t="s">
        <v>1534</v>
      </c>
      <c r="D3962" s="6" t="str">
        <f t="shared" si="1"/>
        <v>hd 10/25 maxi 220v - lavadora de alta pressão de água fria linha média karcher</v>
      </c>
      <c r="E3962" s="2" t="s">
        <v>226</v>
      </c>
      <c r="F3962" s="9"/>
      <c r="G3962" s="9"/>
      <c r="H3962" s="9"/>
    </row>
    <row r="3963" spans="1:8" x14ac:dyDescent="0.35">
      <c r="A3963" s="2" t="s">
        <v>1499</v>
      </c>
      <c r="B3963" s="2" t="s">
        <v>20</v>
      </c>
      <c r="C3963" s="9" t="s">
        <v>1535</v>
      </c>
      <c r="D3963" s="6" t="str">
        <f t="shared" si="1"/>
        <v>hd 10/25 maxi 380v - lavadora de alta pressão de água fria linha média karcher</v>
      </c>
      <c r="E3963" s="2" t="s">
        <v>226</v>
      </c>
      <c r="F3963" s="9"/>
      <c r="G3963" s="9"/>
      <c r="H3963" s="9"/>
    </row>
    <row r="3964" spans="1:8" x14ac:dyDescent="0.35">
      <c r="A3964" s="2" t="s">
        <v>1499</v>
      </c>
      <c r="B3964" s="2" t="s">
        <v>20</v>
      </c>
      <c r="C3964" s="9" t="s">
        <v>1536</v>
      </c>
      <c r="D3964" s="6" t="str">
        <f t="shared" si="1"/>
        <v>hd 10/25 maxi 440v - lavadora de alta pressão de água fria linha média karcher</v>
      </c>
      <c r="E3964" s="2" t="s">
        <v>226</v>
      </c>
      <c r="F3964" s="9"/>
      <c r="G3964" s="9"/>
      <c r="H3964" s="9"/>
    </row>
    <row r="3965" spans="1:8" x14ac:dyDescent="0.35">
      <c r="A3965" s="2" t="s">
        <v>1499</v>
      </c>
      <c r="B3965" s="2" t="s">
        <v>20</v>
      </c>
      <c r="C3965" s="9" t="s">
        <v>1537</v>
      </c>
      <c r="D3965" s="6" t="str">
        <f t="shared" si="1"/>
        <v>hd 10/25 maxi 440v/60hz - lavadora de alta pressão de água fria linha média karcher</v>
      </c>
      <c r="E3965" s="2" t="s">
        <v>226</v>
      </c>
      <c r="F3965" s="9"/>
      <c r="G3965" s="9"/>
      <c r="H3965" s="9"/>
    </row>
    <row r="3966" spans="1:8" x14ac:dyDescent="0.35">
      <c r="A3966" s="2" t="s">
        <v>1499</v>
      </c>
      <c r="B3966" s="2" t="s">
        <v>20</v>
      </c>
      <c r="C3966" s="9" t="s">
        <v>1538</v>
      </c>
      <c r="D3966" s="6" t="str">
        <f t="shared" si="1"/>
        <v>hd 7/16 maxi - lavadora de alta pressão de água fria linha média karcher</v>
      </c>
      <c r="E3966" s="2" t="s">
        <v>226</v>
      </c>
      <c r="F3966" s="9"/>
      <c r="G3966" s="9"/>
      <c r="H3966" s="9"/>
    </row>
    <row r="3967" spans="1:8" x14ac:dyDescent="0.35">
      <c r="A3967" s="2" t="s">
        <v>1499</v>
      </c>
      <c r="B3967" s="2" t="s">
        <v>20</v>
      </c>
      <c r="C3967" s="9" t="s">
        <v>1539</v>
      </c>
      <c r="D3967" s="6" t="str">
        <f t="shared" si="1"/>
        <v>hd 7/18 maxi 220v - lavadora de alta pressão de água fria linha média karcher</v>
      </c>
      <c r="E3967" s="2" t="s">
        <v>226</v>
      </c>
      <c r="F3967" s="9"/>
      <c r="G3967" s="9"/>
      <c r="H3967" s="9"/>
    </row>
    <row r="3968" spans="1:8" x14ac:dyDescent="0.35">
      <c r="A3968" s="2" t="s">
        <v>1499</v>
      </c>
      <c r="B3968" s="2" t="s">
        <v>20</v>
      </c>
      <c r="C3968" s="9" t="s">
        <v>1540</v>
      </c>
      <c r="D3968" s="6" t="str">
        <f t="shared" si="1"/>
        <v>hd 7/18 maxi 380v - lavadora de alta pressão de água fria linha média karcher</v>
      </c>
      <c r="E3968" s="2" t="s">
        <v>226</v>
      </c>
      <c r="F3968" s="9"/>
      <c r="G3968" s="9"/>
      <c r="H3968" s="9"/>
    </row>
    <row r="3969" spans="1:8" x14ac:dyDescent="0.35">
      <c r="A3969" s="2" t="s">
        <v>1499</v>
      </c>
      <c r="B3969" s="2" t="s">
        <v>20</v>
      </c>
      <c r="C3969" s="9" t="s">
        <v>1541</v>
      </c>
      <c r="D3969" s="6" t="str">
        <f t="shared" si="1"/>
        <v>hd 8/15 s 220v - lavadora de alta pressão de água fria linha pesada karcher</v>
      </c>
      <c r="E3969" s="2" t="s">
        <v>226</v>
      </c>
      <c r="F3969" s="9"/>
      <c r="G3969" s="9"/>
      <c r="H3969" s="9"/>
    </row>
    <row r="3970" spans="1:8" x14ac:dyDescent="0.35">
      <c r="A3970" s="2" t="s">
        <v>1499</v>
      </c>
      <c r="B3970" s="2" t="s">
        <v>20</v>
      </c>
      <c r="C3970" s="9" t="s">
        <v>1542</v>
      </c>
      <c r="D3970" s="6" t="str">
        <f t="shared" si="1"/>
        <v>hd 8/15 s 380v - lavadora de alta pressão de água fria linha pesada karcher</v>
      </c>
      <c r="E3970" s="2" t="s">
        <v>226</v>
      </c>
      <c r="F3970" s="9"/>
      <c r="G3970" s="9"/>
      <c r="H3970" s="9"/>
    </row>
    <row r="3971" spans="1:8" x14ac:dyDescent="0.35">
      <c r="A3971" s="2" t="s">
        <v>1499</v>
      </c>
      <c r="B3971" s="2" t="s">
        <v>20</v>
      </c>
      <c r="C3971" s="9" t="s">
        <v>1543</v>
      </c>
      <c r="D3971" s="6" t="str">
        <f t="shared" si="1"/>
        <v>hd 8/15 s 440v - lavadora de alta pressão de água fria linha pesada karcher</v>
      </c>
      <c r="E3971" s="2" t="s">
        <v>226</v>
      </c>
      <c r="F3971" s="9"/>
      <c r="G3971" s="9"/>
      <c r="H3971" s="9"/>
    </row>
    <row r="3972" spans="1:8" x14ac:dyDescent="0.35">
      <c r="A3972" s="2" t="s">
        <v>1499</v>
      </c>
      <c r="B3972" s="2" t="s">
        <v>20</v>
      </c>
      <c r="C3972" s="9" t="s">
        <v>1544</v>
      </c>
      <c r="D3972" s="6" t="str">
        <f t="shared" si="1"/>
        <v>hd 12/15 s 220v - lavadora de alta pressão de água fria linha pesada karcher</v>
      </c>
      <c r="E3972" s="2" t="s">
        <v>226</v>
      </c>
      <c r="F3972" s="9"/>
      <c r="G3972" s="9"/>
      <c r="H3972" s="9"/>
    </row>
    <row r="3973" spans="1:8" x14ac:dyDescent="0.35">
      <c r="A3973" s="2" t="s">
        <v>1499</v>
      </c>
      <c r="B3973" s="2" t="s">
        <v>20</v>
      </c>
      <c r="C3973" s="9" t="s">
        <v>1545</v>
      </c>
      <c r="D3973" s="6" t="str">
        <f t="shared" si="1"/>
        <v>hd 12/15 s 380v - lavadora de alta pressão de água fria linha pesada karcher</v>
      </c>
      <c r="E3973" s="2" t="s">
        <v>226</v>
      </c>
      <c r="F3973" s="9"/>
      <c r="G3973" s="9"/>
      <c r="H3973" s="9"/>
    </row>
    <row r="3974" spans="1:8" x14ac:dyDescent="0.35">
      <c r="A3974" s="2" t="s">
        <v>1499</v>
      </c>
      <c r="B3974" s="2" t="s">
        <v>20</v>
      </c>
      <c r="C3974" s="9" t="s">
        <v>1546</v>
      </c>
      <c r="D3974" s="6" t="str">
        <f t="shared" si="1"/>
        <v>hd 12/15 s 440v - lavadora de alta pressão de água fria linha pesada karcher</v>
      </c>
      <c r="E3974" s="2" t="s">
        <v>226</v>
      </c>
      <c r="F3974" s="9"/>
      <c r="G3974" s="9"/>
      <c r="H3974" s="9"/>
    </row>
    <row r="3975" spans="1:8" x14ac:dyDescent="0.35">
      <c r="A3975" s="2" t="s">
        <v>1499</v>
      </c>
      <c r="B3975" s="2" t="s">
        <v>20</v>
      </c>
      <c r="C3975" s="9" t="s">
        <v>1547</v>
      </c>
      <c r="D3975" s="6" t="str">
        <f t="shared" si="1"/>
        <v>g 2900 e - lavadora de alta pressão de água fria linha com motor a combustão karcher</v>
      </c>
      <c r="E3975" s="2" t="s">
        <v>226</v>
      </c>
      <c r="F3975" s="9"/>
      <c r="G3975" s="9"/>
      <c r="H3975" s="9"/>
    </row>
    <row r="3976" spans="1:8" x14ac:dyDescent="0.35">
      <c r="A3976" s="2" t="s">
        <v>1499</v>
      </c>
      <c r="B3976" s="2" t="s">
        <v>20</v>
      </c>
      <c r="C3976" s="9" t="s">
        <v>1548</v>
      </c>
      <c r="D3976" s="6" t="str">
        <f t="shared" si="1"/>
        <v>hd 6/15 g - lavadora de alta pressão de água fria linha com motor a combustão karcher</v>
      </c>
      <c r="E3976" s="2" t="s">
        <v>226</v>
      </c>
      <c r="F3976" s="9"/>
      <c r="G3976" s="9"/>
      <c r="H3976" s="9"/>
    </row>
    <row r="3977" spans="1:8" x14ac:dyDescent="0.35">
      <c r="A3977" s="2" t="s">
        <v>1499</v>
      </c>
      <c r="B3977" s="2" t="s">
        <v>20</v>
      </c>
      <c r="C3977" s="9" t="s">
        <v>1549</v>
      </c>
      <c r="D3977" s="6" t="str">
        <f t="shared" si="1"/>
        <v>hd 9/25 g - lavadora de alta pressão de água fria linha com motor a combustão karcher</v>
      </c>
      <c r="E3977" s="2" t="s">
        <v>226</v>
      </c>
      <c r="F3977" s="9"/>
      <c r="G3977" s="9"/>
      <c r="H3977" s="9"/>
    </row>
    <row r="3978" spans="1:8" x14ac:dyDescent="0.35">
      <c r="A3978" s="2" t="s">
        <v>1499</v>
      </c>
      <c r="B3978" s="2" t="s">
        <v>20</v>
      </c>
      <c r="C3978" s="9" t="s">
        <v>1550</v>
      </c>
      <c r="D3978" s="6" t="str">
        <f t="shared" si="1"/>
        <v>hd 10/20-4 cage f 380v - lavadora de alta pressão de água fria linha especial karcher</v>
      </c>
      <c r="E3978" s="2" t="s">
        <v>226</v>
      </c>
      <c r="F3978" s="9"/>
      <c r="G3978" s="9"/>
      <c r="H3978" s="9"/>
    </row>
    <row r="3979" spans="1:8" x14ac:dyDescent="0.35">
      <c r="A3979" s="2" t="s">
        <v>1499</v>
      </c>
      <c r="B3979" s="2" t="s">
        <v>20</v>
      </c>
      <c r="C3979" s="9" t="s">
        <v>1551</v>
      </c>
      <c r="D3979" s="6" t="str">
        <f t="shared" si="1"/>
        <v>hd 10/20 - 4 cage f 220v - lavadora de alta pressão de água fria linha especial karcher</v>
      </c>
      <c r="E3979" s="2" t="s">
        <v>226</v>
      </c>
      <c r="F3979" s="9"/>
      <c r="G3979" s="9"/>
      <c r="H3979" s="9"/>
    </row>
    <row r="3980" spans="1:8" x14ac:dyDescent="0.35">
      <c r="A3980" s="2" t="s">
        <v>1499</v>
      </c>
      <c r="B3980" s="2" t="s">
        <v>20</v>
      </c>
      <c r="C3980" s="9" t="s">
        <v>1552</v>
      </c>
      <c r="D3980" s="6" t="str">
        <f t="shared" si="1"/>
        <v>lav. ap hd 10/20-4 cage food 440v - lavadora de alta pressão de água fria linha especial karcher</v>
      </c>
      <c r="E3980" s="2" t="s">
        <v>226</v>
      </c>
      <c r="F3980" s="9"/>
      <c r="G3980" s="9"/>
      <c r="H3980" s="9"/>
    </row>
    <row r="3981" spans="1:8" x14ac:dyDescent="0.35">
      <c r="A3981" s="2" t="s">
        <v>1499</v>
      </c>
      <c r="B3981" s="2" t="s">
        <v>20</v>
      </c>
      <c r="C3981" s="9" t="s">
        <v>1553</v>
      </c>
      <c r="D3981" s="6" t="str">
        <f t="shared" si="1"/>
        <v>hds 7/16-e cage 440v - lavadora de alta pressão de água quente linha com aquecimento elétrico karcher</v>
      </c>
      <c r="E3981" s="2" t="s">
        <v>226</v>
      </c>
      <c r="F3981" s="9"/>
      <c r="G3981" s="9"/>
      <c r="H3981" s="9"/>
    </row>
    <row r="3982" spans="1:8" x14ac:dyDescent="0.35">
      <c r="A3982" s="2" t="s">
        <v>1499</v>
      </c>
      <c r="B3982" s="2" t="s">
        <v>20</v>
      </c>
      <c r="C3982" s="9" t="s">
        <v>1554</v>
      </c>
      <c r="D3982" s="6" t="str">
        <f t="shared" si="1"/>
        <v>hds 7/16-e cage 380v- lavadora de alta pressão de água quente linha com aquecimento elétrico karcher</v>
      </c>
      <c r="E3982" s="2" t="s">
        <v>226</v>
      </c>
      <c r="F3982" s="9"/>
      <c r="G3982" s="9"/>
      <c r="H3982" s="9"/>
    </row>
    <row r="3983" spans="1:8" x14ac:dyDescent="0.35">
      <c r="A3983" s="2" t="s">
        <v>1499</v>
      </c>
      <c r="B3983" s="2" t="s">
        <v>20</v>
      </c>
      <c r="C3983" s="9" t="s">
        <v>1555</v>
      </c>
      <c r="D3983" s="6" t="str">
        <f t="shared" si="1"/>
        <v>hds 1000 diesel - lavadora de alta pressão de água quente linha com motor a combustão karcher</v>
      </c>
      <c r="E3983" s="2" t="s">
        <v>226</v>
      </c>
      <c r="F3983" s="9"/>
      <c r="G3983" s="9"/>
      <c r="H3983" s="9"/>
    </row>
    <row r="3984" spans="1:8" x14ac:dyDescent="0.35">
      <c r="A3984" s="2" t="s">
        <v>1499</v>
      </c>
      <c r="B3984" s="2" t="s">
        <v>20</v>
      </c>
      <c r="C3984" s="9" t="s">
        <v>1556</v>
      </c>
      <c r="D3984" s="6" t="str">
        <f t="shared" si="1"/>
        <v>hds 12/15 cage 220v - lavadora de alta pressão de água quente middle karcher</v>
      </c>
      <c r="E3984" s="2" t="s">
        <v>226</v>
      </c>
      <c r="F3984" s="9"/>
      <c r="G3984" s="9"/>
      <c r="H3984" s="9"/>
    </row>
    <row r="3985" spans="1:8" x14ac:dyDescent="0.35">
      <c r="A3985" s="2" t="s">
        <v>1499</v>
      </c>
      <c r="B3985" s="2" t="s">
        <v>20</v>
      </c>
      <c r="C3985" s="9" t="s">
        <v>1557</v>
      </c>
      <c r="D3985" s="6" t="str">
        <f t="shared" si="1"/>
        <v>hds 12/15 cage 380v - lavadora de alta pressão de água quente middle karcher</v>
      </c>
      <c r="E3985" s="2" t="s">
        <v>226</v>
      </c>
      <c r="F3985" s="9"/>
      <c r="G3985" s="9"/>
      <c r="H3985" s="9"/>
    </row>
    <row r="3986" spans="1:8" x14ac:dyDescent="0.35">
      <c r="A3986" s="2" t="s">
        <v>1499</v>
      </c>
      <c r="B3986" s="2" t="s">
        <v>20</v>
      </c>
      <c r="C3986" s="9" t="s">
        <v>1558</v>
      </c>
      <c r="D3986" s="6" t="str">
        <f t="shared" si="1"/>
        <v>hds 12/15 cage 440v - lavadora de alta pressão de água quente middle karcher</v>
      </c>
      <c r="E3986" s="2" t="s">
        <v>226</v>
      </c>
      <c r="F3986" s="9"/>
      <c r="G3986" s="9"/>
      <c r="H3986" s="9"/>
    </row>
    <row r="3987" spans="1:8" x14ac:dyDescent="0.35">
      <c r="A3987" s="2" t="s">
        <v>1499</v>
      </c>
      <c r="B3987" s="2" t="s">
        <v>20</v>
      </c>
      <c r="C3987" s="9" t="s">
        <v>1559</v>
      </c>
      <c r="D3987" s="6" t="str">
        <f t="shared" si="1"/>
        <v>hds 8/15 cage 220v - lavadora de alta pressão de água quente middle karcher</v>
      </c>
      <c r="E3987" s="2" t="s">
        <v>226</v>
      </c>
      <c r="F3987" s="9"/>
      <c r="G3987" s="9"/>
      <c r="H3987" s="9"/>
    </row>
    <row r="3988" spans="1:8" x14ac:dyDescent="0.35">
      <c r="A3988" s="2" t="s">
        <v>1499</v>
      </c>
      <c r="B3988" s="2" t="s">
        <v>20</v>
      </c>
      <c r="C3988" s="9" t="s">
        <v>1560</v>
      </c>
      <c r="D3988" s="6" t="str">
        <f t="shared" si="1"/>
        <v>hd 13/35 pe gasolina - lavadora de ultra pressão linha de compacta karcher</v>
      </c>
      <c r="E3988" s="2" t="s">
        <v>226</v>
      </c>
      <c r="F3988" s="9"/>
      <c r="G3988" s="9"/>
      <c r="H3988" s="9"/>
    </row>
    <row r="3989" spans="1:8" x14ac:dyDescent="0.35">
      <c r="A3989" s="2" t="s">
        <v>1499</v>
      </c>
      <c r="B3989" s="2" t="s">
        <v>20</v>
      </c>
      <c r="C3989" s="9" t="s">
        <v>1561</v>
      </c>
      <c r="D3989" s="6" t="str">
        <f t="shared" si="1"/>
        <v>hg 64 220v - lavadora de alta pressão gerador de água quente karcher</v>
      </c>
      <c r="E3989" s="2" t="s">
        <v>226</v>
      </c>
      <c r="F3989" s="9"/>
      <c r="G3989" s="9"/>
      <c r="H3989" s="9"/>
    </row>
    <row r="3990" spans="1:8" x14ac:dyDescent="0.35">
      <c r="A3990" s="2" t="s">
        <v>1499</v>
      </c>
      <c r="B3990" s="2" t="s">
        <v>20</v>
      </c>
      <c r="C3990" s="9" t="s">
        <v>1562</v>
      </c>
      <c r="D3990" s="6" t="str">
        <f t="shared" si="1"/>
        <v>mc 2c 150/600 - lavadora de alta pressão de água fria nilfisk</v>
      </c>
      <c r="E3990" s="2" t="s">
        <v>226</v>
      </c>
      <c r="F3990" s="9"/>
      <c r="G3990" s="9"/>
      <c r="H3990" s="9"/>
    </row>
    <row r="3991" spans="1:8" x14ac:dyDescent="0.35">
      <c r="A3991" s="2" t="s">
        <v>1499</v>
      </c>
      <c r="B3991" s="2" t="s">
        <v>20</v>
      </c>
      <c r="C3991" s="9" t="s">
        <v>1563</v>
      </c>
      <c r="D3991" s="6" t="str">
        <f t="shared" si="1"/>
        <v>mc 3c 130/660 - lavadora de alta pressão de água fria nilfisk</v>
      </c>
      <c r="E3991" s="2" t="s">
        <v>226</v>
      </c>
      <c r="F3991" s="9"/>
      <c r="G3991" s="9"/>
      <c r="H3991" s="9"/>
    </row>
    <row r="3992" spans="1:8" x14ac:dyDescent="0.35">
      <c r="A3992" s="2" t="s">
        <v>1499</v>
      </c>
      <c r="B3992" s="2" t="s">
        <v>20</v>
      </c>
      <c r="C3992" s="9" t="s">
        <v>1564</v>
      </c>
      <c r="D3992" s="6" t="str">
        <f t="shared" ref="D3992:D4023" si="2">SUBSTITUTE(SUBSTITUTE(SUBSTITUTE(SUBSTITUTE(SUBSTITUTE(SUBSTITUTE(LOWER(C3992),"(/)",""),"(/",""),"/)",""),"(",""),")",""),"  "," ")</f>
        <v>mc 4m 150/620 - lavadora de alta pressão de água fria nilfisk</v>
      </c>
      <c r="E3992" s="2" t="s">
        <v>226</v>
      </c>
      <c r="F3992" s="9"/>
      <c r="G3992" s="9"/>
      <c r="H3992" s="9"/>
    </row>
    <row r="3993" spans="1:8" x14ac:dyDescent="0.35">
      <c r="A3993" s="2" t="s">
        <v>1499</v>
      </c>
      <c r="B3993" s="2" t="s">
        <v>20</v>
      </c>
      <c r="C3993" s="9" t="s">
        <v>1565</v>
      </c>
      <c r="D3993" s="6" t="str">
        <f t="shared" si="2"/>
        <v>mc 4m 180/740 - lavadora de alta pressão de água fria nilfisk</v>
      </c>
      <c r="E3993" s="2" t="s">
        <v>226</v>
      </c>
      <c r="F3993" s="9"/>
      <c r="G3993" s="9"/>
      <c r="H3993" s="9"/>
    </row>
    <row r="3994" spans="1:8" x14ac:dyDescent="0.35">
      <c r="A3994" s="2" t="s">
        <v>1499</v>
      </c>
      <c r="B3994" s="2" t="s">
        <v>20</v>
      </c>
      <c r="C3994" s="9" t="s">
        <v>1566</v>
      </c>
      <c r="D3994" s="6" t="str">
        <f t="shared" si="2"/>
        <v>mc 5m 200/1050 - lavadora de alta pressão de água fria nilfisk</v>
      </c>
      <c r="E3994" s="2" t="s">
        <v>226</v>
      </c>
      <c r="F3994" s="9"/>
      <c r="G3994" s="9"/>
      <c r="H3994" s="9"/>
    </row>
    <row r="3995" spans="1:8" x14ac:dyDescent="0.35">
      <c r="A3995" s="2" t="s">
        <v>1499</v>
      </c>
      <c r="B3995" s="2" t="s">
        <v>20</v>
      </c>
      <c r="C3995" s="9" t="s">
        <v>1567</v>
      </c>
      <c r="D3995" s="6" t="str">
        <f t="shared" si="2"/>
        <v>mc 6p 180/1300 - lavadora de alta pressão de água fria nilfisk</v>
      </c>
      <c r="E3995" s="2" t="s">
        <v>226</v>
      </c>
      <c r="F3995" s="9"/>
      <c r="G3995" s="9"/>
      <c r="H3995" s="9"/>
    </row>
    <row r="3996" spans="1:8" x14ac:dyDescent="0.35">
      <c r="A3996" s="2" t="s">
        <v>1499</v>
      </c>
      <c r="B3996" s="2" t="s">
        <v>20</v>
      </c>
      <c r="C3996" s="9" t="s">
        <v>1568</v>
      </c>
      <c r="D3996" s="6" t="str">
        <f t="shared" si="2"/>
        <v>mc 6p- 250/1100 - lavadora de alta pressão de água fria nilfisk</v>
      </c>
      <c r="E3996" s="2" t="s">
        <v>226</v>
      </c>
      <c r="F3996" s="9"/>
      <c r="G3996" s="9"/>
      <c r="H3996" s="9"/>
    </row>
    <row r="3997" spans="1:8" x14ac:dyDescent="0.35">
      <c r="A3997" s="2" t="s">
        <v>1499</v>
      </c>
      <c r="B3997" s="2" t="s">
        <v>20</v>
      </c>
      <c r="C3997" s="9" t="s">
        <v>1569</v>
      </c>
      <c r="D3997" s="6" t="str">
        <f t="shared" si="2"/>
        <v>mc 7p 195/1280 - lavadora de alta pressão de água fria nilfisk</v>
      </c>
      <c r="E3997" s="2" t="s">
        <v>226</v>
      </c>
      <c r="F3997" s="9"/>
      <c r="G3997" s="9"/>
      <c r="H3997" s="9"/>
    </row>
    <row r="3998" spans="1:8" x14ac:dyDescent="0.35">
      <c r="A3998" s="2" t="s">
        <v>1499</v>
      </c>
      <c r="B3998" s="2" t="s">
        <v>20</v>
      </c>
      <c r="C3998" s="9" t="s">
        <v>1570</v>
      </c>
      <c r="D3998" s="6" t="str">
        <f t="shared" si="2"/>
        <v>mh 4m 200/960 - lavadora de alta pressão de água quente nilfisk</v>
      </c>
      <c r="E3998" s="2" t="s">
        <v>226</v>
      </c>
      <c r="F3998" s="9"/>
      <c r="G3998" s="9"/>
      <c r="H3998" s="9"/>
    </row>
    <row r="3999" spans="1:8" x14ac:dyDescent="0.35">
      <c r="A3999" s="2" t="s">
        <v>1499</v>
      </c>
      <c r="B3999" s="2" t="s">
        <v>20</v>
      </c>
      <c r="C3999" s="9" t="s">
        <v>1571</v>
      </c>
      <c r="D3999" s="6" t="str">
        <f t="shared" si="2"/>
        <v>mh 5m 210/1100 - lavadora de alta pressão de água quente nilfisk</v>
      </c>
      <c r="E3999" s="2" t="s">
        <v>226</v>
      </c>
      <c r="F3999" s="9"/>
      <c r="G3999" s="9"/>
      <c r="H3999" s="9"/>
    </row>
    <row r="4000" spans="1:8" x14ac:dyDescent="0.35">
      <c r="A4000" s="2" t="s">
        <v>1499</v>
      </c>
      <c r="B4000" s="2" t="s">
        <v>20</v>
      </c>
      <c r="C4000" s="9" t="s">
        <v>1572</v>
      </c>
      <c r="D4000" s="6" t="str">
        <f t="shared" si="2"/>
        <v>mh 6p 195/1350 - lavadora de alta pressão de água quente nilfisk</v>
      </c>
      <c r="E4000" s="2" t="s">
        <v>226</v>
      </c>
      <c r="F4000" s="9"/>
      <c r="G4000" s="9"/>
      <c r="H4000" s="9"/>
    </row>
    <row r="4001" spans="1:8" x14ac:dyDescent="0.35">
      <c r="A4001" s="2" t="s">
        <v>1499</v>
      </c>
      <c r="B4001" s="2" t="s">
        <v>20</v>
      </c>
      <c r="C4001" s="9" t="s">
        <v>1573</v>
      </c>
      <c r="D4001" s="6" t="str">
        <f t="shared" si="2"/>
        <v>mc 5c -240/940 pe - alta pressão à combustão água fria nilfisk</v>
      </c>
      <c r="E4001" s="2" t="s">
        <v>226</v>
      </c>
      <c r="F4001" s="9"/>
      <c r="G4001" s="9"/>
      <c r="H4001" s="9"/>
    </row>
    <row r="4002" spans="1:8" x14ac:dyDescent="0.35">
      <c r="A4002" s="2" t="s">
        <v>1499</v>
      </c>
      <c r="B4002" s="2" t="s">
        <v>20</v>
      </c>
      <c r="C4002" s="9" t="s">
        <v>1574</v>
      </c>
      <c r="D4002" s="6" t="str">
        <f t="shared" si="2"/>
        <v>mc 5m-280/1100 pe - alta pressão à combustão água fria nilfisk</v>
      </c>
      <c r="E4002" s="2" t="s">
        <v>226</v>
      </c>
      <c r="F4002" s="9"/>
      <c r="G4002" s="9"/>
      <c r="H4002" s="9"/>
    </row>
    <row r="4003" spans="1:8" x14ac:dyDescent="0.35">
      <c r="A4003" s="2" t="s">
        <v>1499</v>
      </c>
      <c r="B4003" s="2" t="s">
        <v>20</v>
      </c>
      <c r="C4003" s="9" t="s">
        <v>1575</v>
      </c>
      <c r="D4003" s="6" t="str">
        <f t="shared" si="2"/>
        <v>mc 5m-195/1000 de - alta pressão à combustão água fria nilfisk</v>
      </c>
      <c r="E4003" s="2" t="s">
        <v>226</v>
      </c>
      <c r="F4003" s="9"/>
      <c r="G4003" s="9"/>
      <c r="H4003" s="9"/>
    </row>
    <row r="4004" spans="1:8" x14ac:dyDescent="0.35">
      <c r="A4004" s="2" t="s">
        <v>1499</v>
      </c>
      <c r="B4004" s="2" t="s">
        <v>20</v>
      </c>
      <c r="C4004" s="9" t="s">
        <v>1576</v>
      </c>
      <c r="D4004" s="6" t="str">
        <f t="shared" si="2"/>
        <v>mh 5m-200/1000 de - alta pressão à combustão água quente nilfisk</v>
      </c>
      <c r="E4004" s="2" t="s">
        <v>226</v>
      </c>
      <c r="F4004" s="9"/>
      <c r="G4004" s="9"/>
      <c r="H4004" s="9"/>
    </row>
    <row r="4005" spans="1:8" x14ac:dyDescent="0.35">
      <c r="A4005" s="2" t="s">
        <v>1499</v>
      </c>
      <c r="B4005" s="2" t="s">
        <v>20</v>
      </c>
      <c r="C4005" s="9" t="s">
        <v>1577</v>
      </c>
      <c r="D4005" s="6" t="str">
        <f t="shared" si="2"/>
        <v>sc delta 6p - lavadora estacionárias de alta pressão água fria nilfisk</v>
      </c>
      <c r="E4005" s="2" t="s">
        <v>226</v>
      </c>
      <c r="F4005" s="9"/>
      <c r="G4005" s="9"/>
      <c r="H4005" s="9"/>
    </row>
    <row r="4006" spans="1:8" x14ac:dyDescent="0.35">
      <c r="A4006" s="2" t="s">
        <v>1499</v>
      </c>
      <c r="B4006" s="2" t="s">
        <v>20</v>
      </c>
      <c r="C4006" s="9" t="s">
        <v>1578</v>
      </c>
      <c r="D4006" s="6" t="str">
        <f t="shared" si="2"/>
        <v>sc uno 7p e 8p - lavadora estacionárias de alta pressão água fria nilfisk</v>
      </c>
      <c r="E4006" s="2" t="s">
        <v>226</v>
      </c>
      <c r="F4006" s="9"/>
      <c r="G4006" s="9"/>
      <c r="H4006" s="9"/>
    </row>
    <row r="4007" spans="1:8" x14ac:dyDescent="0.35">
      <c r="A4007" s="2" t="s">
        <v>1499</v>
      </c>
      <c r="B4007" s="2" t="s">
        <v>20</v>
      </c>
      <c r="C4007" s="9" t="s">
        <v>1579</v>
      </c>
      <c r="D4007" s="6" t="str">
        <f t="shared" si="2"/>
        <v>sc duo 7p e 8p - lavadora estacionárias de alta pressão água fria nilfisk</v>
      </c>
      <c r="E4007" s="2" t="s">
        <v>226</v>
      </c>
      <c r="F4007" s="9"/>
      <c r="G4007" s="9"/>
      <c r="H4007" s="9"/>
    </row>
    <row r="4008" spans="1:8" x14ac:dyDescent="0.35">
      <c r="A4008" s="2" t="s">
        <v>1499</v>
      </c>
      <c r="B4008" s="2" t="s">
        <v>20</v>
      </c>
      <c r="C4008" s="9" t="s">
        <v>1580</v>
      </c>
      <c r="D4008" s="6" t="str">
        <f t="shared" si="2"/>
        <v>sh solar e - lavadora estacionárias de alta pressão água quente nilfisk</v>
      </c>
      <c r="E4008" s="2" t="s">
        <v>226</v>
      </c>
      <c r="F4008" s="9"/>
      <c r="G4008" s="9"/>
      <c r="H4008" s="9"/>
    </row>
    <row r="4009" spans="1:8" x14ac:dyDescent="0.35">
      <c r="A4009" s="2" t="s">
        <v>1499</v>
      </c>
      <c r="B4009" s="2" t="s">
        <v>20</v>
      </c>
      <c r="C4009" s="9" t="s">
        <v>1581</v>
      </c>
      <c r="D4009" s="6" t="str">
        <f t="shared" si="2"/>
        <v>c-200air - lavadora de ultra pressão nilfisk</v>
      </c>
      <c r="E4009" s="2" t="s">
        <v>226</v>
      </c>
      <c r="F4009" s="9"/>
      <c r="G4009" s="9"/>
      <c r="H4009" s="9"/>
    </row>
    <row r="4010" spans="1:8" x14ac:dyDescent="0.35">
      <c r="A4010" s="2" t="s">
        <v>1499</v>
      </c>
      <c r="B4010" s="2" t="s">
        <v>20</v>
      </c>
      <c r="C4010" s="9" t="s">
        <v>1582</v>
      </c>
      <c r="D4010" s="6" t="str">
        <f t="shared" si="2"/>
        <v>merlion plus e-360 br - lavadora de ultra pressão nilfisk</v>
      </c>
      <c r="E4010" s="2" t="s">
        <v>226</v>
      </c>
      <c r="F4010" s="9"/>
      <c r="G4010" s="9"/>
      <c r="H4010" s="9"/>
    </row>
    <row r="4011" spans="1:8" x14ac:dyDescent="0.35">
      <c r="A4011" s="2" t="s">
        <v>1499</v>
      </c>
      <c r="B4011" s="2" t="s">
        <v>20</v>
      </c>
      <c r="C4011" s="9" t="s">
        <v>1583</v>
      </c>
      <c r="D4011" s="6" t="str">
        <f t="shared" si="2"/>
        <v>merlion plus e-500 - lavadora de ultra pressão nilfisk</v>
      </c>
      <c r="E4011" s="2" t="s">
        <v>226</v>
      </c>
      <c r="F4011" s="9"/>
      <c r="G4011" s="9"/>
      <c r="H4011" s="9"/>
    </row>
    <row r="4012" spans="1:8" x14ac:dyDescent="0.35">
      <c r="A4012" s="2" t="s">
        <v>1499</v>
      </c>
      <c r="B4012" s="2" t="s">
        <v>20</v>
      </c>
      <c r="C4012" s="9" t="s">
        <v>1584</v>
      </c>
      <c r="D4012" s="6" t="str">
        <f t="shared" si="2"/>
        <v>mermaid e-500/30 - lavadora de ultra pressão nilfisk</v>
      </c>
      <c r="E4012" s="2" t="s">
        <v>226</v>
      </c>
      <c r="F4012" s="9"/>
      <c r="G4012" s="9"/>
      <c r="H4012" s="9"/>
    </row>
    <row r="4013" spans="1:8" x14ac:dyDescent="0.35">
      <c r="A4013" s="2" t="s">
        <v>1499</v>
      </c>
      <c r="B4013" s="2" t="s">
        <v>20</v>
      </c>
      <c r="C4013" s="9" t="s">
        <v>1585</v>
      </c>
      <c r="D4013" s="6" t="str">
        <f t="shared" si="2"/>
        <v>mermaid e-800/20 - lavadora de ultra pressão nilfisk</v>
      </c>
      <c r="E4013" s="2" t="s">
        <v>226</v>
      </c>
      <c r="F4013" s="9"/>
      <c r="G4013" s="9"/>
      <c r="H4013" s="9"/>
    </row>
    <row r="4014" spans="1:8" x14ac:dyDescent="0.35">
      <c r="A4014" s="2" t="s">
        <v>1499</v>
      </c>
      <c r="B4014" s="2" t="s">
        <v>20</v>
      </c>
      <c r="C4014" s="9" t="s">
        <v>1586</v>
      </c>
      <c r="D4014" s="6" t="str">
        <f t="shared" si="2"/>
        <v>mermaid e-1100/16 - lavadora de ultra pressão nilfisk</v>
      </c>
      <c r="E4014" s="2" t="s">
        <v>226</v>
      </c>
      <c r="F4014" s="9"/>
      <c r="G4014" s="9"/>
      <c r="H4014" s="9"/>
    </row>
    <row r="4015" spans="1:8" x14ac:dyDescent="0.35">
      <c r="A4015" s="2" t="s">
        <v>1499</v>
      </c>
      <c r="B4015" s="2" t="s">
        <v>20</v>
      </c>
      <c r="C4015" s="9" t="s">
        <v>1587</v>
      </c>
      <c r="D4015" s="6" t="str">
        <f t="shared" si="2"/>
        <v>jacto j6000 - lavadora de alta pressão romher</v>
      </c>
      <c r="E4015" s="2" t="s">
        <v>226</v>
      </c>
      <c r="F4015" s="9"/>
      <c r="G4015" s="9"/>
      <c r="H4015" s="9"/>
    </row>
    <row r="4016" spans="1:8" x14ac:dyDescent="0.35">
      <c r="A4016" s="2" t="s">
        <v>1499</v>
      </c>
      <c r="B4016" s="2" t="s">
        <v>20</v>
      </c>
      <c r="C4016" s="9" t="s">
        <v>1588</v>
      </c>
      <c r="D4016" s="6" t="str">
        <f t="shared" si="2"/>
        <v>jacto j6200 - lavadora de alta pressão romher</v>
      </c>
      <c r="E4016" s="2" t="s">
        <v>226</v>
      </c>
      <c r="F4016" s="9"/>
      <c r="G4016" s="9"/>
      <c r="H4016" s="9"/>
    </row>
    <row r="4017" spans="1:8" x14ac:dyDescent="0.35">
      <c r="A4017" s="2" t="s">
        <v>1499</v>
      </c>
      <c r="B4017" s="2" t="s">
        <v>20</v>
      </c>
      <c r="C4017" s="9" t="s">
        <v>1589</v>
      </c>
      <c r="D4017" s="6" t="str">
        <f t="shared" si="2"/>
        <v>jacto j6800 - lavadora de alta pressão romher</v>
      </c>
      <c r="E4017" s="2" t="s">
        <v>226</v>
      </c>
      <c r="F4017" s="9"/>
      <c r="G4017" s="9"/>
      <c r="H4017" s="9"/>
    </row>
    <row r="4018" spans="1:8" x14ac:dyDescent="0.35">
      <c r="A4018" s="2" t="s">
        <v>1499</v>
      </c>
      <c r="B4018" s="2" t="s">
        <v>20</v>
      </c>
      <c r="C4018" s="9" t="s">
        <v>1590</v>
      </c>
      <c r="D4018" s="6" t="str">
        <f t="shared" si="2"/>
        <v>jacto j7000 - lavadora de alta pressão romher</v>
      </c>
      <c r="E4018" s="2" t="s">
        <v>226</v>
      </c>
      <c r="F4018" s="9"/>
      <c r="G4018" s="9"/>
      <c r="H4018" s="9"/>
    </row>
    <row r="4019" spans="1:8" x14ac:dyDescent="0.35">
      <c r="A4019" s="2" t="s">
        <v>1499</v>
      </c>
      <c r="B4019" s="2" t="s">
        <v>20</v>
      </c>
      <c r="C4019" s="9" t="s">
        <v>1591</v>
      </c>
      <c r="D4019" s="6" t="str">
        <f t="shared" si="2"/>
        <v>jacto j8000 - lavadora de alta pressão romher</v>
      </c>
      <c r="E4019" s="2" t="s">
        <v>226</v>
      </c>
      <c r="F4019" s="9"/>
      <c r="G4019" s="9"/>
      <c r="H4019" s="9"/>
    </row>
    <row r="4020" spans="1:8" x14ac:dyDescent="0.35">
      <c r="A4020" s="2" t="s">
        <v>1499</v>
      </c>
      <c r="B4020" s="2" t="s">
        <v>20</v>
      </c>
      <c r="C4020" s="9" t="s">
        <v>1592</v>
      </c>
      <c r="D4020" s="6" t="str">
        <f t="shared" si="2"/>
        <v>jacto j9800 - lavadora de alta pressão romher</v>
      </c>
      <c r="E4020" s="2" t="s">
        <v>226</v>
      </c>
      <c r="F4020" s="9"/>
      <c r="G4020" s="9"/>
      <c r="H4020" s="9"/>
    </row>
    <row r="4021" spans="1:8" x14ac:dyDescent="0.35">
      <c r="A4021" s="2" t="s">
        <v>1499</v>
      </c>
      <c r="B4021" s="2" t="s">
        <v>20</v>
      </c>
      <c r="C4021" s="9" t="s">
        <v>1593</v>
      </c>
      <c r="D4021" s="6" t="str">
        <f t="shared" si="2"/>
        <v>a135l - lavadora de piso a bateria alfa tennant</v>
      </c>
      <c r="E4021" s="2" t="s">
        <v>260</v>
      </c>
      <c r="F4021" s="9"/>
      <c r="G4021" s="9"/>
      <c r="H4021" s="9"/>
    </row>
    <row r="4022" spans="1:8" x14ac:dyDescent="0.35">
      <c r="A4022" s="2" t="s">
        <v>1499</v>
      </c>
      <c r="B4022" s="2" t="s">
        <v>20</v>
      </c>
      <c r="C4022" s="9" t="s">
        <v>1594</v>
      </c>
      <c r="D4022" s="6" t="str">
        <f t="shared" si="2"/>
        <v>a260c - lavadora a cabo de operação a pé alfa tennant</v>
      </c>
      <c r="E4022" s="2" t="s">
        <v>260</v>
      </c>
      <c r="F4022" s="9"/>
      <c r="G4022" s="9"/>
      <c r="H4022" s="9"/>
    </row>
    <row r="4023" spans="1:8" x14ac:dyDescent="0.35">
      <c r="A4023" s="2" t="s">
        <v>1499</v>
      </c>
      <c r="B4023" s="2" t="s">
        <v>20</v>
      </c>
      <c r="C4023" s="9" t="s">
        <v>1595</v>
      </c>
      <c r="D4023" s="6" t="str">
        <f t="shared" si="2"/>
        <v>fox - lavadora automática a cabo e operação a pé alfa tennant</v>
      </c>
      <c r="E4023" s="2" t="s">
        <v>260</v>
      </c>
      <c r="F4023" s="9"/>
      <c r="G4023" s="9"/>
      <c r="H4023" s="9"/>
    </row>
    <row r="4024" spans="1:8" x14ac:dyDescent="0.35">
      <c r="A4024" s="2" t="s">
        <v>1499</v>
      </c>
      <c r="B4024" s="2" t="s">
        <v>20</v>
      </c>
      <c r="C4024" s="9" t="s">
        <v>1596</v>
      </c>
      <c r="D4024" s="6" t="str">
        <f t="shared" ref="D4024:D4055" si="3">SUBSTITUTE(SUBSTITUTE(SUBSTITUTE(SUBSTITUTE(SUBSTITUTE(SUBSTITUTE(LOWER(C4024),"(/)",""),"(/",""),"/)",""),"(",""),")",""),"  "," ")</f>
        <v>eco - lavadora a cabo de operação a pé alfa tennant</v>
      </c>
      <c r="E4024" s="2" t="s">
        <v>260</v>
      </c>
      <c r="F4024" s="9"/>
      <c r="G4024" s="9"/>
      <c r="H4024" s="9"/>
    </row>
    <row r="4025" spans="1:8" x14ac:dyDescent="0.35">
      <c r="A4025" s="2" t="s">
        <v>1499</v>
      </c>
      <c r="B4025" s="2" t="s">
        <v>20</v>
      </c>
      <c r="C4025" s="9" t="s">
        <v>1597</v>
      </c>
      <c r="D4025" s="6" t="str">
        <f t="shared" si="3"/>
        <v>a650 - lavadora compacta de operação a bordo alfa tennant</v>
      </c>
      <c r="E4025" s="2" t="s">
        <v>271</v>
      </c>
      <c r="F4025" s="9"/>
      <c r="G4025" s="9"/>
      <c r="H4025" s="9"/>
    </row>
    <row r="4026" spans="1:8" x14ac:dyDescent="0.35">
      <c r="A4026" s="2" t="s">
        <v>1499</v>
      </c>
      <c r="B4026" s="2" t="s">
        <v>20</v>
      </c>
      <c r="C4026" s="9" t="s">
        <v>1598</v>
      </c>
      <c r="D4026" s="6" t="str">
        <f t="shared" si="3"/>
        <v>a140 - lavadora compacta de operação a pé alfa tennant</v>
      </c>
      <c r="E4026" s="2" t="s">
        <v>260</v>
      </c>
      <c r="F4026" s="9"/>
      <c r="G4026" s="9"/>
      <c r="H4026" s="9"/>
    </row>
    <row r="4027" spans="1:8" x14ac:dyDescent="0.35">
      <c r="A4027" s="2" t="s">
        <v>1499</v>
      </c>
      <c r="B4027" s="2" t="s">
        <v>20</v>
      </c>
      <c r="C4027" s="9" t="s">
        <v>1599</v>
      </c>
      <c r="D4027" s="6" t="str">
        <f t="shared" si="3"/>
        <v>b70 - lavadora de operação a pé alfa tennant</v>
      </c>
      <c r="E4027" s="2" t="s">
        <v>260</v>
      </c>
      <c r="F4027" s="9"/>
      <c r="G4027" s="9"/>
      <c r="H4027" s="9"/>
    </row>
    <row r="4028" spans="1:8" x14ac:dyDescent="0.35">
      <c r="A4028" s="2" t="s">
        <v>1499</v>
      </c>
      <c r="B4028" s="2" t="s">
        <v>20</v>
      </c>
      <c r="C4028" s="9" t="s">
        <v>1600</v>
      </c>
      <c r="D4028" s="6" t="str">
        <f t="shared" si="3"/>
        <v>alfa mini - lavadora compacta de operação a pé alfa tennant</v>
      </c>
      <c r="E4028" s="2" t="s">
        <v>260</v>
      </c>
      <c r="F4028" s="9"/>
      <c r="G4028" s="9"/>
      <c r="H4028" s="9"/>
    </row>
    <row r="4029" spans="1:8" x14ac:dyDescent="0.35">
      <c r="A4029" s="2" t="s">
        <v>1499</v>
      </c>
      <c r="B4029" s="2" t="s">
        <v>20</v>
      </c>
      <c r="C4029" s="9" t="s">
        <v>1601</v>
      </c>
      <c r="D4029" s="6" t="str">
        <f t="shared" si="3"/>
        <v>brava - lavadora de piso de operação a bordo alfa tennant</v>
      </c>
      <c r="E4029" s="2" t="s">
        <v>271</v>
      </c>
      <c r="F4029" s="9"/>
      <c r="G4029" s="9"/>
      <c r="H4029" s="9"/>
    </row>
    <row r="4030" spans="1:8" x14ac:dyDescent="0.35">
      <c r="A4030" s="2" t="s">
        <v>1499</v>
      </c>
      <c r="B4030" s="2" t="s">
        <v>20</v>
      </c>
      <c r="C4030" s="9" t="s">
        <v>1602</v>
      </c>
      <c r="D4030" s="6" t="str">
        <f t="shared" si="3"/>
        <v>t16 - lavadora de operação a bordo e acionamento a bateria alfa tennant</v>
      </c>
      <c r="E4030" s="2" t="s">
        <v>271</v>
      </c>
      <c r="F4030" s="9"/>
      <c r="G4030" s="9"/>
      <c r="H4030" s="9"/>
    </row>
    <row r="4031" spans="1:8" x14ac:dyDescent="0.35">
      <c r="A4031" s="2" t="s">
        <v>1499</v>
      </c>
      <c r="B4031" s="2" t="s">
        <v>20</v>
      </c>
      <c r="C4031" s="9" t="s">
        <v>1599</v>
      </c>
      <c r="D4031" s="6" t="str">
        <f t="shared" si="3"/>
        <v>b70 - lavadora de operação a pé alfa tennant</v>
      </c>
      <c r="E4031" s="2" t="s">
        <v>260</v>
      </c>
      <c r="F4031" s="9"/>
      <c r="G4031" s="9"/>
      <c r="H4031" s="9"/>
    </row>
    <row r="4032" spans="1:8" x14ac:dyDescent="0.35">
      <c r="A4032" s="2" t="s">
        <v>1499</v>
      </c>
      <c r="B4032" s="2" t="s">
        <v>20</v>
      </c>
      <c r="C4032" s="9" t="s">
        <v>1603</v>
      </c>
      <c r="D4032" s="6" t="str">
        <f t="shared" si="3"/>
        <v>t7amr - lavadora de piso autônoma alfa tennant</v>
      </c>
      <c r="E4032" s="2" t="s">
        <v>271</v>
      </c>
      <c r="F4032" s="9"/>
      <c r="G4032" s="9"/>
      <c r="H4032" s="9"/>
    </row>
    <row r="4033" spans="1:8" x14ac:dyDescent="0.35">
      <c r="A4033" s="2" t="s">
        <v>1499</v>
      </c>
      <c r="B4033" s="2" t="s">
        <v>20</v>
      </c>
      <c r="C4033" s="9" t="s">
        <v>1604</v>
      </c>
      <c r="D4033" s="6" t="str">
        <f t="shared" si="3"/>
        <v>a750 - lavadora de piso de operação a bordo alfa tennant</v>
      </c>
      <c r="E4033" s="2" t="s">
        <v>271</v>
      </c>
      <c r="F4033" s="9"/>
      <c r="G4033" s="9"/>
      <c r="H4033" s="9"/>
    </row>
    <row r="4034" spans="1:8" x14ac:dyDescent="0.35">
      <c r="A4034" s="2" t="s">
        <v>1499</v>
      </c>
      <c r="B4034" s="2" t="s">
        <v>20</v>
      </c>
      <c r="C4034" s="9" t="s">
        <v>1605</v>
      </c>
      <c r="D4034" s="6" t="str">
        <f t="shared" si="3"/>
        <v>t7 - lavadora de piso de operação a bordo alfa tennant</v>
      </c>
      <c r="E4034" s="2" t="s">
        <v>271</v>
      </c>
      <c r="F4034" s="9"/>
      <c r="G4034" s="9"/>
      <c r="H4034" s="9"/>
    </row>
    <row r="4035" spans="1:8" x14ac:dyDescent="0.35">
      <c r="A4035" s="2" t="s">
        <v>1499</v>
      </c>
      <c r="B4035" s="2" t="s">
        <v>20</v>
      </c>
      <c r="C4035" s="9" t="s">
        <v>1606</v>
      </c>
      <c r="D4035" s="6" t="str">
        <f t="shared" si="3"/>
        <v>a135 - lavadora de piso de operação a pé alfa tennant</v>
      </c>
      <c r="E4035" s="2" t="s">
        <v>260</v>
      </c>
      <c r="F4035" s="9"/>
      <c r="G4035" s="9"/>
      <c r="H4035" s="9"/>
    </row>
    <row r="4036" spans="1:8" x14ac:dyDescent="0.35">
      <c r="A4036" s="2" t="s">
        <v>1499</v>
      </c>
      <c r="B4036" s="2" t="s">
        <v>20</v>
      </c>
      <c r="C4036" s="9" t="s">
        <v>1607</v>
      </c>
      <c r="D4036" s="6" t="str">
        <f t="shared" si="3"/>
        <v>a260 - lavadora de piso de operação a pé alfa tennant</v>
      </c>
      <c r="E4036" s="2" t="s">
        <v>260</v>
      </c>
      <c r="F4036" s="9"/>
      <c r="G4036" s="9"/>
      <c r="H4036" s="9"/>
    </row>
    <row r="4037" spans="1:8" x14ac:dyDescent="0.35">
      <c r="A4037" s="2" t="s">
        <v>1499</v>
      </c>
      <c r="B4037" s="2" t="s">
        <v>20</v>
      </c>
      <c r="C4037" s="9" t="s">
        <v>1608</v>
      </c>
      <c r="D4037" s="6" t="str">
        <f t="shared" si="3"/>
        <v>a300 - lavadora de piso de operação a pé alfa tennant</v>
      </c>
      <c r="E4037" s="2" t="s">
        <v>260</v>
      </c>
      <c r="F4037" s="9"/>
      <c r="G4037" s="9"/>
      <c r="H4037" s="9"/>
    </row>
    <row r="4038" spans="1:8" x14ac:dyDescent="0.35">
      <c r="A4038" s="2" t="s">
        <v>1499</v>
      </c>
      <c r="B4038" s="2" t="s">
        <v>20</v>
      </c>
      <c r="C4038" s="9" t="s">
        <v>1609</v>
      </c>
      <c r="D4038" s="6" t="str">
        <f t="shared" si="3"/>
        <v>a500 - lavadora de piso de operação a pé alfa tennant</v>
      </c>
      <c r="E4038" s="2" t="s">
        <v>260</v>
      </c>
      <c r="F4038" s="9"/>
      <c r="G4038" s="9"/>
      <c r="H4038" s="9"/>
    </row>
    <row r="4039" spans="1:8" x14ac:dyDescent="0.35">
      <c r="A4039" s="2" t="s">
        <v>1499</v>
      </c>
      <c r="B4039" s="2" t="s">
        <v>20</v>
      </c>
      <c r="C4039" s="9" t="s">
        <v>1610</v>
      </c>
      <c r="D4039" s="6" t="str">
        <f t="shared" si="3"/>
        <v>t600e - lavadora de piso de operação a pé alfa tennant</v>
      </c>
      <c r="E4039" s="2" t="s">
        <v>260</v>
      </c>
      <c r="F4039" s="9"/>
      <c r="G4039" s="9"/>
      <c r="H4039" s="9"/>
    </row>
    <row r="4040" spans="1:8" x14ac:dyDescent="0.35">
      <c r="A4040" s="2" t="s">
        <v>1499</v>
      </c>
      <c r="B4040" s="2" t="s">
        <v>20</v>
      </c>
      <c r="C4040" s="9" t="s">
        <v>1611</v>
      </c>
      <c r="D4040" s="6" t="str">
        <f t="shared" si="3"/>
        <v>i-mop lite - lavadora de piso de operação a pé alfa tennant</v>
      </c>
      <c r="E4040" s="2" t="s">
        <v>260</v>
      </c>
      <c r="F4040" s="9"/>
      <c r="G4040" s="9"/>
      <c r="H4040" s="9"/>
    </row>
    <row r="4041" spans="1:8" x14ac:dyDescent="0.35">
      <c r="A4041" s="2" t="s">
        <v>1499</v>
      </c>
      <c r="B4041" s="2" t="s">
        <v>20</v>
      </c>
      <c r="C4041" s="9" t="s">
        <v>1612</v>
      </c>
      <c r="D4041" s="6" t="str">
        <f t="shared" si="3"/>
        <v>t17 - lavadora de pisos de operação a bordo à bateria alfa tennant</v>
      </c>
      <c r="E4041" s="2" t="s">
        <v>271</v>
      </c>
      <c r="F4041" s="9"/>
      <c r="G4041" s="9"/>
      <c r="H4041" s="9"/>
    </row>
    <row r="4042" spans="1:8" x14ac:dyDescent="0.35">
      <c r="A4042" s="2" t="s">
        <v>1499</v>
      </c>
      <c r="B4042" s="2" t="s">
        <v>20</v>
      </c>
      <c r="C4042" s="9" t="s">
        <v>1613</v>
      </c>
      <c r="D4042" s="6" t="str">
        <f t="shared" si="3"/>
        <v>t16amr - lavadora industrial de piso autônoma alfa tennant</v>
      </c>
      <c r="E4042" s="2" t="s">
        <v>271</v>
      </c>
      <c r="F4042" s="9"/>
      <c r="G4042" s="9"/>
      <c r="H4042" s="9"/>
    </row>
    <row r="4043" spans="1:8" x14ac:dyDescent="0.35">
      <c r="A4043" s="2" t="s">
        <v>1499</v>
      </c>
      <c r="B4043" s="2" t="s">
        <v>20</v>
      </c>
      <c r="C4043" s="9" t="s">
        <v>1614</v>
      </c>
      <c r="D4043" s="6" t="str">
        <f t="shared" si="3"/>
        <v>scrubmaster b5 - lavadora de operador em pé hako do brasil</v>
      </c>
      <c r="E4043" s="2" t="s">
        <v>260</v>
      </c>
      <c r="F4043" s="9"/>
      <c r="G4043" s="9"/>
      <c r="H4043" s="9"/>
    </row>
    <row r="4044" spans="1:8" x14ac:dyDescent="0.35">
      <c r="A4044" s="2" t="s">
        <v>1499</v>
      </c>
      <c r="B4044" s="2" t="s">
        <v>20</v>
      </c>
      <c r="C4044" s="9" t="s">
        <v>1615</v>
      </c>
      <c r="D4044" s="6" t="str">
        <f t="shared" si="3"/>
        <v>scrubmaster b25r - lavadora de operador em pé hako do brasil</v>
      </c>
      <c r="E4044" s="2" t="s">
        <v>260</v>
      </c>
      <c r="F4044" s="9"/>
      <c r="G4044" s="9"/>
      <c r="H4044" s="9"/>
    </row>
    <row r="4045" spans="1:8" x14ac:dyDescent="0.35">
      <c r="A4045" s="2" t="s">
        <v>1499</v>
      </c>
      <c r="B4045" s="2" t="s">
        <v>20</v>
      </c>
      <c r="C4045" s="9" t="s">
        <v>1616</v>
      </c>
      <c r="D4045" s="6" t="str">
        <f t="shared" si="3"/>
        <v>scrubmaster b45 - lavadora de operador em pé hako do brasil</v>
      </c>
      <c r="E4045" s="2" t="s">
        <v>260</v>
      </c>
      <c r="F4045" s="9"/>
      <c r="G4045" s="9"/>
      <c r="H4045" s="9"/>
    </row>
    <row r="4046" spans="1:8" x14ac:dyDescent="0.35">
      <c r="A4046" s="2" t="s">
        <v>1499</v>
      </c>
      <c r="B4046" s="2" t="s">
        <v>20</v>
      </c>
      <c r="C4046" s="9" t="s">
        <v>1617</v>
      </c>
      <c r="D4046" s="6" t="str">
        <f t="shared" si="3"/>
        <v>scrubmaster b70 - lavadora de operador em pé hako do brasil</v>
      </c>
      <c r="E4046" s="2" t="s">
        <v>260</v>
      </c>
      <c r="F4046" s="9"/>
      <c r="G4046" s="9"/>
      <c r="H4046" s="9"/>
    </row>
    <row r="4047" spans="1:8" x14ac:dyDescent="0.35">
      <c r="A4047" s="2" t="s">
        <v>1499</v>
      </c>
      <c r="B4047" s="2" t="s">
        <v>20</v>
      </c>
      <c r="C4047" s="9" t="s">
        <v>1618</v>
      </c>
      <c r="D4047" s="6" t="str">
        <f t="shared" si="3"/>
        <v>scrubmaster b75r- lavadora a bordo hako do brasil</v>
      </c>
      <c r="E4047" s="2" t="s">
        <v>271</v>
      </c>
      <c r="F4047" s="9"/>
      <c r="G4047" s="9"/>
      <c r="H4047" s="9"/>
    </row>
    <row r="4048" spans="1:8" x14ac:dyDescent="0.35">
      <c r="A4048" s="2" t="s">
        <v>1499</v>
      </c>
      <c r="B4048" s="2" t="s">
        <v>20</v>
      </c>
      <c r="C4048" s="9" t="s">
        <v>1619</v>
      </c>
      <c r="D4048" s="6" t="str">
        <f t="shared" si="3"/>
        <v>sc100 - lavadora de operação a pé nilfisk</v>
      </c>
      <c r="E4048" s="2" t="s">
        <v>260</v>
      </c>
      <c r="F4048" s="9"/>
      <c r="G4048" s="9"/>
      <c r="H4048" s="9"/>
    </row>
    <row r="4049" spans="1:8" x14ac:dyDescent="0.35">
      <c r="A4049" s="2" t="s">
        <v>1499</v>
      </c>
      <c r="B4049" s="2" t="s">
        <v>20</v>
      </c>
      <c r="C4049" s="9" t="s">
        <v>1620</v>
      </c>
      <c r="D4049" s="6" t="str">
        <f t="shared" si="3"/>
        <v>sc250 - lavadora de operação a pé nilfisk</v>
      </c>
      <c r="E4049" s="2" t="s">
        <v>260</v>
      </c>
      <c r="F4049" s="9"/>
      <c r="G4049" s="9"/>
      <c r="H4049" s="9"/>
    </row>
    <row r="4050" spans="1:8" x14ac:dyDescent="0.35">
      <c r="A4050" s="2" t="s">
        <v>1499</v>
      </c>
      <c r="B4050" s="2" t="s">
        <v>20</v>
      </c>
      <c r="C4050" s="9" t="s">
        <v>1621</v>
      </c>
      <c r="D4050" s="6" t="str">
        <f t="shared" si="3"/>
        <v>sc351 - lavadora de operação a pé nilfisk</v>
      </c>
      <c r="E4050" s="2" t="s">
        <v>260</v>
      </c>
      <c r="F4050" s="9"/>
      <c r="G4050" s="9"/>
      <c r="H4050" s="9"/>
    </row>
    <row r="4051" spans="1:8" x14ac:dyDescent="0.35">
      <c r="A4051" s="2" t="s">
        <v>1499</v>
      </c>
      <c r="B4051" s="2" t="s">
        <v>20</v>
      </c>
      <c r="C4051" s="9" t="s">
        <v>1622</v>
      </c>
      <c r="D4051" s="6" t="str">
        <f t="shared" si="3"/>
        <v>sc450 - lavadora de operação a pé nilfisk</v>
      </c>
      <c r="E4051" s="2" t="s">
        <v>260</v>
      </c>
      <c r="F4051" s="9"/>
      <c r="G4051" s="9"/>
      <c r="H4051" s="9"/>
    </row>
    <row r="4052" spans="1:8" x14ac:dyDescent="0.35">
      <c r="A4052" s="2" t="s">
        <v>1499</v>
      </c>
      <c r="B4052" s="2" t="s">
        <v>20</v>
      </c>
      <c r="C4052" s="9" t="s">
        <v>1623</v>
      </c>
      <c r="D4052" s="6" t="str">
        <f t="shared" si="3"/>
        <v>sc901 - lavadora de operação a pé nilfisk</v>
      </c>
      <c r="E4052" s="2" t="s">
        <v>260</v>
      </c>
      <c r="F4052" s="9"/>
      <c r="G4052" s="9"/>
      <c r="H4052" s="9"/>
    </row>
    <row r="4053" spans="1:8" x14ac:dyDescent="0.35">
      <c r="A4053" s="2" t="s">
        <v>1499</v>
      </c>
      <c r="B4053" s="2" t="s">
        <v>20</v>
      </c>
      <c r="C4053" s="9" t="s">
        <v>1624</v>
      </c>
      <c r="D4053" s="6" t="str">
        <f t="shared" si="3"/>
        <v>autônoma sc50 - lavadora de operação de bordo nilfisk</v>
      </c>
      <c r="E4053" s="2" t="s">
        <v>271</v>
      </c>
      <c r="F4053" s="9"/>
      <c r="G4053" s="9"/>
      <c r="H4053" s="9"/>
    </row>
    <row r="4054" spans="1:8" x14ac:dyDescent="0.35">
      <c r="A4054" s="2" t="s">
        <v>1499</v>
      </c>
      <c r="B4054" s="2" t="s">
        <v>20</v>
      </c>
      <c r="C4054" s="9" t="s">
        <v>1625</v>
      </c>
      <c r="D4054" s="6" t="str">
        <f t="shared" si="3"/>
        <v>sc2000 - lavadora de operação de bordo nilfisk</v>
      </c>
      <c r="E4054" s="2" t="s">
        <v>271</v>
      </c>
      <c r="F4054" s="9"/>
      <c r="G4054" s="9"/>
      <c r="H4054" s="9"/>
    </row>
    <row r="4055" spans="1:8" x14ac:dyDescent="0.35">
      <c r="A4055" s="2" t="s">
        <v>1499</v>
      </c>
      <c r="B4055" s="2" t="s">
        <v>20</v>
      </c>
      <c r="C4055" s="9" t="s">
        <v>1626</v>
      </c>
      <c r="D4055" s="6" t="str">
        <f t="shared" si="3"/>
        <v>advenger 3400 - lavadora de operação de bordo nilfisk</v>
      </c>
      <c r="E4055" s="2" t="s">
        <v>271</v>
      </c>
      <c r="F4055" s="9"/>
      <c r="G4055" s="9"/>
      <c r="H4055" s="9"/>
    </row>
    <row r="4056" spans="1:8" x14ac:dyDescent="0.35">
      <c r="A4056" s="2" t="s">
        <v>1499</v>
      </c>
      <c r="B4056" s="2" t="s">
        <v>20</v>
      </c>
      <c r="C4056" s="9" t="s">
        <v>1627</v>
      </c>
      <c r="D4056" s="6" t="str">
        <f t="shared" ref="D4056:D4087" si="4">SUBSTITUTE(SUBSTITUTE(SUBSTITUTE(SUBSTITUTE(SUBSTITUTE(SUBSTITUTE(LOWER(C4056),"(/)",""),"(/",""),"/)",""),"(",""),")",""),"  "," ")</f>
        <v>sc6000 - lavadora de operação de bordo nilfisk</v>
      </c>
      <c r="E4056" s="2" t="s">
        <v>271</v>
      </c>
      <c r="F4056" s="9"/>
      <c r="G4056" s="9"/>
      <c r="H4056" s="9"/>
    </row>
    <row r="4057" spans="1:8" x14ac:dyDescent="0.35">
      <c r="A4057" s="2" t="s">
        <v>1499</v>
      </c>
      <c r="B4057" s="2" t="s">
        <v>20</v>
      </c>
      <c r="C4057" s="9" t="s">
        <v>1628</v>
      </c>
      <c r="D4057" s="6" t="str">
        <f t="shared" si="4"/>
        <v>sc6500 - lavadora de operação de bordo nilfisk</v>
      </c>
      <c r="E4057" s="2" t="s">
        <v>271</v>
      </c>
      <c r="F4057" s="9"/>
      <c r="G4057" s="9"/>
      <c r="H4057" s="9"/>
    </row>
    <row r="4058" spans="1:8" x14ac:dyDescent="0.35">
      <c r="A4058" s="2" t="s">
        <v>1499</v>
      </c>
      <c r="B4058" s="2" t="s">
        <v>20</v>
      </c>
      <c r="C4058" s="9" t="s">
        <v>1629</v>
      </c>
      <c r="D4058" s="6" t="str">
        <f t="shared" si="4"/>
        <v>sc8000 - lavadora de operação de bordo nilfisk</v>
      </c>
      <c r="E4058" s="2" t="s">
        <v>271</v>
      </c>
      <c r="F4058" s="9"/>
      <c r="G4058" s="9"/>
      <c r="H4058" s="9"/>
    </row>
    <row r="4059" spans="1:8" x14ac:dyDescent="0.35">
      <c r="A4059" s="2" t="s">
        <v>1499</v>
      </c>
      <c r="B4059" s="2" t="s">
        <v>20</v>
      </c>
      <c r="C4059" s="9" t="s">
        <v>1630</v>
      </c>
      <c r="D4059" s="6" t="str">
        <f t="shared" si="4"/>
        <v>cs7010 - lavadora de operação de bordo nilfisk</v>
      </c>
      <c r="E4059" s="2" t="s">
        <v>271</v>
      </c>
      <c r="F4059" s="9"/>
      <c r="G4059" s="9"/>
      <c r="H4059" s="9"/>
    </row>
    <row r="4060" spans="1:8" x14ac:dyDescent="0.35">
      <c r="A4060" s="2" t="s">
        <v>1499</v>
      </c>
      <c r="B4060" s="2" t="s">
        <v>20</v>
      </c>
      <c r="C4060" s="9" t="s">
        <v>1631</v>
      </c>
      <c r="D4060" s="6" t="str">
        <f t="shared" si="4"/>
        <v>as380b - lavadora de operação a pé linha viper nilfisk</v>
      </c>
      <c r="E4060" s="2" t="s">
        <v>260</v>
      </c>
      <c r="F4060" s="9"/>
      <c r="G4060" s="9"/>
      <c r="H4060" s="9"/>
    </row>
    <row r="4061" spans="1:8" x14ac:dyDescent="0.35">
      <c r="A4061" s="2" t="s">
        <v>1499</v>
      </c>
      <c r="B4061" s="2" t="s">
        <v>20</v>
      </c>
      <c r="C4061" s="9" t="s">
        <v>1632</v>
      </c>
      <c r="D4061" s="6" t="str">
        <f t="shared" si="4"/>
        <v>as380c - lavadora de operação a pé linha viper nilfisk</v>
      </c>
      <c r="E4061" s="2" t="s">
        <v>260</v>
      </c>
      <c r="F4061" s="9"/>
      <c r="G4061" s="9"/>
      <c r="H4061" s="9"/>
    </row>
    <row r="4062" spans="1:8" x14ac:dyDescent="0.35">
      <c r="A4062" s="2" t="s">
        <v>1499</v>
      </c>
      <c r="B4062" s="2" t="s">
        <v>20</v>
      </c>
      <c r="C4062" s="9" t="s">
        <v>1633</v>
      </c>
      <c r="D4062" s="6" t="str">
        <f t="shared" si="4"/>
        <v>as430 - lavadora de operação a pé linha viper nilfisk</v>
      </c>
      <c r="E4062" s="2" t="s">
        <v>260</v>
      </c>
      <c r="F4062" s="9"/>
      <c r="G4062" s="9"/>
      <c r="H4062" s="9"/>
    </row>
    <row r="4063" spans="1:8" x14ac:dyDescent="0.35">
      <c r="A4063" s="2" t="s">
        <v>1499</v>
      </c>
      <c r="B4063" s="2" t="s">
        <v>20</v>
      </c>
      <c r="C4063" s="9" t="s">
        <v>1634</v>
      </c>
      <c r="D4063" s="6" t="str">
        <f t="shared" si="4"/>
        <v>as510 - lavadora de operação a pé linha viper nilfisk</v>
      </c>
      <c r="E4063" s="2" t="s">
        <v>260</v>
      </c>
      <c r="F4063" s="9"/>
      <c r="G4063" s="9"/>
      <c r="H4063" s="9"/>
    </row>
    <row r="4064" spans="1:8" x14ac:dyDescent="0.35">
      <c r="A4064" s="2" t="s">
        <v>1499</v>
      </c>
      <c r="B4064" s="2" t="s">
        <v>20</v>
      </c>
      <c r="C4064" s="9" t="s">
        <v>1635</v>
      </c>
      <c r="D4064" s="6" t="str">
        <f t="shared" si="4"/>
        <v>as4325b - lavadora de operação a pé linha viper nilfisk</v>
      </c>
      <c r="E4064" s="2" t="s">
        <v>260</v>
      </c>
      <c r="F4064" s="9"/>
      <c r="G4064" s="9"/>
      <c r="H4064" s="9"/>
    </row>
    <row r="4065" spans="1:8" x14ac:dyDescent="0.35">
      <c r="A4065" s="2" t="s">
        <v>1499</v>
      </c>
      <c r="B4065" s="2" t="s">
        <v>20</v>
      </c>
      <c r="C4065" s="9" t="s">
        <v>1636</v>
      </c>
      <c r="D4065" s="6" t="str">
        <f t="shared" si="4"/>
        <v>as4335c - lavadora de operação a pé linha viper nilfisk</v>
      </c>
      <c r="E4065" s="2" t="s">
        <v>260</v>
      </c>
      <c r="F4065" s="9"/>
      <c r="G4065" s="9"/>
      <c r="H4065" s="9"/>
    </row>
    <row r="4066" spans="1:8" x14ac:dyDescent="0.35">
      <c r="A4066" s="2" t="s">
        <v>1499</v>
      </c>
      <c r="B4066" s="2" t="s">
        <v>20</v>
      </c>
      <c r="C4066" s="9" t="s">
        <v>1637</v>
      </c>
      <c r="D4066" s="6" t="str">
        <f t="shared" si="4"/>
        <v>as5160 - lavadora de operação a pé linha viper nilfisk</v>
      </c>
      <c r="E4066" s="2" t="s">
        <v>260</v>
      </c>
      <c r="F4066" s="9"/>
      <c r="G4066" s="9"/>
      <c r="H4066" s="9"/>
    </row>
    <row r="4067" spans="1:8" x14ac:dyDescent="0.35">
      <c r="A4067" s="2" t="s">
        <v>1499</v>
      </c>
      <c r="B4067" s="2" t="s">
        <v>20</v>
      </c>
      <c r="C4067" s="9" t="s">
        <v>1638</v>
      </c>
      <c r="D4067" s="6" t="str">
        <f t="shared" si="4"/>
        <v>as5160to - lavadora de operação a pé linha viper nilfisk</v>
      </c>
      <c r="E4067" s="2" t="s">
        <v>260</v>
      </c>
      <c r="F4067" s="9"/>
      <c r="G4067" s="9"/>
      <c r="H4067" s="9"/>
    </row>
    <row r="4068" spans="1:8" x14ac:dyDescent="0.35">
      <c r="A4068" s="2" t="s">
        <v>1499</v>
      </c>
      <c r="B4068" s="2" t="s">
        <v>20</v>
      </c>
      <c r="C4068" s="9" t="s">
        <v>1639</v>
      </c>
      <c r="D4068" s="6" t="str">
        <f t="shared" si="4"/>
        <v>as7690t - lavadora de operação a pé linha viper nilfisk</v>
      </c>
      <c r="E4068" s="2" t="s">
        <v>260</v>
      </c>
      <c r="F4068" s="9"/>
      <c r="G4068" s="9"/>
      <c r="H4068" s="9"/>
    </row>
    <row r="4069" spans="1:8" x14ac:dyDescent="0.35">
      <c r="A4069" s="2" t="s">
        <v>1499</v>
      </c>
      <c r="B4069" s="2" t="s">
        <v>20</v>
      </c>
      <c r="C4069" s="9" t="s">
        <v>1640</v>
      </c>
      <c r="D4069" s="6" t="str">
        <f t="shared" si="4"/>
        <v>as530r - lavadora de operação de bordo linha viper nilfisk</v>
      </c>
      <c r="E4069" s="2" t="s">
        <v>271</v>
      </c>
      <c r="F4069" s="9"/>
      <c r="G4069" s="9"/>
      <c r="H4069" s="9"/>
    </row>
    <row r="4070" spans="1:8" x14ac:dyDescent="0.35">
      <c r="A4070" s="2" t="s">
        <v>1499</v>
      </c>
      <c r="B4070" s="2" t="s">
        <v>20</v>
      </c>
      <c r="C4070" s="9" t="s">
        <v>1641</v>
      </c>
      <c r="D4070" s="6" t="str">
        <f t="shared" si="4"/>
        <v>as850r - lavadora de operação de bordo linha viper nilfisk</v>
      </c>
      <c r="E4070" s="2" t="s">
        <v>271</v>
      </c>
      <c r="F4070" s="9"/>
      <c r="G4070" s="9"/>
      <c r="H4070" s="9"/>
    </row>
    <row r="4071" spans="1:8" x14ac:dyDescent="0.35">
      <c r="A4071" s="2" t="s">
        <v>1499</v>
      </c>
      <c r="B4071" s="2" t="s">
        <v>20</v>
      </c>
      <c r="C4071" s="9" t="s">
        <v>1642</v>
      </c>
      <c r="D4071" s="6" t="str">
        <f t="shared" si="4"/>
        <v>as1050r - lavadora de operação de bordo linha viper nilfisk</v>
      </c>
      <c r="E4071" s="2" t="s">
        <v>271</v>
      </c>
      <c r="F4071" s="9"/>
      <c r="G4071" s="9"/>
      <c r="H4071" s="9"/>
    </row>
    <row r="4072" spans="1:8" x14ac:dyDescent="0.35">
      <c r="A4072" s="2" t="s">
        <v>1499</v>
      </c>
      <c r="B4072" s="2" t="s">
        <v>20</v>
      </c>
      <c r="C4072" s="9" t="s">
        <v>1643</v>
      </c>
      <c r="D4072" s="6" t="str">
        <f t="shared" si="4"/>
        <v>ipc ct15 - lavadora de piso romher</v>
      </c>
      <c r="E4072" s="2" t="s">
        <v>260</v>
      </c>
      <c r="F4072" s="9"/>
      <c r="G4072" s="9"/>
      <c r="H4072" s="9"/>
    </row>
    <row r="4073" spans="1:8" x14ac:dyDescent="0.35">
      <c r="A4073" s="2" t="s">
        <v>1499</v>
      </c>
      <c r="B4073" s="2" t="s">
        <v>20</v>
      </c>
      <c r="C4073" s="9" t="s">
        <v>1644</v>
      </c>
      <c r="D4073" s="6" t="str">
        <f t="shared" si="4"/>
        <v>ipc ct30 - lavadora de piso romher</v>
      </c>
      <c r="E4073" s="2" t="s">
        <v>260</v>
      </c>
      <c r="F4073" s="9"/>
      <c r="G4073" s="9"/>
      <c r="H4073" s="9"/>
    </row>
    <row r="4074" spans="1:8" x14ac:dyDescent="0.35">
      <c r="A4074" s="2" t="s">
        <v>1499</v>
      </c>
      <c r="B4074" s="2" t="s">
        <v>20</v>
      </c>
      <c r="C4074" s="9" t="s">
        <v>1645</v>
      </c>
      <c r="D4074" s="6" t="str">
        <f t="shared" si="4"/>
        <v>ipc a115 - lavadora de piso romher</v>
      </c>
      <c r="E4074" s="2" t="s">
        <v>260</v>
      </c>
      <c r="F4074" s="9"/>
      <c r="G4074" s="9"/>
      <c r="H4074" s="9"/>
    </row>
    <row r="4075" spans="1:8" x14ac:dyDescent="0.35">
      <c r="A4075" s="2" t="s">
        <v>1499</v>
      </c>
      <c r="B4075" s="2" t="s">
        <v>20</v>
      </c>
      <c r="C4075" s="9" t="s">
        <v>1646</v>
      </c>
      <c r="D4075" s="6" t="str">
        <f t="shared" si="4"/>
        <v>nt 585 127v *br - aspirador de sólidos e líquidos karcher</v>
      </c>
      <c r="E4075" s="2" t="s">
        <v>46</v>
      </c>
      <c r="F4075" s="9"/>
      <c r="G4075" s="9"/>
      <c r="H4075" s="9"/>
    </row>
    <row r="4076" spans="1:8" x14ac:dyDescent="0.35">
      <c r="A4076" s="2" t="s">
        <v>1499</v>
      </c>
      <c r="B4076" s="2" t="s">
        <v>20</v>
      </c>
      <c r="C4076" s="9" t="s">
        <v>1647</v>
      </c>
      <c r="D4076" s="6" t="str">
        <f t="shared" si="4"/>
        <v>nt 585 220v *br - aspirador de sólidos e líquidos karcher</v>
      </c>
      <c r="E4076" s="2" t="s">
        <v>46</v>
      </c>
      <c r="F4076" s="9"/>
      <c r="G4076" s="9"/>
      <c r="H4076" s="9"/>
    </row>
    <row r="4077" spans="1:8" x14ac:dyDescent="0.35">
      <c r="A4077" s="2" t="s">
        <v>1499</v>
      </c>
      <c r="B4077" s="2" t="s">
        <v>20</v>
      </c>
      <c r="C4077" s="9" t="s">
        <v>1648</v>
      </c>
      <c r="D4077" s="6" t="str">
        <f t="shared" si="4"/>
        <v>nt 2000 127v *br - aspirador de sólidos e líquidos karcher</v>
      </c>
      <c r="E4077" s="2" t="s">
        <v>46</v>
      </c>
      <c r="F4077" s="9"/>
      <c r="G4077" s="9"/>
      <c r="H4077" s="9"/>
    </row>
    <row r="4078" spans="1:8" x14ac:dyDescent="0.35">
      <c r="A4078" s="2" t="s">
        <v>1499</v>
      </c>
      <c r="B4078" s="2" t="s">
        <v>20</v>
      </c>
      <c r="C4078" s="9" t="s">
        <v>1649</v>
      </c>
      <c r="D4078" s="6" t="str">
        <f t="shared" si="4"/>
        <v>nt 2000 220v *br - aspirador de sólidos e líquidos karcher</v>
      </c>
      <c r="E4078" s="2" t="s">
        <v>46</v>
      </c>
      <c r="F4078" s="9"/>
      <c r="G4078" s="9"/>
      <c r="H4078" s="9"/>
    </row>
    <row r="4079" spans="1:8" x14ac:dyDescent="0.35">
      <c r="A4079" s="2" t="s">
        <v>1499</v>
      </c>
      <c r="B4079" s="2" t="s">
        <v>20</v>
      </c>
      <c r="C4079" s="9" t="s">
        <v>1650</v>
      </c>
      <c r="D4079" s="6" t="str">
        <f t="shared" si="4"/>
        <v>nt 3000 127v *br - aspirador de sólidos e líquidos karcher</v>
      </c>
      <c r="E4079" s="2" t="s">
        <v>46</v>
      </c>
      <c r="F4079" s="9"/>
      <c r="G4079" s="9"/>
      <c r="H4079" s="9"/>
    </row>
    <row r="4080" spans="1:8" x14ac:dyDescent="0.35">
      <c r="A4080" s="2" t="s">
        <v>1499</v>
      </c>
      <c r="B4080" s="2" t="s">
        <v>20</v>
      </c>
      <c r="C4080" s="9" t="s">
        <v>1651</v>
      </c>
      <c r="D4080" s="6" t="str">
        <f t="shared" si="4"/>
        <v>nt 3000 220v *br - aspirador de sólidos e líquidos karcher</v>
      </c>
      <c r="E4080" s="2" t="s">
        <v>46</v>
      </c>
      <c r="F4080" s="9"/>
      <c r="G4080" s="9"/>
      <c r="H4080" s="9"/>
    </row>
    <row r="4081" spans="1:8" x14ac:dyDescent="0.35">
      <c r="A4081" s="2" t="s">
        <v>1499</v>
      </c>
      <c r="B4081" s="2" t="s">
        <v>20</v>
      </c>
      <c r="C4081" s="9" t="s">
        <v>1652</v>
      </c>
      <c r="D4081" s="6" t="str">
        <f t="shared" si="4"/>
        <v>t 14/1 127v - aspirador de sólidos karcher</v>
      </c>
      <c r="E4081" s="2" t="s">
        <v>45</v>
      </c>
      <c r="F4081" s="9"/>
      <c r="G4081" s="9"/>
      <c r="H4081" s="9"/>
    </row>
    <row r="4082" spans="1:8" x14ac:dyDescent="0.35">
      <c r="A4082" s="2" t="s">
        <v>1499</v>
      </c>
      <c r="B4082" s="2" t="s">
        <v>20</v>
      </c>
      <c r="C4082" s="9" t="s">
        <v>1653</v>
      </c>
      <c r="D4082" s="6" t="str">
        <f t="shared" si="4"/>
        <v>t 14/1 220v - aspirador de sólidos karcher</v>
      </c>
      <c r="E4082" s="2" t="s">
        <v>45</v>
      </c>
      <c r="F4082" s="9"/>
      <c r="G4082" s="9"/>
      <c r="H4082" s="9"/>
    </row>
    <row r="4083" spans="1:8" x14ac:dyDescent="0.35">
      <c r="A4083" s="2" t="s">
        <v>1499</v>
      </c>
      <c r="B4083" s="2" t="s">
        <v>20</v>
      </c>
      <c r="C4083" s="9" t="s">
        <v>1654</v>
      </c>
      <c r="D4083" s="6" t="str">
        <f t="shared" si="4"/>
        <v>t 15/1 127v - aspirador de sólidos karcher</v>
      </c>
      <c r="E4083" s="2" t="s">
        <v>45</v>
      </c>
      <c r="F4083" s="9"/>
      <c r="G4083" s="9"/>
      <c r="H4083" s="9"/>
    </row>
    <row r="4084" spans="1:8" x14ac:dyDescent="0.35">
      <c r="A4084" s="2" t="s">
        <v>1499</v>
      </c>
      <c r="B4084" s="2" t="s">
        <v>20</v>
      </c>
      <c r="C4084" s="9" t="s">
        <v>1655</v>
      </c>
      <c r="D4084" s="6" t="str">
        <f t="shared" si="4"/>
        <v>t 15/1 220v - aspirador de sólidos karcher</v>
      </c>
      <c r="E4084" s="2" t="s">
        <v>45</v>
      </c>
      <c r="F4084" s="9"/>
      <c r="G4084" s="9"/>
      <c r="H4084" s="9"/>
    </row>
    <row r="4085" spans="1:8" x14ac:dyDescent="0.35">
      <c r="A4085" s="2" t="s">
        <v>1499</v>
      </c>
      <c r="B4085" s="2" t="s">
        <v>20</v>
      </c>
      <c r="C4085" s="9" t="s">
        <v>1656</v>
      </c>
      <c r="D4085" s="6" t="str">
        <f t="shared" si="4"/>
        <v>aspirador ivm 40/24-2 - aspirador industrial para sólidos karcher</v>
      </c>
      <c r="E4085" s="2" t="s">
        <v>45</v>
      </c>
      <c r="F4085" s="9"/>
      <c r="G4085" s="9"/>
      <c r="H4085" s="9"/>
    </row>
    <row r="4086" spans="1:8" x14ac:dyDescent="0.35">
      <c r="A4086" s="2" t="s">
        <v>1499</v>
      </c>
      <c r="B4086" s="2" t="s">
        <v>20</v>
      </c>
      <c r="C4086" s="9" t="s">
        <v>1657</v>
      </c>
      <c r="D4086" s="6" t="str">
        <f t="shared" si="4"/>
        <v>aspirador ivm 100/36-3 - aspirador industrial para sólidos karcher</v>
      </c>
      <c r="E4086" s="2" t="s">
        <v>45</v>
      </c>
      <c r="F4086" s="9"/>
      <c r="G4086" s="9"/>
      <c r="H4086" s="9"/>
    </row>
    <row r="4087" spans="1:8" x14ac:dyDescent="0.35">
      <c r="A4087" s="2" t="s">
        <v>1499</v>
      </c>
      <c r="B4087" s="2" t="s">
        <v>20</v>
      </c>
      <c r="C4087" s="9" t="s">
        <v>1658</v>
      </c>
      <c r="D4087" s="6" t="str">
        <f t="shared" si="4"/>
        <v>aspirador ivs 80/35 220v 60hz - aspirador industrial para sólidos karcher</v>
      </c>
      <c r="E4087" s="2" t="s">
        <v>45</v>
      </c>
      <c r="F4087" s="9"/>
      <c r="G4087" s="9"/>
      <c r="H4087" s="9"/>
    </row>
    <row r="4088" spans="1:8" x14ac:dyDescent="0.35">
      <c r="A4088" s="2" t="s">
        <v>1499</v>
      </c>
      <c r="B4088" s="2" t="s">
        <v>20</v>
      </c>
      <c r="C4088" s="9" t="s">
        <v>1659</v>
      </c>
      <c r="D4088" s="6" t="str">
        <f t="shared" ref="D4088:D4119" si="5">SUBSTITUTE(SUBSTITUTE(SUBSTITUTE(SUBSTITUTE(SUBSTITUTE(SUBSTITUTE(LOWER(C4088),"(/)",""),"(/",""),"/)",""),"(",""),")",""),"  "," ")</f>
        <v>aspirador ivs 80/35 380v 60hz - aspirador industrial para sólidos karcher</v>
      </c>
      <c r="E4088" s="2" t="s">
        <v>45</v>
      </c>
      <c r="F4088" s="9"/>
      <c r="G4088" s="9"/>
      <c r="H4088" s="9"/>
    </row>
    <row r="4089" spans="1:8" x14ac:dyDescent="0.35">
      <c r="A4089" s="2" t="s">
        <v>1499</v>
      </c>
      <c r="B4089" s="2" t="s">
        <v>20</v>
      </c>
      <c r="C4089" s="9" t="s">
        <v>1660</v>
      </c>
      <c r="D4089" s="6" t="str">
        <f t="shared" si="5"/>
        <v>aspirador ivs 80/35 440v 60hz - aspirador industrial para sólidos karcher</v>
      </c>
      <c r="E4089" s="2" t="s">
        <v>45</v>
      </c>
      <c r="F4089" s="9"/>
      <c r="G4089" s="9"/>
      <c r="H4089" s="9"/>
    </row>
    <row r="4090" spans="1:8" x14ac:dyDescent="0.35">
      <c r="A4090" s="2" t="s">
        <v>1499</v>
      </c>
      <c r="B4090" s="2" t="s">
        <v>20</v>
      </c>
      <c r="C4090" s="9" t="s">
        <v>1661</v>
      </c>
      <c r="D4090" s="6" t="str">
        <f t="shared" si="5"/>
        <v>aspirador ivs 80/75 220v 60hz - aspirador industrial para sólidos karcher</v>
      </c>
      <c r="E4090" s="2" t="s">
        <v>45</v>
      </c>
      <c r="F4090" s="9"/>
      <c r="G4090" s="9"/>
      <c r="H4090" s="9"/>
    </row>
    <row r="4091" spans="1:8" x14ac:dyDescent="0.35">
      <c r="A4091" s="2" t="s">
        <v>1499</v>
      </c>
      <c r="B4091" s="2" t="s">
        <v>20</v>
      </c>
      <c r="C4091" s="9" t="s">
        <v>1662</v>
      </c>
      <c r="D4091" s="6" t="str">
        <f t="shared" si="5"/>
        <v>aspirador ivs 80/75 380v 60hz - aspirador industrial para sólidos karcher</v>
      </c>
      <c r="E4091" s="2" t="s">
        <v>45</v>
      </c>
      <c r="F4091" s="9"/>
      <c r="G4091" s="9"/>
      <c r="H4091" s="9"/>
    </row>
    <row r="4092" spans="1:8" x14ac:dyDescent="0.35">
      <c r="A4092" s="2" t="s">
        <v>1499</v>
      </c>
      <c r="B4092" s="2" t="s">
        <v>20</v>
      </c>
      <c r="C4092" s="9" t="s">
        <v>1663</v>
      </c>
      <c r="D4092" s="6" t="str">
        <f t="shared" si="5"/>
        <v>aspirador ivs 80/75 440v 60hz - aspirador industrial para sólidos karcher</v>
      </c>
      <c r="E4092" s="2" t="s">
        <v>45</v>
      </c>
      <c r="F4092" s="9"/>
      <c r="G4092" s="9"/>
      <c r="H4092" s="9"/>
    </row>
    <row r="4093" spans="1:8" x14ac:dyDescent="0.35">
      <c r="A4093" s="2" t="s">
        <v>1499</v>
      </c>
      <c r="B4093" s="2" t="s">
        <v>20</v>
      </c>
      <c r="C4093" s="9" t="s">
        <v>1664</v>
      </c>
      <c r="D4093" s="6" t="str">
        <f t="shared" si="5"/>
        <v>aspirador ivs 80/150 380v 60hz - aspirador industrial para sólidos karcher</v>
      </c>
      <c r="E4093" s="2" t="s">
        <v>45</v>
      </c>
      <c r="F4093" s="9"/>
      <c r="G4093" s="9"/>
      <c r="H4093" s="9"/>
    </row>
    <row r="4094" spans="1:8" x14ac:dyDescent="0.35">
      <c r="A4094" s="2" t="s">
        <v>1499</v>
      </c>
      <c r="B4094" s="2" t="s">
        <v>20</v>
      </c>
      <c r="C4094" s="9" t="s">
        <v>1665</v>
      </c>
      <c r="D4094" s="6" t="str">
        <f t="shared" si="5"/>
        <v>aspirador ivs 80/150 440v 60hz - aspirador industrial para sólidos karcher</v>
      </c>
      <c r="E4094" s="2" t="s">
        <v>45</v>
      </c>
      <c r="F4094" s="9"/>
      <c r="G4094" s="9"/>
      <c r="H4094" s="9"/>
    </row>
    <row r="4095" spans="1:8" x14ac:dyDescent="0.35">
      <c r="A4095" s="2" t="s">
        <v>1499</v>
      </c>
      <c r="B4095" s="2" t="s">
        <v>20</v>
      </c>
      <c r="C4095" s="9" t="s">
        <v>1666</v>
      </c>
      <c r="D4095" s="6" t="str">
        <f t="shared" si="5"/>
        <v>aspirador ivr 100/75-pp ef - aspirador industrial para sólidos karcher</v>
      </c>
      <c r="E4095" s="2" t="s">
        <v>45</v>
      </c>
      <c r="F4095" s="9"/>
      <c r="G4095" s="9"/>
      <c r="H4095" s="9"/>
    </row>
    <row r="4096" spans="1:8" x14ac:dyDescent="0.35">
      <c r="A4096" s="2" t="s">
        <v>1499</v>
      </c>
      <c r="B4096" s="2" t="s">
        <v>20</v>
      </c>
      <c r="C4096" s="9" t="s">
        <v>1667</v>
      </c>
      <c r="D4096" s="6" t="str">
        <f t="shared" si="5"/>
        <v>aspirador ivr 100/40-pp sc - aspirador industrial para sólidos karcher</v>
      </c>
      <c r="E4096" s="2" t="s">
        <v>45</v>
      </c>
      <c r="F4096" s="9"/>
      <c r="G4096" s="9"/>
      <c r="H4096" s="9"/>
    </row>
    <row r="4097" spans="1:8" x14ac:dyDescent="0.35">
      <c r="A4097" s="2" t="s">
        <v>1499</v>
      </c>
      <c r="B4097" s="2" t="s">
        <v>20</v>
      </c>
      <c r="C4097" s="9" t="s">
        <v>1668</v>
      </c>
      <c r="D4097" s="6" t="str">
        <f t="shared" si="5"/>
        <v>ipc a135 - aspirador para sólidos e liquídos romher</v>
      </c>
      <c r="E4097" s="2" t="s">
        <v>46</v>
      </c>
      <c r="F4097" s="9"/>
      <c r="G4097" s="9"/>
      <c r="H4097" s="9"/>
    </row>
    <row r="4098" spans="1:8" x14ac:dyDescent="0.35">
      <c r="A4098" s="2" t="s">
        <v>1499</v>
      </c>
      <c r="B4098" s="2" t="s">
        <v>20</v>
      </c>
      <c r="C4098" s="9" t="s">
        <v>1669</v>
      </c>
      <c r="D4098" s="6" t="str">
        <f t="shared" si="5"/>
        <v>ipc a135 ext - aspirador para sólidos e liquídos romher</v>
      </c>
      <c r="E4098" s="2" t="s">
        <v>46</v>
      </c>
      <c r="F4098" s="9"/>
      <c r="G4098" s="9"/>
      <c r="H4098" s="9"/>
    </row>
    <row r="4099" spans="1:8" x14ac:dyDescent="0.35">
      <c r="A4099" s="2" t="s">
        <v>1499</v>
      </c>
      <c r="B4099" s="2" t="s">
        <v>20</v>
      </c>
      <c r="C4099" s="9" t="s">
        <v>1670</v>
      </c>
      <c r="D4099" s="6" t="str">
        <f t="shared" si="5"/>
        <v>ipc a162 - aspirador para sólidos e liquídos romher</v>
      </c>
      <c r="E4099" s="2" t="s">
        <v>46</v>
      </c>
      <c r="F4099" s="9"/>
      <c r="G4099" s="9"/>
      <c r="H4099" s="9"/>
    </row>
    <row r="4100" spans="1:8" x14ac:dyDescent="0.35">
      <c r="A4100" s="2" t="s">
        <v>1499</v>
      </c>
      <c r="B4100" s="2" t="s">
        <v>20</v>
      </c>
      <c r="C4100" s="9" t="s">
        <v>1671</v>
      </c>
      <c r="D4100" s="6" t="str">
        <f t="shared" si="5"/>
        <v>ipc a162 ext - aspirador para sólidos e liquídos romher</v>
      </c>
      <c r="E4100" s="2" t="s">
        <v>46</v>
      </c>
      <c r="F4100" s="9"/>
      <c r="G4100" s="9"/>
      <c r="H4100" s="9"/>
    </row>
    <row r="4101" spans="1:8" x14ac:dyDescent="0.35">
      <c r="A4101" s="2" t="s">
        <v>1499</v>
      </c>
      <c r="B4101" s="2" t="s">
        <v>20</v>
      </c>
      <c r="C4101" s="9" t="s">
        <v>1672</v>
      </c>
      <c r="D4101" s="6" t="str">
        <f t="shared" si="5"/>
        <v>ipc a262 - aspirador para sólidos e liquídos romher</v>
      </c>
      <c r="E4101" s="2" t="s">
        <v>46</v>
      </c>
      <c r="F4101" s="9"/>
      <c r="G4101" s="9"/>
      <c r="H4101" s="9"/>
    </row>
    <row r="4102" spans="1:8" x14ac:dyDescent="0.35">
      <c r="A4102" s="2" t="s">
        <v>1499</v>
      </c>
      <c r="B4102" s="2" t="s">
        <v>20</v>
      </c>
      <c r="C4102" s="9" t="s">
        <v>1673</v>
      </c>
      <c r="D4102" s="6" t="str">
        <f t="shared" si="5"/>
        <v>ipc a262 ext - aspirador para sólidos e liquídos romher</v>
      </c>
      <c r="E4102" s="2" t="s">
        <v>46</v>
      </c>
      <c r="F4102" s="9"/>
      <c r="G4102" s="9"/>
      <c r="H4102" s="9"/>
    </row>
    <row r="4103" spans="1:8" x14ac:dyDescent="0.35">
      <c r="A4103" s="2" t="s">
        <v>1499</v>
      </c>
      <c r="B4103" s="2" t="s">
        <v>20</v>
      </c>
      <c r="C4103" s="9" t="s">
        <v>1674</v>
      </c>
      <c r="D4103" s="6" t="str">
        <f t="shared" si="5"/>
        <v>ipc a390 - aspirador para sólidos e liquídos romher</v>
      </c>
      <c r="E4103" s="2" t="s">
        <v>46</v>
      </c>
      <c r="F4103" s="9"/>
      <c r="G4103" s="9"/>
      <c r="H4103" s="9"/>
    </row>
    <row r="4104" spans="1:8" x14ac:dyDescent="0.35">
      <c r="A4104" s="2" t="s">
        <v>1499</v>
      </c>
      <c r="B4104" s="2" t="s">
        <v>20</v>
      </c>
      <c r="C4104" s="9" t="s">
        <v>1675</v>
      </c>
      <c r="D4104" s="6" t="str">
        <f t="shared" si="5"/>
        <v>ipc aspiracar 50 - aspirador para sólidos e liquídos romher</v>
      </c>
      <c r="E4104" s="2" t="s">
        <v>46</v>
      </c>
      <c r="F4104" s="9"/>
      <c r="G4104" s="9"/>
      <c r="H4104" s="9"/>
    </row>
    <row r="4105" spans="1:8" x14ac:dyDescent="0.35">
      <c r="A4105" s="2" t="s">
        <v>1499</v>
      </c>
      <c r="B4105" s="2" t="s">
        <v>20</v>
      </c>
      <c r="C4105" s="9" t="s">
        <v>1676</v>
      </c>
      <c r="D4105" s="6" t="str">
        <f t="shared" si="5"/>
        <v>ipc aspiracar 80 - aspirador para sólidos e liquídos romher</v>
      </c>
      <c r="E4105" s="2" t="s">
        <v>46</v>
      </c>
      <c r="F4105" s="9"/>
      <c r="G4105" s="9"/>
      <c r="H4105" s="9"/>
    </row>
    <row r="4106" spans="1:8" x14ac:dyDescent="0.35">
      <c r="A4106" s="2" t="s">
        <v>1499</v>
      </c>
      <c r="B4106" s="2" t="s">
        <v>20</v>
      </c>
      <c r="C4106" s="9" t="s">
        <v>1677</v>
      </c>
      <c r="D4106" s="6" t="str">
        <f t="shared" si="5"/>
        <v>ipc p150 - aspirador/extrador para sólidos e liquídos romher</v>
      </c>
      <c r="E4106" s="2" t="s">
        <v>46</v>
      </c>
      <c r="F4106" s="9"/>
      <c r="G4106" s="9"/>
      <c r="H4106" s="9"/>
    </row>
    <row r="4107" spans="1:8" x14ac:dyDescent="0.35">
      <c r="A4107" s="2" t="s">
        <v>1499</v>
      </c>
      <c r="B4107" s="2" t="s">
        <v>20</v>
      </c>
      <c r="C4107" s="9" t="s">
        <v>1678</v>
      </c>
      <c r="D4107" s="6" t="str">
        <f t="shared" si="5"/>
        <v>ipc a115 - aspirador para sólidos romher</v>
      </c>
      <c r="E4107" s="2" t="s">
        <v>45</v>
      </c>
      <c r="F4107" s="9"/>
      <c r="G4107" s="9"/>
      <c r="H4107" s="9"/>
    </row>
    <row r="4108" spans="1:8" x14ac:dyDescent="0.35">
      <c r="A4108" s="2" t="s">
        <v>1499</v>
      </c>
      <c r="B4108" s="2" t="s">
        <v>20</v>
      </c>
      <c r="C4108" s="9" t="s">
        <v>1679</v>
      </c>
      <c r="D4108" s="6" t="str">
        <f t="shared" si="5"/>
        <v>ipc speedy silêncio - aspirador para sólidos romher</v>
      </c>
      <c r="E4108" s="2" t="s">
        <v>45</v>
      </c>
      <c r="F4108" s="9"/>
      <c r="G4108" s="9"/>
      <c r="H4108" s="9"/>
    </row>
    <row r="4109" spans="1:8" x14ac:dyDescent="0.35">
      <c r="A4109" s="2" t="s">
        <v>1499</v>
      </c>
      <c r="B4109" s="2" t="s">
        <v>20</v>
      </c>
      <c r="C4109" s="9" t="s">
        <v>1680</v>
      </c>
      <c r="D4109" s="6" t="str">
        <f t="shared" si="5"/>
        <v>ipc p150 ext - aspirador para sólidos e liquídos romher</v>
      </c>
      <c r="E4109" s="2" t="s">
        <v>46</v>
      </c>
      <c r="F4109" s="9"/>
      <c r="G4109" s="9"/>
      <c r="H4109" s="9"/>
    </row>
    <row r="4110" spans="1:8" x14ac:dyDescent="0.35">
      <c r="A4110" s="2" t="s">
        <v>1499</v>
      </c>
      <c r="B4110" s="2" t="s">
        <v>20</v>
      </c>
      <c r="C4110" s="9" t="s">
        <v>1681</v>
      </c>
      <c r="D4110" s="6" t="str">
        <f t="shared" si="5"/>
        <v>alfa pro 62 - aspirador alfa tennant</v>
      </c>
      <c r="E4110" s="2" t="s">
        <v>46</v>
      </c>
      <c r="F4110" s="9"/>
      <c r="G4110" s="9"/>
      <c r="H4110" s="9"/>
    </row>
    <row r="4111" spans="1:8" x14ac:dyDescent="0.35">
      <c r="A4111" s="2" t="s">
        <v>1499</v>
      </c>
      <c r="B4111" s="2" t="s">
        <v>20</v>
      </c>
      <c r="C4111" s="9" t="s">
        <v>1682</v>
      </c>
      <c r="D4111" s="6" t="str">
        <f t="shared" si="5"/>
        <v>alfa pro 52 - aspirador alfa tennant</v>
      </c>
      <c r="E4111" s="2" t="s">
        <v>46</v>
      </c>
      <c r="F4111" s="9"/>
      <c r="G4111" s="9"/>
      <c r="H4111" s="9"/>
    </row>
    <row r="4112" spans="1:8" x14ac:dyDescent="0.35">
      <c r="A4112" s="2" t="s">
        <v>1499</v>
      </c>
      <c r="B4112" s="2" t="s">
        <v>20</v>
      </c>
      <c r="C4112" s="9" t="s">
        <v>1683</v>
      </c>
      <c r="D4112" s="6" t="str">
        <f t="shared" si="5"/>
        <v>alfa pro 18 - aspirador alfa tennant</v>
      </c>
      <c r="E4112" s="2" t="s">
        <v>46</v>
      </c>
      <c r="F4112" s="9"/>
      <c r="G4112" s="9"/>
      <c r="H4112" s="9"/>
    </row>
    <row r="4113" spans="1:8" x14ac:dyDescent="0.35">
      <c r="A4113" s="2" t="s">
        <v>1499</v>
      </c>
      <c r="B4113" s="2" t="s">
        <v>20</v>
      </c>
      <c r="C4113" s="9" t="s">
        <v>1684</v>
      </c>
      <c r="D4113" s="6" t="str">
        <f t="shared" si="5"/>
        <v>alfa pro 89 - aspirador alfa tennant</v>
      </c>
      <c r="E4113" s="2" t="s">
        <v>46</v>
      </c>
      <c r="F4113" s="9"/>
      <c r="G4113" s="9"/>
      <c r="H4113" s="9"/>
    </row>
    <row r="4114" spans="1:8" x14ac:dyDescent="0.35">
      <c r="A4114" s="2" t="s">
        <v>1499</v>
      </c>
      <c r="B4114" s="2" t="s">
        <v>20</v>
      </c>
      <c r="C4114" s="9" t="s">
        <v>1685</v>
      </c>
      <c r="D4114" s="6" t="str">
        <f t="shared" si="5"/>
        <v>tsunami - aspirador e extrator hako do brasil</v>
      </c>
      <c r="E4114" s="2" t="s">
        <v>46</v>
      </c>
      <c r="F4114" s="9"/>
      <c r="G4114" s="9"/>
      <c r="H4114" s="9"/>
    </row>
    <row r="4115" spans="1:8" x14ac:dyDescent="0.35">
      <c r="A4115" s="40" t="s">
        <v>1686</v>
      </c>
      <c r="B4115" s="2" t="s">
        <v>20</v>
      </c>
      <c r="C4115" s="41" t="s">
        <v>1686</v>
      </c>
      <c r="D4115" s="6" t="str">
        <f t="shared" si="5"/>
        <v>---</v>
      </c>
      <c r="E4115" s="40" t="s">
        <v>1686</v>
      </c>
      <c r="F4115" s="9"/>
      <c r="G4115" s="9"/>
      <c r="H4115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Principal</vt:lpstr>
      <vt:lpstr>Indicadores</vt:lpstr>
      <vt:lpstr>PrecosMercado</vt:lpstr>
      <vt:lpstr>dados</vt:lpstr>
      <vt:lpstr>colDescrPadr</vt:lpstr>
      <vt:lpstr>colPercManut</vt:lpstr>
      <vt:lpstr>colPrecoMedio</vt:lpstr>
      <vt:lpstr>colVidaUtil</vt:lpstr>
      <vt:lpstr>Treinamento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Resende</dc:creator>
  <cp:lastModifiedBy>Kaike Costa Lopes da Silva</cp:lastModifiedBy>
  <dcterms:created xsi:type="dcterms:W3CDTF">2025-01-06T15:28:08Z</dcterms:created>
  <dcterms:modified xsi:type="dcterms:W3CDTF">2025-10-03T20:02:41Z</dcterms:modified>
</cp:coreProperties>
</file>